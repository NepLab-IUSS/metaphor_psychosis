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inevramartinelli/Desktop/PHD/subjective_ratings/"/>
    </mc:Choice>
  </mc:AlternateContent>
  <xr:revisionPtr revIDLastSave="0" documentId="13_ncr:1_{B9B431EA-420F-484A-8ECF-C10786C8B1F9}" xr6:coauthVersionLast="47" xr6:coauthVersionMax="47" xr10:uidLastSave="{00000000-0000-0000-0000-000000000000}"/>
  <bookViews>
    <workbookView xWindow="0" yWindow="660" windowWidth="29400" windowHeight="17420" xr2:uid="{00000000-000D-0000-FFFF-FFFF00000000}"/>
  </bookViews>
  <sheets>
    <sheet name="Foglio1" sheetId="1" r:id="rId1"/>
    <sheet name="Sheet1" sheetId="2" r:id="rId2"/>
    <sheet name="Foglio3" sheetId="3" r:id="rId3"/>
    <sheet name="READ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XfEQ6E583nvC1V7VZjSI3mJNkH1RztlZLoqY7hMx5QE="/>
    </ext>
  </extLst>
</workbook>
</file>

<file path=xl/calcChain.xml><?xml version="1.0" encoding="utf-8"?>
<calcChain xmlns="http://schemas.openxmlformats.org/spreadsheetml/2006/main">
  <c r="MI55" i="1" l="1"/>
  <c r="MD55" i="1"/>
  <c r="KA55" i="1"/>
  <c r="FM55" i="1"/>
  <c r="FF55" i="1"/>
  <c r="FC55" i="1"/>
  <c r="EY55" i="1"/>
  <c r="EP55" i="1" a="1"/>
  <c r="EP55" i="1" s="1"/>
  <c r="FP55" i="1" s="1"/>
  <c r="EK55" i="1"/>
  <c r="EJ55" i="1"/>
  <c r="EI55" i="1"/>
  <c r="EH55" i="1"/>
  <c r="DC55" i="1"/>
  <c r="DB55" i="1"/>
  <c r="DA55" i="1"/>
  <c r="CZ55" i="1"/>
  <c r="CY55" i="1"/>
  <c r="CX55" i="1"/>
  <c r="BO55" i="1"/>
  <c r="BA55" i="1"/>
  <c r="MI54" i="1"/>
  <c r="MD54" i="1"/>
  <c r="HL54" i="1"/>
  <c r="HK54" i="1"/>
  <c r="HJ54" i="1"/>
  <c r="HI54" i="1"/>
  <c r="HH54" i="1"/>
  <c r="HG54" i="1"/>
  <c r="FM54" i="1"/>
  <c r="FF54" i="1"/>
  <c r="FC54" i="1"/>
  <c r="EY54" i="1"/>
  <c r="EP54" i="1" a="1"/>
  <c r="EP54" i="1" s="1"/>
  <c r="EK54" i="1"/>
  <c r="EJ54" i="1"/>
  <c r="EI54" i="1"/>
  <c r="EH54" i="1"/>
  <c r="DC54" i="1"/>
  <c r="DB54" i="1"/>
  <c r="DA54" i="1"/>
  <c r="CZ54" i="1"/>
  <c r="CY54" i="1"/>
  <c r="CX54" i="1"/>
  <c r="BA54" i="1"/>
  <c r="MI53" i="1"/>
  <c r="MD53" i="1"/>
  <c r="LU53" i="1"/>
  <c r="LT53" i="1"/>
  <c r="JZ53" i="1"/>
  <c r="JS53" i="1"/>
  <c r="JP53" i="1"/>
  <c r="JL53" i="1"/>
  <c r="KB53" i="1" s="1"/>
  <c r="JC53" i="1"/>
  <c r="KC53" i="1" s="1"/>
  <c r="IT53" i="1"/>
  <c r="IS53" i="1"/>
  <c r="IR53" i="1"/>
  <c r="IQ53" i="1"/>
  <c r="HL53" i="1"/>
  <c r="HK53" i="1"/>
  <c r="HJ53" i="1"/>
  <c r="HI53" i="1"/>
  <c r="HH53" i="1"/>
  <c r="HG53" i="1"/>
  <c r="FM53" i="1"/>
  <c r="FF53" i="1"/>
  <c r="FC53" i="1"/>
  <c r="EY53" i="1"/>
  <c r="EP53" i="1" a="1"/>
  <c r="EP53" i="1" s="1"/>
  <c r="EK53" i="1"/>
  <c r="EJ53" i="1"/>
  <c r="EI53" i="1"/>
  <c r="EH53" i="1"/>
  <c r="DC53" i="1"/>
  <c r="DB53" i="1"/>
  <c r="DA53" i="1"/>
  <c r="CZ53" i="1"/>
  <c r="CY53" i="1"/>
  <c r="CX53" i="1"/>
  <c r="BA53" i="1"/>
  <c r="MI52" i="1"/>
  <c r="MD52" i="1"/>
  <c r="LU52" i="1"/>
  <c r="LT52" i="1"/>
  <c r="KA52" i="1"/>
  <c r="JZ52" i="1"/>
  <c r="KB52" i="1" s="1"/>
  <c r="JS52" i="1"/>
  <c r="JP52" i="1"/>
  <c r="JL52" i="1"/>
  <c r="JC52" i="1"/>
  <c r="IT52" i="1"/>
  <c r="IS52" i="1"/>
  <c r="IR52" i="1"/>
  <c r="IQ52" i="1"/>
  <c r="HL52" i="1"/>
  <c r="HK52" i="1"/>
  <c r="HJ52" i="1"/>
  <c r="HI52" i="1"/>
  <c r="HH52" i="1"/>
  <c r="HG52" i="1"/>
  <c r="FM52" i="1"/>
  <c r="FO52" i="1" s="1"/>
  <c r="FF52" i="1"/>
  <c r="FC52" i="1"/>
  <c r="EY52" i="1"/>
  <c r="EP52" i="1" a="1"/>
  <c r="EP52" i="1" s="1"/>
  <c r="EK52" i="1"/>
  <c r="EJ52" i="1"/>
  <c r="EI52" i="1"/>
  <c r="EH52" i="1"/>
  <c r="DC52" i="1"/>
  <c r="DB52" i="1"/>
  <c r="DA52" i="1"/>
  <c r="CZ52" i="1"/>
  <c r="CY52" i="1"/>
  <c r="CX52" i="1"/>
  <c r="BA52" i="1"/>
  <c r="MI51" i="1"/>
  <c r="MD51" i="1"/>
  <c r="LU51" i="1"/>
  <c r="LT51" i="1"/>
  <c r="JZ51" i="1"/>
  <c r="JS51" i="1"/>
  <c r="JP51" i="1"/>
  <c r="JL51" i="1"/>
  <c r="KB51" i="1" s="1"/>
  <c r="JC51" i="1"/>
  <c r="IT51" i="1"/>
  <c r="IS51" i="1"/>
  <c r="IR51" i="1"/>
  <c r="IQ51" i="1"/>
  <c r="HL51" i="1"/>
  <c r="HK51" i="1"/>
  <c r="HJ51" i="1"/>
  <c r="HI51" i="1"/>
  <c r="HH51" i="1"/>
  <c r="HG51" i="1"/>
  <c r="FM51" i="1"/>
  <c r="FF51" i="1"/>
  <c r="FC51" i="1"/>
  <c r="EY51" i="1"/>
  <c r="FO51" i="1" s="1"/>
  <c r="EP51" i="1" a="1"/>
  <c r="EP51" i="1" s="1"/>
  <c r="FN51" i="1" s="1"/>
  <c r="EK51" i="1"/>
  <c r="EJ51" i="1"/>
  <c r="EI51" i="1"/>
  <c r="EH51" i="1"/>
  <c r="DC51" i="1"/>
  <c r="DB51" i="1"/>
  <c r="DA51" i="1"/>
  <c r="CZ51" i="1"/>
  <c r="CY51" i="1"/>
  <c r="CX51" i="1"/>
  <c r="BO51" i="1"/>
  <c r="BA51" i="1"/>
  <c r="MI50" i="1"/>
  <c r="MD50" i="1"/>
  <c r="KA50" i="1"/>
  <c r="FM50" i="1"/>
  <c r="FF50" i="1"/>
  <c r="FC50" i="1"/>
  <c r="EY50" i="1"/>
  <c r="FO50" i="1" s="1"/>
  <c r="EP50" i="1" a="1"/>
  <c r="EP50" i="1"/>
  <c r="FN50" i="1" s="1"/>
  <c r="EK50" i="1"/>
  <c r="EJ50" i="1"/>
  <c r="EI50" i="1"/>
  <c r="EH50" i="1"/>
  <c r="DC50" i="1"/>
  <c r="DB50" i="1"/>
  <c r="DA50" i="1"/>
  <c r="CZ50" i="1"/>
  <c r="CY50" i="1"/>
  <c r="CX50" i="1"/>
  <c r="BA50" i="1"/>
  <c r="MI49" i="1"/>
  <c r="MD49" i="1"/>
  <c r="KA49" i="1"/>
  <c r="FM49" i="1"/>
  <c r="FF49" i="1"/>
  <c r="FC49" i="1"/>
  <c r="FO49" i="1" s="1"/>
  <c r="EY49" i="1"/>
  <c r="EP49" i="1" a="1"/>
  <c r="EP49" i="1"/>
  <c r="EK49" i="1"/>
  <c r="EJ49" i="1"/>
  <c r="EI49" i="1"/>
  <c r="EH49" i="1"/>
  <c r="DC49" i="1"/>
  <c r="DB49" i="1"/>
  <c r="DA49" i="1"/>
  <c r="CZ49" i="1"/>
  <c r="CY49" i="1"/>
  <c r="CX49" i="1"/>
  <c r="BO49" i="1"/>
  <c r="BA49" i="1"/>
  <c r="MI48" i="1"/>
  <c r="MD48" i="1"/>
  <c r="LU48" i="1"/>
  <c r="LT48" i="1"/>
  <c r="JZ48" i="1"/>
  <c r="JS48" i="1"/>
  <c r="JP48" i="1"/>
  <c r="JL48" i="1"/>
  <c r="KB48" i="1" s="1"/>
  <c r="JC48" i="1"/>
  <c r="KA48" i="1" s="1"/>
  <c r="IT48" i="1"/>
  <c r="IS48" i="1"/>
  <c r="IR48" i="1"/>
  <c r="IQ48" i="1"/>
  <c r="HL48" i="1"/>
  <c r="HK48" i="1"/>
  <c r="HJ48" i="1"/>
  <c r="HI48" i="1"/>
  <c r="HH48" i="1"/>
  <c r="HG48" i="1"/>
  <c r="FM48" i="1"/>
  <c r="FF48" i="1"/>
  <c r="FC48" i="1"/>
  <c r="EY48" i="1"/>
  <c r="FO48" i="1" s="1"/>
  <c r="EP48" i="1" a="1"/>
  <c r="EP48" i="1" s="1"/>
  <c r="EK48" i="1"/>
  <c r="EJ48" i="1"/>
  <c r="EI48" i="1"/>
  <c r="EH48" i="1"/>
  <c r="DC48" i="1"/>
  <c r="DB48" i="1"/>
  <c r="DA48" i="1"/>
  <c r="CZ48" i="1"/>
  <c r="CY48" i="1"/>
  <c r="CX48" i="1"/>
  <c r="BA48" i="1"/>
  <c r="MI47" i="1"/>
  <c r="MD47" i="1"/>
  <c r="FM47" i="1"/>
  <c r="FF47" i="1"/>
  <c r="FC47" i="1"/>
  <c r="EY47" i="1"/>
  <c r="EP47" i="1" a="1"/>
  <c r="EP47" i="1"/>
  <c r="FN47" i="1" s="1"/>
  <c r="EK47" i="1"/>
  <c r="EJ47" i="1"/>
  <c r="EI47" i="1"/>
  <c r="EH47" i="1"/>
  <c r="DC47" i="1"/>
  <c r="DB47" i="1"/>
  <c r="DA47" i="1"/>
  <c r="CZ47" i="1"/>
  <c r="CY47" i="1"/>
  <c r="CX47" i="1"/>
  <c r="BA47" i="1"/>
  <c r="MI46" i="1"/>
  <c r="MD46" i="1"/>
  <c r="LU46" i="1"/>
  <c r="LT46" i="1"/>
  <c r="JZ46" i="1"/>
  <c r="JS46" i="1"/>
  <c r="JP46" i="1"/>
  <c r="JL46" i="1"/>
  <c r="KB46" i="1" s="1"/>
  <c r="JC46" i="1"/>
  <c r="KA46" i="1" s="1"/>
  <c r="IT46" i="1"/>
  <c r="IS46" i="1"/>
  <c r="IR46" i="1"/>
  <c r="IQ46" i="1"/>
  <c r="HL46" i="1"/>
  <c r="HK46" i="1"/>
  <c r="HJ46" i="1"/>
  <c r="HI46" i="1"/>
  <c r="HH46" i="1"/>
  <c r="HG46" i="1"/>
  <c r="FM46" i="1"/>
  <c r="FF46" i="1"/>
  <c r="FC46" i="1"/>
  <c r="EY46" i="1"/>
  <c r="FO46" i="1" s="1"/>
  <c r="EP46" i="1" a="1"/>
  <c r="EP46" i="1" s="1"/>
  <c r="EK46" i="1"/>
  <c r="EJ46" i="1"/>
  <c r="EI46" i="1"/>
  <c r="EH46" i="1"/>
  <c r="DC46" i="1"/>
  <c r="DB46" i="1"/>
  <c r="DA46" i="1"/>
  <c r="CZ46" i="1"/>
  <c r="CY46" i="1"/>
  <c r="CX46" i="1"/>
  <c r="BA46" i="1"/>
  <c r="MI45" i="1"/>
  <c r="MD45" i="1"/>
  <c r="LU45" i="1"/>
  <c r="LT45" i="1"/>
  <c r="JZ45" i="1"/>
  <c r="JS45" i="1"/>
  <c r="JP45" i="1"/>
  <c r="JL45" i="1"/>
  <c r="JC45" i="1"/>
  <c r="IT45" i="1"/>
  <c r="IS45" i="1"/>
  <c r="IR45" i="1"/>
  <c r="IQ45" i="1"/>
  <c r="HL45" i="1"/>
  <c r="HK45" i="1"/>
  <c r="HJ45" i="1"/>
  <c r="HI45" i="1"/>
  <c r="HH45" i="1"/>
  <c r="HG45" i="1"/>
  <c r="FM45" i="1"/>
  <c r="FF45" i="1"/>
  <c r="FC45" i="1"/>
  <c r="EY45" i="1"/>
  <c r="EP45" i="1" a="1"/>
  <c r="EP45" i="1" s="1"/>
  <c r="EK45" i="1"/>
  <c r="EJ45" i="1"/>
  <c r="EI45" i="1"/>
  <c r="EH45" i="1"/>
  <c r="DC45" i="1"/>
  <c r="DB45" i="1"/>
  <c r="DA45" i="1"/>
  <c r="CZ45" i="1"/>
  <c r="CY45" i="1"/>
  <c r="CX45" i="1"/>
  <c r="BA45" i="1"/>
  <c r="MI44" i="1"/>
  <c r="MD44" i="1"/>
  <c r="LU44" i="1"/>
  <c r="LT44" i="1"/>
  <c r="JZ44" i="1"/>
  <c r="JS44" i="1"/>
  <c r="JP44" i="1"/>
  <c r="JL44" i="1"/>
  <c r="JC44" i="1"/>
  <c r="KC44" i="1" s="1"/>
  <c r="IT44" i="1"/>
  <c r="IS44" i="1"/>
  <c r="IR44" i="1"/>
  <c r="IQ44" i="1"/>
  <c r="HL44" i="1"/>
  <c r="HK44" i="1"/>
  <c r="HJ44" i="1"/>
  <c r="HI44" i="1"/>
  <c r="HH44" i="1"/>
  <c r="HG44" i="1"/>
  <c r="FM44" i="1"/>
  <c r="FF44" i="1"/>
  <c r="FC44" i="1"/>
  <c r="EY44" i="1"/>
  <c r="FO44" i="1" s="1"/>
  <c r="EP44" i="1" a="1"/>
  <c r="EP44" i="1" s="1"/>
  <c r="EK44" i="1"/>
  <c r="EJ44" i="1"/>
  <c r="EI44" i="1"/>
  <c r="EH44" i="1"/>
  <c r="DC44" i="1"/>
  <c r="DB44" i="1"/>
  <c r="DA44" i="1"/>
  <c r="CZ44" i="1"/>
  <c r="CY44" i="1"/>
  <c r="CX44" i="1"/>
  <c r="BO44" i="1"/>
  <c r="MI43" i="1"/>
  <c r="MD43" i="1"/>
  <c r="LU43" i="1"/>
  <c r="LT43" i="1"/>
  <c r="JZ43" i="1"/>
  <c r="JS43" i="1"/>
  <c r="JP43" i="1"/>
  <c r="JL43" i="1"/>
  <c r="KB43" i="1" s="1"/>
  <c r="JC43" i="1"/>
  <c r="KC43" i="1" s="1"/>
  <c r="IT43" i="1"/>
  <c r="IS43" i="1"/>
  <c r="IR43" i="1"/>
  <c r="IQ43" i="1"/>
  <c r="HL43" i="1"/>
  <c r="HK43" i="1"/>
  <c r="HJ43" i="1"/>
  <c r="HI43" i="1"/>
  <c r="HH43" i="1"/>
  <c r="HG43" i="1"/>
  <c r="FM43" i="1"/>
  <c r="FF43" i="1"/>
  <c r="FC43" i="1"/>
  <c r="EY43" i="1"/>
  <c r="FO43" i="1" s="1"/>
  <c r="EP43" i="1" a="1"/>
  <c r="EP43" i="1"/>
  <c r="FN43" i="1" s="1"/>
  <c r="EK43" i="1"/>
  <c r="EJ43" i="1"/>
  <c r="EI43" i="1"/>
  <c r="EH43" i="1"/>
  <c r="DC43" i="1"/>
  <c r="DB43" i="1"/>
  <c r="DA43" i="1"/>
  <c r="CZ43" i="1"/>
  <c r="CY43" i="1"/>
  <c r="CX43" i="1"/>
  <c r="BO43" i="1"/>
  <c r="BA43" i="1"/>
  <c r="MI42" i="1"/>
  <c r="MD42" i="1"/>
  <c r="KA42" i="1"/>
  <c r="FM42" i="1"/>
  <c r="FF42" i="1"/>
  <c r="FC42" i="1"/>
  <c r="EY42" i="1"/>
  <c r="EP42" i="1" a="1"/>
  <c r="EP42" i="1"/>
  <c r="FN42" i="1" s="1"/>
  <c r="EK42" i="1"/>
  <c r="EJ42" i="1"/>
  <c r="EI42" i="1"/>
  <c r="EH42" i="1"/>
  <c r="DC42" i="1"/>
  <c r="DB42" i="1"/>
  <c r="DA42" i="1"/>
  <c r="CZ42" i="1"/>
  <c r="CY42" i="1"/>
  <c r="CX42" i="1"/>
  <c r="BO42" i="1"/>
  <c r="BA42" i="1"/>
  <c r="MI41" i="1"/>
  <c r="MD41" i="1"/>
  <c r="LU41" i="1"/>
  <c r="LT41" i="1"/>
  <c r="JZ41" i="1"/>
  <c r="JS41" i="1"/>
  <c r="JP41" i="1"/>
  <c r="JL41" i="1"/>
  <c r="JC41" i="1"/>
  <c r="KA41" i="1" s="1"/>
  <c r="IT41" i="1"/>
  <c r="IS41" i="1"/>
  <c r="IR41" i="1"/>
  <c r="IQ41" i="1"/>
  <c r="HL41" i="1"/>
  <c r="HK41" i="1"/>
  <c r="HJ41" i="1"/>
  <c r="HI41" i="1"/>
  <c r="HH41" i="1"/>
  <c r="HG41" i="1"/>
  <c r="FN41" i="1"/>
  <c r="FM41" i="1"/>
  <c r="FF41" i="1"/>
  <c r="FC41" i="1"/>
  <c r="EY41" i="1"/>
  <c r="EP41" i="1" a="1"/>
  <c r="EP41" i="1"/>
  <c r="EK41" i="1"/>
  <c r="EJ41" i="1"/>
  <c r="EI41" i="1"/>
  <c r="EH41" i="1"/>
  <c r="DC41" i="1"/>
  <c r="DB41" i="1"/>
  <c r="DA41" i="1"/>
  <c r="CZ41" i="1"/>
  <c r="CY41" i="1"/>
  <c r="CX41" i="1"/>
  <c r="BA41" i="1"/>
  <c r="MI40" i="1"/>
  <c r="MD40" i="1"/>
  <c r="LU40" i="1"/>
  <c r="LT40" i="1"/>
  <c r="JZ40" i="1"/>
  <c r="JS40" i="1"/>
  <c r="JP40" i="1"/>
  <c r="JL40" i="1"/>
  <c r="KB40" i="1" s="1"/>
  <c r="JC40" i="1"/>
  <c r="KA40" i="1" s="1"/>
  <c r="IT40" i="1"/>
  <c r="IS40" i="1"/>
  <c r="IR40" i="1"/>
  <c r="IQ40" i="1"/>
  <c r="HL40" i="1"/>
  <c r="HK40" i="1"/>
  <c r="HJ40" i="1"/>
  <c r="HI40" i="1"/>
  <c r="HH40" i="1"/>
  <c r="HG40" i="1"/>
  <c r="FM40" i="1"/>
  <c r="FF40" i="1"/>
  <c r="FC40" i="1"/>
  <c r="EY40" i="1"/>
  <c r="EP40" i="1" a="1"/>
  <c r="EP40" i="1" s="1"/>
  <c r="EK40" i="1"/>
  <c r="EJ40" i="1"/>
  <c r="EI40" i="1"/>
  <c r="EH40" i="1"/>
  <c r="DC40" i="1"/>
  <c r="DB40" i="1"/>
  <c r="DA40" i="1"/>
  <c r="CZ40" i="1"/>
  <c r="CY40" i="1"/>
  <c r="CX40" i="1"/>
  <c r="BA40" i="1"/>
  <c r="MI39" i="1"/>
  <c r="MD39" i="1"/>
  <c r="LU39" i="1"/>
  <c r="LT39" i="1"/>
  <c r="JZ39" i="1"/>
  <c r="JS39" i="1"/>
  <c r="JP39" i="1"/>
  <c r="JL39" i="1"/>
  <c r="JC39" i="1"/>
  <c r="KA39" i="1" s="1"/>
  <c r="IT39" i="1"/>
  <c r="IR39" i="1"/>
  <c r="HL39" i="1"/>
  <c r="HK39" i="1"/>
  <c r="HJ39" i="1"/>
  <c r="HI39" i="1"/>
  <c r="HH39" i="1"/>
  <c r="HG39" i="1"/>
  <c r="FN39" i="1"/>
  <c r="FM39" i="1"/>
  <c r="FO39" i="1" s="1"/>
  <c r="FF39" i="1"/>
  <c r="FC39" i="1"/>
  <c r="EY39" i="1"/>
  <c r="EP39" i="1" a="1"/>
  <c r="EP39" i="1"/>
  <c r="EK39" i="1"/>
  <c r="EJ39" i="1"/>
  <c r="EI39" i="1"/>
  <c r="EH39" i="1"/>
  <c r="DC39" i="1"/>
  <c r="DB39" i="1"/>
  <c r="DA39" i="1"/>
  <c r="CZ39" i="1"/>
  <c r="CY39" i="1"/>
  <c r="CX39" i="1"/>
  <c r="BO39" i="1"/>
  <c r="BA39" i="1"/>
  <c r="MI38" i="1"/>
  <c r="MD38" i="1"/>
  <c r="LU38" i="1"/>
  <c r="LT38" i="1"/>
  <c r="KC38" i="1"/>
  <c r="KB38" i="1"/>
  <c r="KA38" i="1"/>
  <c r="JZ38" i="1"/>
  <c r="JS38" i="1"/>
  <c r="JP38" i="1"/>
  <c r="JL38" i="1"/>
  <c r="JC38" i="1"/>
  <c r="IT38" i="1"/>
  <c r="IS38" i="1"/>
  <c r="IR38" i="1"/>
  <c r="HL38" i="1"/>
  <c r="HK38" i="1"/>
  <c r="HJ38" i="1"/>
  <c r="HI38" i="1"/>
  <c r="HH38" i="1"/>
  <c r="HG38" i="1"/>
  <c r="FM38" i="1"/>
  <c r="FO38" i="1" s="1"/>
  <c r="FF38" i="1"/>
  <c r="FC38" i="1"/>
  <c r="EY38" i="1"/>
  <c r="EP38" i="1" a="1"/>
  <c r="EP38" i="1"/>
  <c r="EK38" i="1"/>
  <c r="EJ38" i="1"/>
  <c r="EI38" i="1"/>
  <c r="EH38" i="1"/>
  <c r="DC38" i="1"/>
  <c r="DB38" i="1"/>
  <c r="DA38" i="1"/>
  <c r="CZ38" i="1"/>
  <c r="CY38" i="1"/>
  <c r="CX38" i="1"/>
  <c r="BA38" i="1"/>
  <c r="MI37" i="1"/>
  <c r="MD37" i="1"/>
  <c r="LU37" i="1"/>
  <c r="LT37" i="1"/>
  <c r="JZ37" i="1"/>
  <c r="JS37" i="1"/>
  <c r="KB37" i="1" s="1"/>
  <c r="JP37" i="1"/>
  <c r="JL37" i="1"/>
  <c r="JC37" i="1"/>
  <c r="KA37" i="1" s="1"/>
  <c r="IT37" i="1"/>
  <c r="IS37" i="1"/>
  <c r="IR37" i="1"/>
  <c r="IQ37" i="1"/>
  <c r="FN37" i="1"/>
  <c r="FM37" i="1"/>
  <c r="FF37" i="1"/>
  <c r="FC37" i="1"/>
  <c r="EY37" i="1"/>
  <c r="FO37" i="1" s="1"/>
  <c r="EP37" i="1" a="1"/>
  <c r="EP37" i="1"/>
  <c r="FP37" i="1" s="1"/>
  <c r="EK37" i="1"/>
  <c r="EJ37" i="1"/>
  <c r="EI37" i="1"/>
  <c r="EH37" i="1"/>
  <c r="DC37" i="1"/>
  <c r="DB37" i="1"/>
  <c r="DA37" i="1"/>
  <c r="CZ37" i="1"/>
  <c r="CY37" i="1"/>
  <c r="CX37" i="1"/>
  <c r="MI36" i="1"/>
  <c r="MD36" i="1"/>
  <c r="LU36" i="1"/>
  <c r="LT36" i="1"/>
  <c r="JZ36" i="1"/>
  <c r="JS36" i="1"/>
  <c r="JP36" i="1"/>
  <c r="JL36" i="1"/>
  <c r="KB36" i="1" s="1"/>
  <c r="JC36" i="1"/>
  <c r="IT36" i="1"/>
  <c r="IS36" i="1"/>
  <c r="IR36" i="1"/>
  <c r="IQ36" i="1"/>
  <c r="HL36" i="1"/>
  <c r="HK36" i="1"/>
  <c r="HJ36" i="1"/>
  <c r="HI36" i="1"/>
  <c r="HH36" i="1"/>
  <c r="HG36" i="1"/>
  <c r="FM36" i="1"/>
  <c r="FF36" i="1"/>
  <c r="FC36" i="1"/>
  <c r="EY36" i="1"/>
  <c r="EP36" i="1" a="1"/>
  <c r="EP36" i="1" s="1"/>
  <c r="EK36" i="1"/>
  <c r="EJ36" i="1"/>
  <c r="EI36" i="1"/>
  <c r="EH36" i="1"/>
  <c r="DC36" i="1"/>
  <c r="DB36" i="1"/>
  <c r="DA36" i="1"/>
  <c r="CZ36" i="1"/>
  <c r="CY36" i="1"/>
  <c r="CX36" i="1"/>
  <c r="BO36" i="1"/>
  <c r="MI35" i="1"/>
  <c r="MD35" i="1"/>
  <c r="LU35" i="1"/>
  <c r="LT35" i="1"/>
  <c r="KA35" i="1"/>
  <c r="JZ35" i="1"/>
  <c r="JS35" i="1"/>
  <c r="JP35" i="1"/>
  <c r="JL35" i="1"/>
  <c r="JC35" i="1"/>
  <c r="KC35" i="1" s="1"/>
  <c r="IT35" i="1"/>
  <c r="IS35" i="1"/>
  <c r="IR35" i="1"/>
  <c r="IQ35" i="1"/>
  <c r="HL35" i="1"/>
  <c r="HK35" i="1"/>
  <c r="HJ35" i="1"/>
  <c r="HI35" i="1"/>
  <c r="HH35" i="1"/>
  <c r="HG35" i="1"/>
  <c r="FM35" i="1"/>
  <c r="FF35" i="1"/>
  <c r="FC35" i="1"/>
  <c r="EY35" i="1"/>
  <c r="FO35" i="1" s="1"/>
  <c r="EP35" i="1" a="1"/>
  <c r="EP35" i="1"/>
  <c r="FN35" i="1" s="1"/>
  <c r="EK35" i="1"/>
  <c r="EJ35" i="1"/>
  <c r="EI35" i="1"/>
  <c r="EH35" i="1"/>
  <c r="DC35" i="1"/>
  <c r="DB35" i="1"/>
  <c r="DA35" i="1"/>
  <c r="CZ35" i="1"/>
  <c r="CY35" i="1"/>
  <c r="CX35" i="1"/>
  <c r="BO35" i="1"/>
  <c r="BA35" i="1"/>
  <c r="MI34" i="1"/>
  <c r="MD34" i="1"/>
  <c r="KA34" i="1"/>
  <c r="FM34" i="1"/>
  <c r="FF34" i="1"/>
  <c r="FC34" i="1"/>
  <c r="EY34" i="1"/>
  <c r="FO34" i="1" s="1"/>
  <c r="EP34" i="1" a="1"/>
  <c r="EP34" i="1"/>
  <c r="FN34" i="1" s="1"/>
  <c r="EK34" i="1"/>
  <c r="EJ34" i="1"/>
  <c r="EI34" i="1"/>
  <c r="EH34" i="1"/>
  <c r="DC34" i="1"/>
  <c r="DB34" i="1"/>
  <c r="DA34" i="1"/>
  <c r="CZ34" i="1"/>
  <c r="CY34" i="1"/>
  <c r="CX34" i="1"/>
  <c r="BO34" i="1"/>
  <c r="BA34" i="1"/>
  <c r="MI33" i="1"/>
  <c r="MD33" i="1"/>
  <c r="LU33" i="1"/>
  <c r="LT33" i="1"/>
  <c r="JZ33" i="1"/>
  <c r="JS33" i="1"/>
  <c r="JP33" i="1"/>
  <c r="JL33" i="1"/>
  <c r="KB33" i="1" s="1"/>
  <c r="JC33" i="1"/>
  <c r="KA33" i="1" s="1"/>
  <c r="IT33" i="1"/>
  <c r="IS33" i="1"/>
  <c r="IR33" i="1"/>
  <c r="IQ33" i="1"/>
  <c r="HL33" i="1"/>
  <c r="HK33" i="1"/>
  <c r="HJ33" i="1"/>
  <c r="HI33" i="1"/>
  <c r="HH33" i="1"/>
  <c r="HG33" i="1"/>
  <c r="FM33" i="1"/>
  <c r="FF33" i="1"/>
  <c r="FC33" i="1"/>
  <c r="EY33" i="1"/>
  <c r="FO33" i="1" s="1"/>
  <c r="EP33" i="1" a="1"/>
  <c r="EP33" i="1" s="1"/>
  <c r="EK33" i="1"/>
  <c r="EJ33" i="1"/>
  <c r="EI33" i="1"/>
  <c r="EH33" i="1"/>
  <c r="DC33" i="1"/>
  <c r="DB33" i="1"/>
  <c r="DA33" i="1"/>
  <c r="CZ33" i="1"/>
  <c r="CY33" i="1"/>
  <c r="CX33" i="1"/>
  <c r="MI32" i="1"/>
  <c r="MD32" i="1"/>
  <c r="LU32" i="1"/>
  <c r="LT32" i="1"/>
  <c r="JZ32" i="1"/>
  <c r="JS32" i="1"/>
  <c r="JP32" i="1"/>
  <c r="KC32" i="1" s="1"/>
  <c r="JL32" i="1"/>
  <c r="JC32" i="1"/>
  <c r="KA32" i="1" s="1"/>
  <c r="IT32" i="1"/>
  <c r="IS32" i="1"/>
  <c r="IR32" i="1"/>
  <c r="IQ32" i="1"/>
  <c r="HL32" i="1"/>
  <c r="HK32" i="1"/>
  <c r="HJ32" i="1"/>
  <c r="HI32" i="1"/>
  <c r="HH32" i="1"/>
  <c r="HG32" i="1"/>
  <c r="FM32" i="1"/>
  <c r="FF32" i="1"/>
  <c r="FC32" i="1"/>
  <c r="EY32" i="1"/>
  <c r="FO32" i="1" s="1"/>
  <c r="EP32" i="1" a="1"/>
  <c r="EP32" i="1" s="1"/>
  <c r="EK32" i="1"/>
  <c r="EJ32" i="1"/>
  <c r="EI32" i="1"/>
  <c r="EH32" i="1"/>
  <c r="DC32" i="1"/>
  <c r="DB32" i="1"/>
  <c r="DA32" i="1"/>
  <c r="CZ32" i="1"/>
  <c r="CY32" i="1"/>
  <c r="CX32" i="1"/>
  <c r="BO32" i="1"/>
  <c r="BA32" i="1"/>
  <c r="MI31" i="1"/>
  <c r="MD31" i="1"/>
  <c r="LU31" i="1"/>
  <c r="LT31" i="1"/>
  <c r="JZ31" i="1"/>
  <c r="JS31" i="1"/>
  <c r="JP31" i="1"/>
  <c r="JL31" i="1"/>
  <c r="KB31" i="1" s="1"/>
  <c r="JC31" i="1"/>
  <c r="KA31" i="1" s="1"/>
  <c r="IT31" i="1"/>
  <c r="IS31" i="1"/>
  <c r="IR31" i="1"/>
  <c r="IQ31" i="1"/>
  <c r="HL31" i="1"/>
  <c r="HK31" i="1"/>
  <c r="HJ31" i="1"/>
  <c r="HI31" i="1"/>
  <c r="HH31" i="1"/>
  <c r="HG31" i="1"/>
  <c r="FM31" i="1"/>
  <c r="FF31" i="1"/>
  <c r="FC31" i="1"/>
  <c r="EY31" i="1"/>
  <c r="EP31" i="1" a="1"/>
  <c r="EP31" i="1"/>
  <c r="FP31" i="1" s="1"/>
  <c r="EK31" i="1"/>
  <c r="EJ31" i="1"/>
  <c r="EI31" i="1"/>
  <c r="EH31" i="1"/>
  <c r="DC31" i="1"/>
  <c r="DB31" i="1"/>
  <c r="DA31" i="1"/>
  <c r="CZ31" i="1"/>
  <c r="CY31" i="1"/>
  <c r="CX31" i="1"/>
  <c r="BO31" i="1"/>
  <c r="BA31" i="1"/>
  <c r="MI30" i="1"/>
  <c r="MD30" i="1"/>
  <c r="LU30" i="1"/>
  <c r="LT30" i="1"/>
  <c r="JZ30" i="1"/>
  <c r="JS30" i="1"/>
  <c r="JP30" i="1"/>
  <c r="JL30" i="1"/>
  <c r="KB30" i="1" s="1"/>
  <c r="JC30" i="1"/>
  <c r="KC30" i="1" s="1"/>
  <c r="IT30" i="1"/>
  <c r="IS30" i="1"/>
  <c r="IR30" i="1"/>
  <c r="IQ30" i="1"/>
  <c r="HL30" i="1"/>
  <c r="HK30" i="1"/>
  <c r="HJ30" i="1"/>
  <c r="HI30" i="1"/>
  <c r="HH30" i="1"/>
  <c r="HG30" i="1"/>
  <c r="FM30" i="1"/>
  <c r="FF30" i="1"/>
  <c r="FC30" i="1"/>
  <c r="EY30" i="1"/>
  <c r="FO30" i="1" s="1"/>
  <c r="EP30" i="1" a="1"/>
  <c r="EP30" i="1"/>
  <c r="FN30" i="1" s="1"/>
  <c r="EK30" i="1"/>
  <c r="EJ30" i="1"/>
  <c r="EI30" i="1"/>
  <c r="EH30" i="1"/>
  <c r="DC30" i="1"/>
  <c r="DB30" i="1"/>
  <c r="DA30" i="1"/>
  <c r="CZ30" i="1"/>
  <c r="CY30" i="1"/>
  <c r="CX30" i="1"/>
  <c r="BO30" i="1"/>
  <c r="BA30" i="1"/>
  <c r="MI29" i="1"/>
  <c r="MD29" i="1"/>
  <c r="LU29" i="1"/>
  <c r="LT29" i="1"/>
  <c r="JZ29" i="1"/>
  <c r="JS29" i="1"/>
  <c r="JP29" i="1"/>
  <c r="JL29" i="1"/>
  <c r="KB29" i="1" s="1"/>
  <c r="JC29" i="1"/>
  <c r="KA29" i="1" s="1"/>
  <c r="IT29" i="1"/>
  <c r="IS29" i="1"/>
  <c r="IR29" i="1"/>
  <c r="IQ29" i="1"/>
  <c r="HL29" i="1"/>
  <c r="HK29" i="1"/>
  <c r="HJ29" i="1"/>
  <c r="HI29" i="1"/>
  <c r="HH29" i="1"/>
  <c r="HG29" i="1"/>
  <c r="FN29" i="1"/>
  <c r="FM29" i="1"/>
  <c r="FF29" i="1"/>
  <c r="FC29" i="1"/>
  <c r="EY29" i="1"/>
  <c r="FO29" i="1" s="1"/>
  <c r="EP29" i="1" a="1"/>
  <c r="EP29" i="1"/>
  <c r="FP29" i="1" s="1"/>
  <c r="EK29" i="1"/>
  <c r="EJ29" i="1"/>
  <c r="EI29" i="1"/>
  <c r="EH29" i="1"/>
  <c r="DC29" i="1"/>
  <c r="DB29" i="1"/>
  <c r="DA29" i="1"/>
  <c r="CZ29" i="1"/>
  <c r="CY29" i="1"/>
  <c r="CX29" i="1"/>
  <c r="BO29" i="1"/>
  <c r="BA29" i="1"/>
  <c r="MI28" i="1"/>
  <c r="MD28" i="1"/>
  <c r="LU28" i="1"/>
  <c r="LT28" i="1"/>
  <c r="KA28" i="1"/>
  <c r="JZ28" i="1"/>
  <c r="JS28" i="1"/>
  <c r="JP28" i="1"/>
  <c r="JL28" i="1"/>
  <c r="JC28" i="1"/>
  <c r="IT28" i="1"/>
  <c r="IS28" i="1"/>
  <c r="IR28" i="1"/>
  <c r="IQ28" i="1"/>
  <c r="HL28" i="1"/>
  <c r="HK28" i="1"/>
  <c r="HJ28" i="1"/>
  <c r="HI28" i="1"/>
  <c r="HH28" i="1"/>
  <c r="HG28" i="1"/>
  <c r="FO28" i="1"/>
  <c r="FM28" i="1"/>
  <c r="FF28" i="1"/>
  <c r="FC28" i="1"/>
  <c r="EY28" i="1"/>
  <c r="EP28" i="1" a="1"/>
  <c r="EP28" i="1"/>
  <c r="FN28" i="1" s="1"/>
  <c r="EK28" i="1"/>
  <c r="EJ28" i="1"/>
  <c r="EI28" i="1"/>
  <c r="EH28" i="1"/>
  <c r="DC28" i="1"/>
  <c r="DB28" i="1"/>
  <c r="DA28" i="1"/>
  <c r="CZ28" i="1"/>
  <c r="CY28" i="1"/>
  <c r="CX28" i="1"/>
  <c r="BA28" i="1"/>
  <c r="MI27" i="1"/>
  <c r="MD27" i="1"/>
  <c r="LU27" i="1"/>
  <c r="LT27" i="1"/>
  <c r="KC27" i="1"/>
  <c r="KB27" i="1"/>
  <c r="JZ27" i="1"/>
  <c r="JS27" i="1"/>
  <c r="JP27" i="1"/>
  <c r="JL27" i="1"/>
  <c r="JC27" i="1"/>
  <c r="KA27" i="1" s="1"/>
  <c r="IT27" i="1"/>
  <c r="IS27" i="1"/>
  <c r="IR27" i="1"/>
  <c r="IQ27" i="1"/>
  <c r="HL27" i="1"/>
  <c r="HK27" i="1"/>
  <c r="HJ27" i="1"/>
  <c r="HI27" i="1"/>
  <c r="HH27" i="1"/>
  <c r="HG27" i="1"/>
  <c r="FM27" i="1"/>
  <c r="FF27" i="1"/>
  <c r="FC27" i="1"/>
  <c r="EY27" i="1"/>
  <c r="FO27" i="1" s="1"/>
  <c r="EP27" i="1" a="1"/>
  <c r="EP27" i="1"/>
  <c r="FN27" i="1" s="1"/>
  <c r="EK27" i="1"/>
  <c r="EJ27" i="1"/>
  <c r="EI27" i="1"/>
  <c r="EH27" i="1"/>
  <c r="DC27" i="1"/>
  <c r="DB27" i="1"/>
  <c r="DA27" i="1"/>
  <c r="CZ27" i="1"/>
  <c r="CY27" i="1"/>
  <c r="CX27" i="1"/>
  <c r="BO27" i="1"/>
  <c r="BA27" i="1"/>
  <c r="MI26" i="1"/>
  <c r="MD26" i="1"/>
  <c r="LU26" i="1"/>
  <c r="LT26" i="1"/>
  <c r="JZ26" i="1"/>
  <c r="JS26" i="1"/>
  <c r="JP26" i="1"/>
  <c r="JL26" i="1"/>
  <c r="JC26" i="1"/>
  <c r="KA26" i="1" s="1"/>
  <c r="IT26" i="1"/>
  <c r="IS26" i="1"/>
  <c r="IR26" i="1"/>
  <c r="IQ26" i="1"/>
  <c r="HL26" i="1"/>
  <c r="HK26" i="1"/>
  <c r="HJ26" i="1"/>
  <c r="HI26" i="1"/>
  <c r="HH26" i="1"/>
  <c r="HG26" i="1"/>
  <c r="FM26" i="1"/>
  <c r="FF26" i="1"/>
  <c r="FC26" i="1"/>
  <c r="EY26" i="1"/>
  <c r="EP26" i="1" a="1"/>
  <c r="EP26" i="1" s="1"/>
  <c r="EK26" i="1"/>
  <c r="EJ26" i="1"/>
  <c r="EI26" i="1"/>
  <c r="EH26" i="1"/>
  <c r="DC26" i="1"/>
  <c r="DB26" i="1"/>
  <c r="DA26" i="1"/>
  <c r="CZ26" i="1"/>
  <c r="CY26" i="1"/>
  <c r="CX26" i="1"/>
  <c r="BO26" i="1"/>
  <c r="BA26" i="1"/>
  <c r="MI25" i="1"/>
  <c r="MD25" i="1"/>
  <c r="HL25" i="1"/>
  <c r="HK25" i="1"/>
  <c r="HJ25" i="1"/>
  <c r="HI25" i="1"/>
  <c r="HH25" i="1"/>
  <c r="HG25" i="1"/>
  <c r="FM25" i="1"/>
  <c r="FF25" i="1"/>
  <c r="FC25" i="1"/>
  <c r="EY25" i="1"/>
  <c r="EP25" i="1" a="1"/>
  <c r="EP25" i="1"/>
  <c r="FN25" i="1" s="1"/>
  <c r="EK25" i="1"/>
  <c r="EJ25" i="1"/>
  <c r="EI25" i="1"/>
  <c r="EH25" i="1"/>
  <c r="DC25" i="1"/>
  <c r="DB25" i="1"/>
  <c r="DA25" i="1"/>
  <c r="CZ25" i="1"/>
  <c r="CY25" i="1"/>
  <c r="CX25" i="1"/>
  <c r="BO25" i="1"/>
  <c r="BA25" i="1"/>
  <c r="MI24" i="1"/>
  <c r="MD24" i="1"/>
  <c r="LU24" i="1"/>
  <c r="LT24" i="1"/>
  <c r="JZ24" i="1"/>
  <c r="JS24" i="1"/>
  <c r="JP24" i="1"/>
  <c r="JL24" i="1"/>
  <c r="JC24" i="1"/>
  <c r="KA24" i="1" s="1"/>
  <c r="IT24" i="1"/>
  <c r="IS24" i="1"/>
  <c r="IR24" i="1"/>
  <c r="IQ24" i="1"/>
  <c r="HL24" i="1"/>
  <c r="HK24" i="1"/>
  <c r="HJ24" i="1"/>
  <c r="HI24" i="1"/>
  <c r="HH24" i="1"/>
  <c r="HG24" i="1"/>
  <c r="FM24" i="1"/>
  <c r="FF24" i="1"/>
  <c r="FC24" i="1"/>
  <c r="EY24" i="1"/>
  <c r="EP24" i="1" a="1"/>
  <c r="EP24" i="1" s="1"/>
  <c r="EK24" i="1"/>
  <c r="EJ24" i="1"/>
  <c r="EI24" i="1"/>
  <c r="EH24" i="1"/>
  <c r="DC24" i="1"/>
  <c r="DB24" i="1"/>
  <c r="DA24" i="1"/>
  <c r="CZ24" i="1"/>
  <c r="CY24" i="1"/>
  <c r="CX24" i="1"/>
  <c r="BA24" i="1"/>
  <c r="MI23" i="1"/>
  <c r="MD23" i="1"/>
  <c r="HL23" i="1"/>
  <c r="HK23" i="1"/>
  <c r="HJ23" i="1"/>
  <c r="HI23" i="1"/>
  <c r="HH23" i="1"/>
  <c r="HG23" i="1"/>
  <c r="FO23" i="1"/>
  <c r="FM23" i="1"/>
  <c r="FF23" i="1"/>
  <c r="FC23" i="1"/>
  <c r="EY23" i="1"/>
  <c r="EP23" i="1" a="1"/>
  <c r="EP23" i="1"/>
  <c r="FP23" i="1" s="1"/>
  <c r="EK23" i="1"/>
  <c r="EJ23" i="1"/>
  <c r="EI23" i="1"/>
  <c r="EH23" i="1"/>
  <c r="DC23" i="1"/>
  <c r="DB23" i="1"/>
  <c r="DA23" i="1"/>
  <c r="CZ23" i="1"/>
  <c r="CY23" i="1"/>
  <c r="CX23" i="1"/>
  <c r="BA23" i="1"/>
  <c r="MI22" i="1"/>
  <c r="MD22" i="1"/>
  <c r="HL22" i="1"/>
  <c r="HK22" i="1"/>
  <c r="HJ22" i="1"/>
  <c r="HI22" i="1"/>
  <c r="HH22" i="1"/>
  <c r="HG22" i="1"/>
  <c r="FN22" i="1"/>
  <c r="FM22" i="1"/>
  <c r="FF22" i="1"/>
  <c r="FC22" i="1"/>
  <c r="EY22" i="1"/>
  <c r="FO22" i="1" s="1"/>
  <c r="EK22" i="1"/>
  <c r="EJ22" i="1"/>
  <c r="EI22" i="1"/>
  <c r="EH22" i="1"/>
  <c r="DC22" i="1"/>
  <c r="DB22" i="1"/>
  <c r="DA22" i="1"/>
  <c r="CZ22" i="1"/>
  <c r="CY22" i="1"/>
  <c r="CX22" i="1"/>
  <c r="BA22" i="1"/>
  <c r="MI21" i="1"/>
  <c r="MD21" i="1"/>
  <c r="LU21" i="1"/>
  <c r="LT21" i="1"/>
  <c r="JZ21" i="1"/>
  <c r="JS21" i="1"/>
  <c r="JP21" i="1"/>
  <c r="JL21" i="1"/>
  <c r="JC21" i="1"/>
  <c r="KA21" i="1" s="1"/>
  <c r="IT21" i="1"/>
  <c r="IS21" i="1"/>
  <c r="IR21" i="1"/>
  <c r="IQ21" i="1"/>
  <c r="HL21" i="1"/>
  <c r="HK21" i="1"/>
  <c r="HJ21" i="1"/>
  <c r="HI21" i="1"/>
  <c r="HH21" i="1"/>
  <c r="HG21" i="1"/>
  <c r="FM21" i="1"/>
  <c r="FF21" i="1"/>
  <c r="FC21" i="1"/>
  <c r="EY21" i="1"/>
  <c r="EP21" i="1" a="1"/>
  <c r="EP21" i="1" s="1"/>
  <c r="EK21" i="1"/>
  <c r="EJ21" i="1"/>
  <c r="EI21" i="1"/>
  <c r="EH21" i="1"/>
  <c r="DC21" i="1"/>
  <c r="DB21" i="1"/>
  <c r="DA21" i="1"/>
  <c r="CZ21" i="1"/>
  <c r="CY21" i="1"/>
  <c r="CX21" i="1"/>
  <c r="BO21" i="1"/>
  <c r="BA21" i="1"/>
  <c r="MI20" i="1"/>
  <c r="MD20" i="1"/>
  <c r="LU20" i="1"/>
  <c r="LT20" i="1"/>
  <c r="JZ20" i="1"/>
  <c r="JS20" i="1"/>
  <c r="JP20" i="1"/>
  <c r="JL20" i="1"/>
  <c r="JC20" i="1"/>
  <c r="KA20" i="1" s="1"/>
  <c r="IT20" i="1"/>
  <c r="IS20" i="1"/>
  <c r="IR20" i="1"/>
  <c r="IQ20" i="1"/>
  <c r="HL20" i="1"/>
  <c r="HK20" i="1"/>
  <c r="HJ20" i="1"/>
  <c r="HI20" i="1"/>
  <c r="HH20" i="1"/>
  <c r="HG20" i="1"/>
  <c r="FM20" i="1"/>
  <c r="FF20" i="1"/>
  <c r="FC20" i="1"/>
  <c r="EY20" i="1"/>
  <c r="FO20" i="1" s="1"/>
  <c r="EP20" i="1" a="1"/>
  <c r="EP20" i="1" s="1"/>
  <c r="EK20" i="1"/>
  <c r="EJ20" i="1"/>
  <c r="EI20" i="1"/>
  <c r="EH20" i="1"/>
  <c r="DC20" i="1"/>
  <c r="DB20" i="1"/>
  <c r="DA20" i="1"/>
  <c r="CZ20" i="1"/>
  <c r="CY20" i="1"/>
  <c r="CX20" i="1"/>
  <c r="BA20" i="1"/>
  <c r="MI19" i="1"/>
  <c r="MD19" i="1"/>
  <c r="LU19" i="1"/>
  <c r="LT19" i="1"/>
  <c r="KA19" i="1"/>
  <c r="JZ19" i="1"/>
  <c r="JS19" i="1"/>
  <c r="JP19" i="1"/>
  <c r="JL19" i="1"/>
  <c r="KB19" i="1" s="1"/>
  <c r="JC19" i="1"/>
  <c r="KC19" i="1" s="1"/>
  <c r="IT19" i="1"/>
  <c r="IS19" i="1"/>
  <c r="IR19" i="1"/>
  <c r="IQ19" i="1"/>
  <c r="HL19" i="1"/>
  <c r="HK19" i="1"/>
  <c r="HJ19" i="1"/>
  <c r="HI19" i="1"/>
  <c r="HH19" i="1"/>
  <c r="HG19" i="1"/>
  <c r="FM19" i="1"/>
  <c r="FF19" i="1"/>
  <c r="FC19" i="1"/>
  <c r="EY19" i="1"/>
  <c r="FO19" i="1" s="1"/>
  <c r="EP19" i="1" a="1"/>
  <c r="EP19" i="1" s="1"/>
  <c r="FN19" i="1" s="1"/>
  <c r="EK19" i="1"/>
  <c r="EJ19" i="1"/>
  <c r="EI19" i="1"/>
  <c r="EH19" i="1"/>
  <c r="DC19" i="1"/>
  <c r="DB19" i="1"/>
  <c r="DA19" i="1"/>
  <c r="CZ19" i="1"/>
  <c r="CY19" i="1"/>
  <c r="CX19" i="1"/>
  <c r="BO19" i="1"/>
  <c r="BA19" i="1"/>
  <c r="MI18" i="1"/>
  <c r="MD18" i="1"/>
  <c r="LU18" i="1"/>
  <c r="LT18" i="1"/>
  <c r="JZ18" i="1"/>
  <c r="JS18" i="1"/>
  <c r="JP18" i="1"/>
  <c r="JL18" i="1"/>
  <c r="KB18" i="1" s="1"/>
  <c r="JC18" i="1"/>
  <c r="KA18" i="1" s="1"/>
  <c r="IT18" i="1"/>
  <c r="IS18" i="1"/>
  <c r="IR18" i="1"/>
  <c r="IQ18" i="1"/>
  <c r="HL18" i="1"/>
  <c r="HK18" i="1"/>
  <c r="HJ18" i="1"/>
  <c r="HI18" i="1"/>
  <c r="HH18" i="1"/>
  <c r="HG18" i="1"/>
  <c r="FM18" i="1"/>
  <c r="FF18" i="1"/>
  <c r="FC18" i="1"/>
  <c r="EY18" i="1"/>
  <c r="FO18" i="1" s="1"/>
  <c r="EP18" i="1" a="1"/>
  <c r="EP18" i="1"/>
  <c r="FP18" i="1" s="1"/>
  <c r="EK18" i="1"/>
  <c r="EJ18" i="1"/>
  <c r="EI18" i="1"/>
  <c r="EH18" i="1"/>
  <c r="DC18" i="1"/>
  <c r="DB18" i="1"/>
  <c r="DA18" i="1"/>
  <c r="CZ18" i="1"/>
  <c r="CY18" i="1"/>
  <c r="CX18" i="1"/>
  <c r="BA18" i="1"/>
  <c r="MI17" i="1"/>
  <c r="MD17" i="1"/>
  <c r="KA17" i="1"/>
  <c r="FM17" i="1"/>
  <c r="FF17" i="1"/>
  <c r="FC17" i="1"/>
  <c r="EY17" i="1"/>
  <c r="EP17" i="1" a="1"/>
  <c r="EP17" i="1" s="1"/>
  <c r="FP17" i="1" s="1"/>
  <c r="EK17" i="1"/>
  <c r="EJ17" i="1"/>
  <c r="EI17" i="1"/>
  <c r="EH17" i="1"/>
  <c r="DC17" i="1"/>
  <c r="DB17" i="1"/>
  <c r="DA17" i="1"/>
  <c r="CZ17" i="1"/>
  <c r="CY17" i="1"/>
  <c r="CX17" i="1"/>
  <c r="BO17" i="1"/>
  <c r="BA17" i="1"/>
  <c r="MI16" i="1"/>
  <c r="MD16" i="1"/>
  <c r="LU16" i="1"/>
  <c r="LT16" i="1"/>
  <c r="KA16" i="1"/>
  <c r="JZ16" i="1"/>
  <c r="JS16" i="1"/>
  <c r="JP16" i="1"/>
  <c r="KC16" i="1" s="1"/>
  <c r="JL16" i="1"/>
  <c r="JC16" i="1"/>
  <c r="IT16" i="1"/>
  <c r="IS16" i="1"/>
  <c r="IR16" i="1"/>
  <c r="IQ16" i="1"/>
  <c r="HL16" i="1"/>
  <c r="HK16" i="1"/>
  <c r="HJ16" i="1"/>
  <c r="HI16" i="1"/>
  <c r="HH16" i="1"/>
  <c r="HG16" i="1"/>
  <c r="FM16" i="1"/>
  <c r="FF16" i="1"/>
  <c r="FC16" i="1"/>
  <c r="EY16" i="1"/>
  <c r="EP16" i="1" a="1"/>
  <c r="EP16" i="1" s="1"/>
  <c r="EK16" i="1"/>
  <c r="EJ16" i="1"/>
  <c r="EI16" i="1"/>
  <c r="EH16" i="1"/>
  <c r="DC16" i="1"/>
  <c r="DB16" i="1"/>
  <c r="DA16" i="1"/>
  <c r="CZ16" i="1"/>
  <c r="CY16" i="1"/>
  <c r="CX16" i="1"/>
  <c r="BA16" i="1"/>
  <c r="MI15" i="1"/>
  <c r="MD15" i="1"/>
  <c r="LU15" i="1"/>
  <c r="LT15" i="1"/>
  <c r="JZ15" i="1"/>
  <c r="JS15" i="1"/>
  <c r="JP15" i="1"/>
  <c r="JL15" i="1"/>
  <c r="JC15" i="1"/>
  <c r="KA15" i="1" s="1"/>
  <c r="IT15" i="1"/>
  <c r="IS15" i="1"/>
  <c r="IR15" i="1"/>
  <c r="IQ15" i="1"/>
  <c r="HL15" i="1"/>
  <c r="HK15" i="1"/>
  <c r="HJ15" i="1"/>
  <c r="HI15" i="1"/>
  <c r="HH15" i="1"/>
  <c r="HG15" i="1"/>
  <c r="FM15" i="1"/>
  <c r="FF15" i="1"/>
  <c r="FC15" i="1"/>
  <c r="EY15" i="1"/>
  <c r="FO15" i="1" s="1"/>
  <c r="EP15" i="1" a="1"/>
  <c r="EP15" i="1" s="1"/>
  <c r="EK15" i="1"/>
  <c r="EJ15" i="1"/>
  <c r="EI15" i="1"/>
  <c r="EH15" i="1"/>
  <c r="DC15" i="1"/>
  <c r="DB15" i="1"/>
  <c r="DA15" i="1"/>
  <c r="CZ15" i="1"/>
  <c r="CY15" i="1"/>
  <c r="CX15" i="1"/>
  <c r="BO15" i="1"/>
  <c r="BA15" i="1"/>
  <c r="MI14" i="1"/>
  <c r="MD14" i="1"/>
  <c r="LU14" i="1"/>
  <c r="LT14" i="1"/>
  <c r="JZ14" i="1"/>
  <c r="JS14" i="1"/>
  <c r="JP14" i="1"/>
  <c r="JL14" i="1"/>
  <c r="KB14" i="1" s="1"/>
  <c r="JC14" i="1"/>
  <c r="KA14" i="1" s="1"/>
  <c r="IT14" i="1"/>
  <c r="IS14" i="1"/>
  <c r="IR14" i="1"/>
  <c r="IQ14" i="1"/>
  <c r="HL14" i="1"/>
  <c r="HK14" i="1"/>
  <c r="HJ14" i="1"/>
  <c r="HI14" i="1"/>
  <c r="HH14" i="1"/>
  <c r="HG14" i="1"/>
  <c r="FM14" i="1"/>
  <c r="FF14" i="1"/>
  <c r="FC14" i="1"/>
  <c r="EY14" i="1"/>
  <c r="FO14" i="1" s="1"/>
  <c r="EP14" i="1" a="1"/>
  <c r="EP14" i="1" s="1"/>
  <c r="EK14" i="1"/>
  <c r="EJ14" i="1"/>
  <c r="EI14" i="1"/>
  <c r="EH14" i="1"/>
  <c r="DC14" i="1"/>
  <c r="DB14" i="1"/>
  <c r="DA14" i="1"/>
  <c r="CZ14" i="1"/>
  <c r="CY14" i="1"/>
  <c r="CX14" i="1"/>
  <c r="BO14" i="1"/>
  <c r="BA14" i="1"/>
  <c r="MI13" i="1"/>
  <c r="MD13" i="1"/>
  <c r="LU13" i="1"/>
  <c r="LT13" i="1"/>
  <c r="KA13" i="1"/>
  <c r="JZ13" i="1"/>
  <c r="JS13" i="1"/>
  <c r="JP13" i="1"/>
  <c r="JL13" i="1"/>
  <c r="KB13" i="1" s="1"/>
  <c r="JC13" i="1"/>
  <c r="IT13" i="1"/>
  <c r="IS13" i="1"/>
  <c r="IR13" i="1"/>
  <c r="IQ13" i="1"/>
  <c r="HL13" i="1"/>
  <c r="HK13" i="1"/>
  <c r="HJ13" i="1"/>
  <c r="HI13" i="1"/>
  <c r="HH13" i="1"/>
  <c r="HG13" i="1"/>
  <c r="FN13" i="1"/>
  <c r="FM13" i="1"/>
  <c r="FO13" i="1" s="1"/>
  <c r="FF13" i="1"/>
  <c r="FC13" i="1"/>
  <c r="EY13" i="1"/>
  <c r="EP13" i="1" a="1"/>
  <c r="EP13" i="1"/>
  <c r="FP13" i="1" s="1"/>
  <c r="EK13" i="1"/>
  <c r="EJ13" i="1"/>
  <c r="EI13" i="1"/>
  <c r="EH13" i="1"/>
  <c r="DC13" i="1"/>
  <c r="DB13" i="1"/>
  <c r="DA13" i="1"/>
  <c r="CZ13" i="1"/>
  <c r="CY13" i="1"/>
  <c r="CX13" i="1"/>
  <c r="BO13" i="1"/>
  <c r="BA13" i="1"/>
  <c r="MI12" i="1"/>
  <c r="MD12" i="1"/>
  <c r="LU12" i="1"/>
  <c r="LT12" i="1"/>
  <c r="KC12" i="1"/>
  <c r="KB12" i="1"/>
  <c r="JZ12" i="1"/>
  <c r="JS12" i="1"/>
  <c r="JP12" i="1"/>
  <c r="JL12" i="1"/>
  <c r="JC12" i="1"/>
  <c r="KA12" i="1" s="1"/>
  <c r="IT12" i="1"/>
  <c r="IS12" i="1"/>
  <c r="IR12" i="1"/>
  <c r="IQ12" i="1"/>
  <c r="HL12" i="1"/>
  <c r="HK12" i="1"/>
  <c r="HJ12" i="1"/>
  <c r="HI12" i="1"/>
  <c r="HH12" i="1"/>
  <c r="HG12" i="1"/>
  <c r="FM12" i="1"/>
  <c r="FF12" i="1"/>
  <c r="FC12" i="1"/>
  <c r="EY12" i="1"/>
  <c r="FO12" i="1" s="1"/>
  <c r="EP12" i="1" a="1"/>
  <c r="EP12" i="1"/>
  <c r="FN12" i="1" s="1"/>
  <c r="EK12" i="1"/>
  <c r="EJ12" i="1"/>
  <c r="EI12" i="1"/>
  <c r="EH12" i="1"/>
  <c r="DC12" i="1"/>
  <c r="DB12" i="1"/>
  <c r="DA12" i="1"/>
  <c r="CZ12" i="1"/>
  <c r="CY12" i="1"/>
  <c r="CX12" i="1"/>
  <c r="BA12" i="1"/>
  <c r="MI11" i="1"/>
  <c r="MD11" i="1"/>
  <c r="LU11" i="1"/>
  <c r="LT11" i="1"/>
  <c r="JZ11" i="1"/>
  <c r="JS11" i="1"/>
  <c r="KC11" i="1" s="1"/>
  <c r="JP11" i="1"/>
  <c r="JL11" i="1"/>
  <c r="JC11" i="1"/>
  <c r="KA11" i="1" s="1"/>
  <c r="IT11" i="1"/>
  <c r="IS11" i="1"/>
  <c r="IR11" i="1"/>
  <c r="IQ11" i="1"/>
  <c r="HL11" i="1"/>
  <c r="HK11" i="1"/>
  <c r="HJ11" i="1"/>
  <c r="HI11" i="1"/>
  <c r="HH11" i="1"/>
  <c r="HG11" i="1"/>
  <c r="FM11" i="1"/>
  <c r="FF11" i="1"/>
  <c r="FC11" i="1"/>
  <c r="EY11" i="1"/>
  <c r="EP11" i="1" a="1"/>
  <c r="EP11" i="1" s="1"/>
  <c r="EK11" i="1"/>
  <c r="EJ11" i="1"/>
  <c r="EI11" i="1"/>
  <c r="EH11" i="1"/>
  <c r="DC11" i="1"/>
  <c r="DB11" i="1"/>
  <c r="DA11" i="1"/>
  <c r="CZ11" i="1"/>
  <c r="CY11" i="1"/>
  <c r="CX11" i="1"/>
  <c r="BO11" i="1"/>
  <c r="BA11" i="1"/>
  <c r="MI10" i="1"/>
  <c r="MD10" i="1"/>
  <c r="HL10" i="1"/>
  <c r="HK10" i="1"/>
  <c r="HJ10" i="1"/>
  <c r="HI10" i="1"/>
  <c r="HH10" i="1"/>
  <c r="HG10" i="1"/>
  <c r="FM10" i="1"/>
  <c r="FO10" i="1" s="1"/>
  <c r="FF10" i="1"/>
  <c r="FC10" i="1"/>
  <c r="EY10" i="1"/>
  <c r="EP10" i="1" a="1"/>
  <c r="EP10" i="1"/>
  <c r="EK10" i="1"/>
  <c r="EJ10" i="1"/>
  <c r="EI10" i="1"/>
  <c r="EH10" i="1"/>
  <c r="DC10" i="1"/>
  <c r="DB10" i="1"/>
  <c r="DA10" i="1"/>
  <c r="CZ10" i="1"/>
  <c r="CY10" i="1"/>
  <c r="CX10" i="1"/>
  <c r="BO10" i="1"/>
  <c r="BA10" i="1"/>
  <c r="MI9" i="1"/>
  <c r="MD9" i="1"/>
  <c r="LU9" i="1"/>
  <c r="LT9" i="1"/>
  <c r="JZ9" i="1"/>
  <c r="JS9" i="1"/>
  <c r="KC9" i="1" s="1"/>
  <c r="JP9" i="1"/>
  <c r="JL9" i="1"/>
  <c r="JC9" i="1"/>
  <c r="KA9" i="1" s="1"/>
  <c r="IT9" i="1"/>
  <c r="IS9" i="1"/>
  <c r="IR9" i="1"/>
  <c r="IQ9" i="1"/>
  <c r="HL9" i="1"/>
  <c r="HK9" i="1"/>
  <c r="HJ9" i="1"/>
  <c r="HI9" i="1"/>
  <c r="HH9" i="1"/>
  <c r="HG9" i="1"/>
  <c r="FM9" i="1"/>
  <c r="FF9" i="1"/>
  <c r="FC9" i="1"/>
  <c r="EY9" i="1"/>
  <c r="EP9" i="1" a="1"/>
  <c r="EP9" i="1" s="1"/>
  <c r="EK9" i="1"/>
  <c r="EJ9" i="1"/>
  <c r="EI9" i="1"/>
  <c r="EH9" i="1"/>
  <c r="DC9" i="1"/>
  <c r="DB9" i="1"/>
  <c r="DA9" i="1"/>
  <c r="CZ9" i="1"/>
  <c r="CY9" i="1"/>
  <c r="CX9" i="1"/>
  <c r="BA9" i="1"/>
  <c r="MI8" i="1"/>
  <c r="MD8" i="1"/>
  <c r="LU8" i="1"/>
  <c r="LT8" i="1"/>
  <c r="JZ8" i="1"/>
  <c r="JS8" i="1"/>
  <c r="JP8" i="1"/>
  <c r="JL8" i="1"/>
  <c r="KB8" i="1" s="1"/>
  <c r="JC8" i="1"/>
  <c r="KC8" i="1" s="1"/>
  <c r="IT8" i="1"/>
  <c r="IS8" i="1"/>
  <c r="IR8" i="1"/>
  <c r="IQ8" i="1"/>
  <c r="HL8" i="1"/>
  <c r="HK8" i="1"/>
  <c r="HJ8" i="1"/>
  <c r="HI8" i="1"/>
  <c r="HH8" i="1"/>
  <c r="HG8" i="1"/>
  <c r="FM8" i="1"/>
  <c r="FF8" i="1"/>
  <c r="FC8" i="1"/>
  <c r="EY8" i="1"/>
  <c r="EP8" i="1" a="1"/>
  <c r="EP8" i="1" s="1"/>
  <c r="EK8" i="1"/>
  <c r="EJ8" i="1"/>
  <c r="EI8" i="1"/>
  <c r="EH8" i="1"/>
  <c r="DC8" i="1"/>
  <c r="DB8" i="1"/>
  <c r="DA8" i="1"/>
  <c r="CZ8" i="1"/>
  <c r="CY8" i="1"/>
  <c r="CX8" i="1"/>
  <c r="BO8" i="1"/>
  <c r="BA8" i="1"/>
  <c r="MI7" i="1"/>
  <c r="MD7" i="1"/>
  <c r="LU7" i="1"/>
  <c r="LT7" i="1"/>
  <c r="KA7" i="1"/>
  <c r="JZ7" i="1"/>
  <c r="JS7" i="1"/>
  <c r="JP7" i="1"/>
  <c r="JL7" i="1"/>
  <c r="JC7" i="1"/>
  <c r="IT7" i="1"/>
  <c r="IS7" i="1"/>
  <c r="IR7" i="1"/>
  <c r="IQ7" i="1"/>
  <c r="HL7" i="1"/>
  <c r="HK7" i="1"/>
  <c r="HJ7" i="1"/>
  <c r="HI7" i="1"/>
  <c r="HH7" i="1"/>
  <c r="HG7" i="1"/>
  <c r="FM7" i="1"/>
  <c r="FF7" i="1"/>
  <c r="FO7" i="1" s="1"/>
  <c r="FC7" i="1"/>
  <c r="EY7" i="1"/>
  <c r="EP7" i="1" a="1"/>
  <c r="EP7" i="1" s="1"/>
  <c r="FP7" i="1" s="1"/>
  <c r="EK7" i="1"/>
  <c r="EJ7" i="1"/>
  <c r="EI7" i="1"/>
  <c r="EH7" i="1"/>
  <c r="DC7" i="1"/>
  <c r="DB7" i="1"/>
  <c r="DA7" i="1"/>
  <c r="CZ7" i="1"/>
  <c r="CY7" i="1"/>
  <c r="CX7" i="1"/>
  <c r="BO7" i="1"/>
  <c r="BA7" i="1"/>
  <c r="MI6" i="1"/>
  <c r="MD6" i="1"/>
  <c r="LU6" i="1"/>
  <c r="LT6" i="1"/>
  <c r="JZ6" i="1"/>
  <c r="JS6" i="1"/>
  <c r="JP6" i="1"/>
  <c r="KC6" i="1" s="1"/>
  <c r="JL6" i="1"/>
  <c r="JC6" i="1"/>
  <c r="KA6" i="1" s="1"/>
  <c r="HL6" i="1"/>
  <c r="HK6" i="1"/>
  <c r="HJ6" i="1"/>
  <c r="HI6" i="1"/>
  <c r="HH6" i="1"/>
  <c r="HG6" i="1"/>
  <c r="FM6" i="1"/>
  <c r="FF6" i="1"/>
  <c r="FC6" i="1"/>
  <c r="EY6" i="1"/>
  <c r="FO6" i="1" s="1"/>
  <c r="EP6" i="1" a="1"/>
  <c r="EP6" i="1"/>
  <c r="FP6" i="1" s="1"/>
  <c r="EK6" i="1"/>
  <c r="EJ6" i="1"/>
  <c r="EI6" i="1"/>
  <c r="EH6" i="1"/>
  <c r="DC6" i="1"/>
  <c r="DB6" i="1"/>
  <c r="DA6" i="1"/>
  <c r="CZ6" i="1"/>
  <c r="CY6" i="1"/>
  <c r="CX6" i="1"/>
  <c r="BO6" i="1"/>
  <c r="BA6" i="1"/>
  <c r="MI5" i="1"/>
  <c r="MD5" i="1"/>
  <c r="LU5" i="1"/>
  <c r="LT5" i="1"/>
  <c r="JZ5" i="1"/>
  <c r="JS5" i="1"/>
  <c r="JP5" i="1"/>
  <c r="JL5" i="1"/>
  <c r="KB5" i="1" s="1"/>
  <c r="JC5" i="1"/>
  <c r="KA5" i="1" s="1"/>
  <c r="HL5" i="1"/>
  <c r="HK5" i="1"/>
  <c r="HJ5" i="1"/>
  <c r="HI5" i="1"/>
  <c r="HH5" i="1"/>
  <c r="HG5" i="1"/>
  <c r="FM5" i="1"/>
  <c r="FF5" i="1"/>
  <c r="FC5" i="1"/>
  <c r="EY5" i="1"/>
  <c r="EP5" i="1" a="1"/>
  <c r="EP5" i="1" s="1"/>
  <c r="FN5" i="1" s="1"/>
  <c r="EK5" i="1"/>
  <c r="EJ5" i="1"/>
  <c r="EI5" i="1"/>
  <c r="EH5" i="1"/>
  <c r="DC5" i="1"/>
  <c r="DB5" i="1"/>
  <c r="DA5" i="1"/>
  <c r="CZ5" i="1"/>
  <c r="CY5" i="1"/>
  <c r="CX5" i="1"/>
  <c r="BO5" i="1"/>
  <c r="BA5" i="1"/>
  <c r="MI4" i="1"/>
  <c r="MD4" i="1"/>
  <c r="FM4" i="1"/>
  <c r="FF4" i="1"/>
  <c r="FC4" i="1"/>
  <c r="EY4" i="1"/>
  <c r="EP4" i="1" a="1"/>
  <c r="EP4" i="1" s="1"/>
  <c r="EK4" i="1"/>
  <c r="EJ4" i="1"/>
  <c r="EI4" i="1"/>
  <c r="EH4" i="1"/>
  <c r="DC4" i="1"/>
  <c r="DB4" i="1"/>
  <c r="DA4" i="1"/>
  <c r="CZ4" i="1"/>
  <c r="CY4" i="1"/>
  <c r="CX4" i="1"/>
  <c r="MI3" i="1"/>
  <c r="MD3" i="1"/>
  <c r="LU3" i="1"/>
  <c r="LT3" i="1"/>
  <c r="KA3" i="1"/>
  <c r="JZ3" i="1"/>
  <c r="JS3" i="1"/>
  <c r="JP3" i="1"/>
  <c r="JL3" i="1"/>
  <c r="JC3" i="1"/>
  <c r="HL3" i="1"/>
  <c r="HK3" i="1"/>
  <c r="HJ3" i="1"/>
  <c r="HI3" i="1"/>
  <c r="HH3" i="1"/>
  <c r="HG3" i="1"/>
  <c r="FM3" i="1"/>
  <c r="FF3" i="1"/>
  <c r="FC3" i="1"/>
  <c r="EY3" i="1"/>
  <c r="FO3" i="1" s="1"/>
  <c r="EP3" i="1" a="1"/>
  <c r="EP3" i="1" s="1"/>
  <c r="EK3" i="1"/>
  <c r="EJ3" i="1"/>
  <c r="EI3" i="1"/>
  <c r="EH3" i="1"/>
  <c r="DC3" i="1"/>
  <c r="DB3" i="1"/>
  <c r="DA3" i="1"/>
  <c r="CZ3" i="1"/>
  <c r="CY3" i="1"/>
  <c r="CX3" i="1"/>
  <c r="BO3" i="1"/>
  <c r="BA3" i="1"/>
  <c r="MI2" i="1"/>
  <c r="MD2" i="1"/>
  <c r="LU2" i="1"/>
  <c r="LT2" i="1"/>
  <c r="JZ2" i="1"/>
  <c r="JS2" i="1"/>
  <c r="JP2" i="1"/>
  <c r="JL2" i="1"/>
  <c r="JC2" i="1"/>
  <c r="HL2" i="1"/>
  <c r="HK2" i="1"/>
  <c r="HJ2" i="1"/>
  <c r="HI2" i="1"/>
  <c r="HH2" i="1"/>
  <c r="HG2" i="1"/>
  <c r="FM2" i="1"/>
  <c r="FF2" i="1"/>
  <c r="FC2" i="1"/>
  <c r="EY2" i="1"/>
  <c r="FO2" i="1" s="1"/>
  <c r="EP2" i="1" a="1"/>
  <c r="EP2" i="1"/>
  <c r="FN2" i="1" s="1"/>
  <c r="EK2" i="1"/>
  <c r="EJ2" i="1"/>
  <c r="EI2" i="1"/>
  <c r="EH2" i="1"/>
  <c r="DC2" i="1"/>
  <c r="DB2" i="1"/>
  <c r="DA2" i="1"/>
  <c r="CZ2" i="1"/>
  <c r="CY2" i="1"/>
  <c r="CX2" i="1"/>
  <c r="BO2" i="1"/>
  <c r="BA2" i="1"/>
  <c r="FN15" i="1" l="1"/>
  <c r="FP15" i="1"/>
  <c r="FP44" i="1"/>
  <c r="FN44" i="1"/>
  <c r="FP24" i="1"/>
  <c r="FN24" i="1"/>
  <c r="FP16" i="1"/>
  <c r="FN16" i="1"/>
  <c r="FP26" i="1"/>
  <c r="FN26" i="1"/>
  <c r="FP40" i="1"/>
  <c r="FN40" i="1"/>
  <c r="FP21" i="1"/>
  <c r="FN21" i="1"/>
  <c r="FP20" i="1"/>
  <c r="FN20" i="1"/>
  <c r="FO5" i="1"/>
  <c r="FO45" i="1"/>
  <c r="FP10" i="1"/>
  <c r="FO4" i="1"/>
  <c r="KB15" i="1"/>
  <c r="FO25" i="1"/>
  <c r="KC28" i="1"/>
  <c r="FO40" i="1"/>
  <c r="KB44" i="1"/>
  <c r="KC48" i="1"/>
  <c r="KC52" i="1"/>
  <c r="FO55" i="1"/>
  <c r="FP34" i="1"/>
  <c r="KB7" i="1"/>
  <c r="KC40" i="1"/>
  <c r="FP22" i="1"/>
  <c r="KC37" i="1"/>
  <c r="FP39" i="1"/>
  <c r="KC2" i="1"/>
  <c r="KC13" i="1"/>
  <c r="KC14" i="1"/>
  <c r="KA30" i="1"/>
  <c r="FO31" i="1"/>
  <c r="FP41" i="1"/>
  <c r="FO42" i="1"/>
  <c r="KA43" i="1"/>
  <c r="KC45" i="1"/>
  <c r="KC46" i="1"/>
  <c r="FP49" i="1"/>
  <c r="FO53" i="1"/>
  <c r="FP35" i="1"/>
  <c r="KB20" i="1"/>
  <c r="KC31" i="1"/>
  <c r="FO36" i="1"/>
  <c r="FP38" i="1"/>
  <c r="KB2" i="1"/>
  <c r="KB3" i="1"/>
  <c r="FN6" i="1"/>
  <c r="FO8" i="1"/>
  <c r="KB9" i="1"/>
  <c r="KB11" i="1"/>
  <c r="FO17" i="1"/>
  <c r="FN18" i="1"/>
  <c r="FO24" i="1"/>
  <c r="KB24" i="1"/>
  <c r="FO26" i="1"/>
  <c r="KB26" i="1"/>
  <c r="FN31" i="1"/>
  <c r="KB35" i="1"/>
  <c r="KB39" i="1"/>
  <c r="KA44" i="1"/>
  <c r="KB45" i="1"/>
  <c r="KA53" i="1"/>
  <c r="FP28" i="1"/>
  <c r="FO16" i="1"/>
  <c r="KC3" i="1"/>
  <c r="KC5" i="1"/>
  <c r="KB6" i="1"/>
  <c r="FO9" i="1"/>
  <c r="FO11" i="1"/>
  <c r="KB16" i="1"/>
  <c r="KC20" i="1"/>
  <c r="FO21" i="1"/>
  <c r="KB21" i="1"/>
  <c r="KB28" i="1"/>
  <c r="KB32" i="1"/>
  <c r="KC33" i="1"/>
  <c r="KC36" i="1"/>
  <c r="FO41" i="1"/>
  <c r="KB41" i="1"/>
  <c r="FO47" i="1"/>
  <c r="KC51" i="1"/>
  <c r="FO54" i="1"/>
  <c r="FN3" i="1"/>
  <c r="FP3" i="1"/>
  <c r="FP36" i="1"/>
  <c r="FN36" i="1"/>
  <c r="FP48" i="1"/>
  <c r="FN48" i="1"/>
  <c r="FP4" i="1"/>
  <c r="FN4" i="1"/>
  <c r="FP14" i="1"/>
  <c r="FN14" i="1"/>
  <c r="FP46" i="1"/>
  <c r="FN46" i="1"/>
  <c r="FN33" i="1"/>
  <c r="FP33" i="1"/>
  <c r="FP53" i="1"/>
  <c r="FN53" i="1"/>
  <c r="FN8" i="1"/>
  <c r="FP8" i="1"/>
  <c r="FP52" i="1"/>
  <c r="FN52" i="1"/>
  <c r="FP9" i="1"/>
  <c r="FN9" i="1"/>
  <c r="FP11" i="1"/>
  <c r="FN11" i="1"/>
  <c r="FP45" i="1"/>
  <c r="FN45" i="1"/>
  <c r="FP54" i="1"/>
  <c r="FN54" i="1"/>
  <c r="FP32" i="1"/>
  <c r="FN32" i="1"/>
  <c r="KC7" i="1"/>
  <c r="KC15" i="1"/>
  <c r="KC39" i="1"/>
  <c r="FN7" i="1"/>
  <c r="FN10" i="1"/>
  <c r="KC18" i="1"/>
  <c r="KC21" i="1"/>
  <c r="FN23" i="1"/>
  <c r="KC24" i="1"/>
  <c r="KC26" i="1"/>
  <c r="KC29" i="1"/>
  <c r="FN38" i="1"/>
  <c r="KC41" i="1"/>
  <c r="FN49" i="1"/>
  <c r="FP25" i="1"/>
  <c r="FP27" i="1"/>
  <c r="FP30" i="1"/>
  <c r="FP42" i="1"/>
  <c r="FP43" i="1"/>
  <c r="FP47" i="1"/>
  <c r="FP50" i="1"/>
  <c r="FP51" i="1"/>
  <c r="KA51" i="1"/>
  <c r="FP19" i="1"/>
  <c r="FN55" i="1"/>
  <c r="FP12" i="1"/>
  <c r="FP2" i="1"/>
  <c r="FP5" i="1"/>
  <c r="KA2" i="1"/>
  <c r="KA8" i="1"/>
  <c r="FN17" i="1"/>
  <c r="KA36" i="1"/>
  <c r="KA45" i="1"/>
</calcChain>
</file>

<file path=xl/sharedStrings.xml><?xml version="1.0" encoding="utf-8"?>
<sst xmlns="http://schemas.openxmlformats.org/spreadsheetml/2006/main" count="6218" uniqueCount="1657">
  <si>
    <t>Cognome</t>
  </si>
  <si>
    <t>Nome</t>
  </si>
  <si>
    <t>File</t>
  </si>
  <si>
    <t>Età</t>
  </si>
  <si>
    <t>Sex</t>
  </si>
  <si>
    <t>Scolarità (anni)</t>
  </si>
  <si>
    <t>Group</t>
  </si>
  <si>
    <t>Full_Assessment</t>
  </si>
  <si>
    <t>Delusion theme</t>
  </si>
  <si>
    <t>Diagnosi alla dimissione_1</t>
  </si>
  <si>
    <t>1_Diagnosi alla dimissione</t>
  </si>
  <si>
    <t>2_Diagnosi alla dimissione</t>
  </si>
  <si>
    <t>3_Diagnosi alla dimissione</t>
  </si>
  <si>
    <t>Diagnosi alla dimissione_2</t>
  </si>
  <si>
    <t>Diagnosis Grouping</t>
  </si>
  <si>
    <t>Motivo del ricovero</t>
  </si>
  <si>
    <t>Data di ammissione</t>
  </si>
  <si>
    <t>Data di dimissione</t>
  </si>
  <si>
    <t xml:space="preserve">1_Diagnosi all'ammissione </t>
  </si>
  <si>
    <t xml:space="preserve">2_Diagnosi all'ammissione </t>
  </si>
  <si>
    <t>Terapia all'ammissione</t>
  </si>
  <si>
    <t>Uso di sostanze all'ammissione</t>
  </si>
  <si>
    <t>Tipo di sostanze all'ammissione</t>
  </si>
  <si>
    <t>1_Farmaco durante ricovero</t>
  </si>
  <si>
    <t>2_Farmaco durante ricovero</t>
  </si>
  <si>
    <t>3_Farmaco durante ricovero</t>
  </si>
  <si>
    <t>4_Farmaco durante ricovero</t>
  </si>
  <si>
    <t>5_Farmaco durante ricovero</t>
  </si>
  <si>
    <t>6_Farmaco durante ricovero</t>
  </si>
  <si>
    <t>7_Farmaco durante ricovero</t>
  </si>
  <si>
    <t>8_Farmaco durante ricovero</t>
  </si>
  <si>
    <t>9_Farmaco durante ricovero</t>
  </si>
  <si>
    <t>10_Farmaco durante ricovero</t>
  </si>
  <si>
    <t>11_Farmaco durante ricovero</t>
  </si>
  <si>
    <t>12_Farmaco durante ricovero</t>
  </si>
  <si>
    <t>1_Terapia alla dimissione</t>
  </si>
  <si>
    <t>1_Terapia alla dimissione (dose)</t>
  </si>
  <si>
    <t>2_Terapia alla dimissione</t>
  </si>
  <si>
    <t>2_Terapia alla dimissione (dose)</t>
  </si>
  <si>
    <t>3_Terapia alla dimissione</t>
  </si>
  <si>
    <t>3_Terapia alla dimissione (dose)</t>
  </si>
  <si>
    <t>4_Terapia alla dimissione</t>
  </si>
  <si>
    <t>4_Terapia alla dimissione (dose)</t>
  </si>
  <si>
    <t>5_Terapia alla dimissione</t>
  </si>
  <si>
    <t>5_Terapia alla dimissione (dose)</t>
  </si>
  <si>
    <t>6_Terapia alla dimissione</t>
  </si>
  <si>
    <t>6_Terapia alla dimissione (dose)</t>
  </si>
  <si>
    <t>7_Terapia alla dimissione</t>
  </si>
  <si>
    <t>7_Terapia alla dimissione (dose)</t>
  </si>
  <si>
    <t>8_Terapia alla dimissione</t>
  </si>
  <si>
    <t>8_Terapia alla dimissione (dose)</t>
  </si>
  <si>
    <t>Numero di farmaci</t>
  </si>
  <si>
    <t>Antipsicotico</t>
  </si>
  <si>
    <t>Stato di TSO al momento del ricovero</t>
  </si>
  <si>
    <t>Durata del ricovero (in giorni)</t>
  </si>
  <si>
    <t>Numero di ricoveri (entro l'anno)</t>
  </si>
  <si>
    <t>Esecuzione di contenzione fisica (Sì/No)</t>
  </si>
  <si>
    <t>Presenza e tema del delirio</t>
  </si>
  <si>
    <t>Sono note alterazioni a esami di imaging o EEG?</t>
  </si>
  <si>
    <t xml:space="preserve"> Se note alterazione a esami di imaging o EEG specificare</t>
  </si>
  <si>
    <t>T0_Date</t>
  </si>
  <si>
    <t>T0_BABS_1</t>
  </si>
  <si>
    <t>T0_BABS_2</t>
  </si>
  <si>
    <t>T0_BABS_3</t>
  </si>
  <si>
    <t>T0_BABS_4</t>
  </si>
  <si>
    <t>T0_BABS_5</t>
  </si>
  <si>
    <t>T0_BABS_6</t>
  </si>
  <si>
    <t>T0_BABS_7(NO_SUM)</t>
  </si>
  <si>
    <t>T0_CGI_1</t>
  </si>
  <si>
    <t>T0_CGI_2</t>
  </si>
  <si>
    <t>T0_CGI_3</t>
  </si>
  <si>
    <t>T0_SOFAS</t>
  </si>
  <si>
    <t>T0_PANSS_p1</t>
  </si>
  <si>
    <t>T0_PANSS_p2</t>
  </si>
  <si>
    <t>T0_PANSS_p3</t>
  </si>
  <si>
    <t>T0_PANSS_p4</t>
  </si>
  <si>
    <t>T0_PANSS_p5</t>
  </si>
  <si>
    <t>T0_PANSS_p6</t>
  </si>
  <si>
    <t>T0_PANSS_p7</t>
  </si>
  <si>
    <t>T0_PANSS_n1</t>
  </si>
  <si>
    <t>T0_PANSS_n2</t>
  </si>
  <si>
    <t>T0_PANSS_n3</t>
  </si>
  <si>
    <t>T0_PANSS_n4</t>
  </si>
  <si>
    <t>T0_PANSS_n5</t>
  </si>
  <si>
    <t>T0_PANSS_n6</t>
  </si>
  <si>
    <t>T0_PANSS_n7</t>
  </si>
  <si>
    <t>T0_PANSS_g1</t>
  </si>
  <si>
    <t>T0_PANSS_g2</t>
  </si>
  <si>
    <t>T0_PANSS_g3</t>
  </si>
  <si>
    <t>T0_PANSS_g4</t>
  </si>
  <si>
    <t>T0_PANSS_g5</t>
  </si>
  <si>
    <t>T0_PANSS_g6</t>
  </si>
  <si>
    <t>T0_PANSS_g7</t>
  </si>
  <si>
    <t>T0_PANSS_g8</t>
  </si>
  <si>
    <t>T0_PANSS_g9</t>
  </si>
  <si>
    <t>T0_PANSS_g10</t>
  </si>
  <si>
    <t>T0_PANSS_g11</t>
  </si>
  <si>
    <t>T0_PANSS_g12</t>
  </si>
  <si>
    <t>T0_PANSS_g13</t>
  </si>
  <si>
    <t>T0_PANSS_g14</t>
  </si>
  <si>
    <t>T0_PANSS_g15</t>
  </si>
  <si>
    <t>T0_PANSS_g16</t>
  </si>
  <si>
    <t>T0_TOT_PANSS</t>
  </si>
  <si>
    <t>T0_POS_PANSS</t>
  </si>
  <si>
    <t>T0_NEG_PANSS</t>
  </si>
  <si>
    <t>T0_DIS_PANSS</t>
  </si>
  <si>
    <t>T0_EXC_PANSS</t>
  </si>
  <si>
    <t>T0_EMO_PANSS</t>
  </si>
  <si>
    <t>T0_TALD_CIRCOSTANZIALITà</t>
  </si>
  <si>
    <t>T0_TALD_DERAGLIAMENTO</t>
  </si>
  <si>
    <t>T0_TALD_TANGENZIALITà</t>
  </si>
  <si>
    <t>T0_TALD_DISSOCIAZIONE DEL PENSIERO (INCOERENZA/DISTRAZIONE)</t>
  </si>
  <si>
    <t>T0_TALD DIALOGO INTERFERENTE</t>
  </si>
  <si>
    <t>T0_TALD_PERSEVERAZIONE</t>
  </si>
  <si>
    <t>T0_TALD_VERBIGERAZIONE</t>
  </si>
  <si>
    <t>T0_TALD_INTERRUZIONE DEL PENSIERO</t>
  </si>
  <si>
    <t>T0_TALD_ACCELERAZIONE DELL'ELOQUIO</t>
  </si>
  <si>
    <t>T0_TALD_LOGORREA</t>
  </si>
  <si>
    <t>T0_TALD_ELOQUIO MANIERISTICO</t>
  </si>
  <si>
    <t>T0_TALD_PARAFASIA SEMANTICA</t>
  </si>
  <si>
    <t>T0_TALD_PARAFASIA FONEMICA</t>
  </si>
  <si>
    <t>T0_TALD_NEOLOGISMI</t>
  </si>
  <si>
    <t>T0_TALD_ASSONANZA</t>
  </si>
  <si>
    <t>T0_TALD_ECOLALIA</t>
  </si>
  <si>
    <t>T0_TALD_POVERTÀ DEL CONTENUTO DELL'ELOQUIO</t>
  </si>
  <si>
    <t>T0_TALD_PENSIERO POLARIZZATO</t>
  </si>
  <si>
    <t>T0_TALD_PENSIERO RALLENTATO</t>
  </si>
  <si>
    <t>T0_TALD_POVERTà DELL'ELOQUIO</t>
  </si>
  <si>
    <t>T0_TALD_CONCRETISMO</t>
  </si>
  <si>
    <t>T0_TALD_BLOCCO</t>
  </si>
  <si>
    <t>T0_TALD_RUMINAZIONE</t>
  </si>
  <si>
    <t>T0_TALD_POVERTà DEL PENSIERO</t>
  </si>
  <si>
    <t>T0_TALD_PENSIERO INIBITO</t>
  </si>
  <si>
    <t>T0_TALD_DISTURBO RECETTIVO DEL LINGUAGGIO</t>
  </si>
  <si>
    <t>T0_TALD_DISTURBO_ESPRESSIVO DEL LINGUAGGIO</t>
  </si>
  <si>
    <t>T0_TALD_DISFUNZIONE DELL'INIZIATIVA E DELL'INTENZIONALITà DEL PENSIERO</t>
  </si>
  <si>
    <t>T0_TALD_INTERFERENZA DEL PENSIERO</t>
  </si>
  <si>
    <t>T0_TALD_PRESSIONE/ACCELERAZIONE DEI PENSIERI</t>
  </si>
  <si>
    <t>T0_OBJECTIVE_POSITIVE_TALD</t>
  </si>
  <si>
    <t>T0_SUBJECTIVE_NEGATIVE_TALD</t>
  </si>
  <si>
    <t>T0_OBJECTIVE_NEGATIVE_TALD</t>
  </si>
  <si>
    <t>T0_SUBJECTIVE_POSITIVE_TALD</t>
  </si>
  <si>
    <t>T0_APACS_BRIEF_A_SOVRAINF</t>
  </si>
  <si>
    <t>T0_APACS_BRIEF_A_SOTTOINF</t>
  </si>
  <si>
    <t>T0_APACS_BRIEF_A_ASSENZA_REFERENTI</t>
  </si>
  <si>
    <t>T0_APACS_BRIEF_A_CAMBIO_ARGOM</t>
  </si>
  <si>
    <t>T0_APACS_BRIEF_A_INTERVISTA_PROP</t>
  </si>
  <si>
    <t>T0_APACS_BRIEF_A_MS</t>
  </si>
  <si>
    <t>T0_APACS_BRIEF_A_DS</t>
  </si>
  <si>
    <t>T0_APACS_BRIEF_A_MI</t>
  </si>
  <si>
    <t>T0_APACS_BRIEF_A_DI</t>
  </si>
  <si>
    <t>T0_APACS_BRIEF_A_Trascr_Fig1_Ironia</t>
  </si>
  <si>
    <t>T0_APACS_BRIEF_A_Fig1_Ironia</t>
  </si>
  <si>
    <t>T0_APACS_BRIEF_A_Trascr_Fig1_Idioma</t>
  </si>
  <si>
    <t>T0_APACS_BRIEF_A_Fig1_Idioma</t>
  </si>
  <si>
    <t>T0_APACS_BRIEF_A_BRANO_PROP</t>
  </si>
  <si>
    <t>T0_APACS_BRIEF_A_LING_FIG_1</t>
  </si>
  <si>
    <t>T0_APACS_BRIEF_A_LING_FIG_2</t>
  </si>
  <si>
    <t>T0_APACS_BRIEF_A_LING_FIG_3</t>
  </si>
  <si>
    <t>T0_APACS_BRIEF_A_LING_FIG_1_PROP</t>
  </si>
  <si>
    <t>T0_APACS_BRIEF_A_UMORISMO_1</t>
  </si>
  <si>
    <t>T0_APACS_BRIEF_A_UMORISMO_2</t>
  </si>
  <si>
    <t>T0_APACS_BRIEF_A_UMORISMO_PROP</t>
  </si>
  <si>
    <t>T0_APACS_BRIEF_A_Trascr_Fig2_ITEM_1</t>
  </si>
  <si>
    <t>T0_APACS_BRIEF_A_Fig2_ITEM_1</t>
  </si>
  <si>
    <t>T0_APACS_BRIEF_A_Trascr_Fig2_ITEM_2</t>
  </si>
  <si>
    <t>T0_APACS_BRIEF_A_Fig2_ITEM_2</t>
  </si>
  <si>
    <t>T0_APACS_BRIEF_A_Trascr_Fig2_ITEM_3</t>
  </si>
  <si>
    <t>T0_APACS_BRIEF_A_Fig2_ITEM_3</t>
  </si>
  <si>
    <t>T0_APACS_BRIEF_A_Fig2_PROP</t>
  </si>
  <si>
    <t>T0_APACS_BRIEF_A_PROD_PROP</t>
  </si>
  <si>
    <t>T0_APACS_BRIEF_A_COMP_PROP</t>
  </si>
  <si>
    <t>T0_APACS_BRIEF_A_TOTAL</t>
  </si>
  <si>
    <t>T1_Date</t>
  </si>
  <si>
    <t>T1_BABS_1</t>
  </si>
  <si>
    <t>T1_BABS_2</t>
  </si>
  <si>
    <t>T1_BABS_3</t>
  </si>
  <si>
    <t>T1_BABS_4</t>
  </si>
  <si>
    <t>T1_BABS_5</t>
  </si>
  <si>
    <t>T1_BABS_6</t>
  </si>
  <si>
    <t>T1_BABS_7(NO_SUM)</t>
  </si>
  <si>
    <t>T1_CGI_1</t>
  </si>
  <si>
    <t>T1_CGI_2</t>
  </si>
  <si>
    <t>T1_CGI_3</t>
  </si>
  <si>
    <t>T1_SOFAS</t>
  </si>
  <si>
    <t>T1_PANSS_p1</t>
  </si>
  <si>
    <t>T1_PANSS_p2</t>
  </si>
  <si>
    <t>T1_PANSS_p3</t>
  </si>
  <si>
    <t>T1_PANSS_p4</t>
  </si>
  <si>
    <t>T1_PANSS_p5</t>
  </si>
  <si>
    <t>T1_PANSS_p6</t>
  </si>
  <si>
    <t>T1_PANSS_p7</t>
  </si>
  <si>
    <t>T1_PANSS_n1</t>
  </si>
  <si>
    <t>T1_PANSS_n2</t>
  </si>
  <si>
    <t>T1_PANSS_n3</t>
  </si>
  <si>
    <t>T1_PANSS_n4</t>
  </si>
  <si>
    <t>T1_PANSS_n5</t>
  </si>
  <si>
    <t>T1_PANSS_n6</t>
  </si>
  <si>
    <t>T1_PANSS_n7</t>
  </si>
  <si>
    <t>T1_PANSS_g1</t>
  </si>
  <si>
    <t>T1_PANSS_g2</t>
  </si>
  <si>
    <t>T1_PANSS_g3</t>
  </si>
  <si>
    <t>T1_PANSS_g4</t>
  </si>
  <si>
    <t>T1_PANSS_g5</t>
  </si>
  <si>
    <t>T1_PANSS_g6</t>
  </si>
  <si>
    <t>T1_PANSS_g7</t>
  </si>
  <si>
    <t>T1_PANSS_g8</t>
  </si>
  <si>
    <t>T1_PANSS_g9</t>
  </si>
  <si>
    <t>T1_PANSS_g10</t>
  </si>
  <si>
    <t>T1_PANSS_g11</t>
  </si>
  <si>
    <t>T1_PANSS_g12</t>
  </si>
  <si>
    <t>T1_PANSS_g13</t>
  </si>
  <si>
    <t>T1_PANSS_g14</t>
  </si>
  <si>
    <t>T1_PANSS_g15</t>
  </si>
  <si>
    <t>T1_PANSS_g16</t>
  </si>
  <si>
    <t>T1_TOT_PANSS</t>
  </si>
  <si>
    <t>T1_POS_PANSS</t>
  </si>
  <si>
    <t>T1_NEG_PANSS</t>
  </si>
  <si>
    <t>T1_DIS_PANSS</t>
  </si>
  <si>
    <t>T1_EXC_PANSS</t>
  </si>
  <si>
    <t>T1_EMO_PANSS</t>
  </si>
  <si>
    <t>T1_TALD_CIRCOSTANZIALITà</t>
  </si>
  <si>
    <t>T1_TALD_DERAGLIAMENTO</t>
  </si>
  <si>
    <t>T1_TALD_TANGENZIALITà</t>
  </si>
  <si>
    <t>T1_TALD_DISSOCIAZIONE DEL PENSIERO (INCOERENZA/DISTRAZIONE)</t>
  </si>
  <si>
    <t>T1_TALD DIALOGO INTERFERENTE</t>
  </si>
  <si>
    <t>T1_TALD_PERSEVERAZIONE</t>
  </si>
  <si>
    <t>T1_TALD_VERBIGERAZIONE</t>
  </si>
  <si>
    <t>T1_TALD_INTERRUZIONE DEL PENSIERO</t>
  </si>
  <si>
    <t>T1_TALD_ACCELERAZIONE DELL'ELOQUIO</t>
  </si>
  <si>
    <t>T1_TALD_LOGORREA</t>
  </si>
  <si>
    <t>T1_TALD_ELOQUIO MANIERISTICO</t>
  </si>
  <si>
    <t>T1_TALD_PARAFASIA SEMANTICA</t>
  </si>
  <si>
    <t>T1_TALD_PARAFASIA FONEMICA</t>
  </si>
  <si>
    <t>T1_TALD_NEOLOGISMI</t>
  </si>
  <si>
    <t>T1_TALD_ASSONANZA</t>
  </si>
  <si>
    <t>T1_TALD_ECOLALIA</t>
  </si>
  <si>
    <t>T1_TALD_POVERTÀ DEL CONTENUTO DELL'ELOQUIO</t>
  </si>
  <si>
    <t>T1_TALD_PENSIERO POLARIZZATO</t>
  </si>
  <si>
    <t>T1_TALD_PENSIERO RALLENTATO</t>
  </si>
  <si>
    <t>T1_TALD_POVERTà DELL'ELOQUIO</t>
  </si>
  <si>
    <t>T1_TALD_CONCRETISMO</t>
  </si>
  <si>
    <t>T1_TALD_BLOCCO</t>
  </si>
  <si>
    <t>T1_TALD_RUMINAZIONE</t>
  </si>
  <si>
    <t>T1_TALD_POVERTà DEL PENSIERO</t>
  </si>
  <si>
    <t>T1_TALD_PENSIERO INIBITO</t>
  </si>
  <si>
    <t>T1_TALD_DISTURBO RECETTIVO DEL LINGUAGGIO</t>
  </si>
  <si>
    <t>T1_TALD_DISTURBO_ESPRESSIVO DEL LINGUAGGIO</t>
  </si>
  <si>
    <t>T1_TALD_DISFUNZIONE DELL'INIZIATIVA E DELL'INTENZIONALITà DEL PENSIERO</t>
  </si>
  <si>
    <t>T1_TALD_INTERFERENZA DEL PENSIERO</t>
  </si>
  <si>
    <t>T1_TALD_PRESSIONE/ACCELERAZIONE DEI PENSIERI</t>
  </si>
  <si>
    <t>T1_OBJECTIVE_POSITIVE_TALD</t>
  </si>
  <si>
    <t>T1_SUBJECTIVE_NEGATIVE_TALD</t>
  </si>
  <si>
    <t>T1_OBJECTIVE_NEGATIVE_TALD</t>
  </si>
  <si>
    <t>T1_SUBJECTIVE_POSITIVE_TALD</t>
  </si>
  <si>
    <t>T1_INTERVIEW</t>
  </si>
  <si>
    <t>T1_TAT_1</t>
  </si>
  <si>
    <t>T1_TAT_2</t>
  </si>
  <si>
    <t>T1_TAT_3</t>
  </si>
  <si>
    <t>T1_APACS_BRIEF_B_SOVRAINF</t>
  </si>
  <si>
    <t>T1_APACS_BRIEF_B_SOTTOINF</t>
  </si>
  <si>
    <t>T1_APACS_BRIEF_B_ASSENZA_REFERENTI</t>
  </si>
  <si>
    <t>T1_APACS_BRIEF_B_CAMBIO_ARGOMENTO</t>
  </si>
  <si>
    <t>T1_APACS_BRIEF_B_INTERVISTA_PROP</t>
  </si>
  <si>
    <t>T1_APACS_BRIEF_B_MS</t>
  </si>
  <si>
    <t>T1_APACS_BRIEF_B_DS</t>
  </si>
  <si>
    <t>T1_APACS_BRIEF_B_MI</t>
  </si>
  <si>
    <t>T1_APACS_BRIEF_B_DI</t>
  </si>
  <si>
    <t>T1_APACS_BRIEF_B_Trascr_Fig1_Met</t>
  </si>
  <si>
    <t>T1_APACS_BRIEF_B_Fig1_Met</t>
  </si>
  <si>
    <t>T1_APACS_BRIEF_B_Trascr_Fig1_Ironia</t>
  </si>
  <si>
    <t>T1_APACS_BRIEF_B_Fig1_Ironia</t>
  </si>
  <si>
    <t>T1_APACS_BRIEF_B_BRANO_PROP</t>
  </si>
  <si>
    <t xml:space="preserve">T1_APACS_BRIEF_B_LING_FIG_1	</t>
  </si>
  <si>
    <t>T1_APACS_BRIEF_B_LING_FIG_2</t>
  </si>
  <si>
    <t>T1_APACS_BRIEF_B_LING_FIG_3</t>
  </si>
  <si>
    <t>T1_APACS_BRIEF_B_LING_FIG_1_PROP</t>
  </si>
  <si>
    <t>T1_APACS_BRIEF_B_UMORISMO_1</t>
  </si>
  <si>
    <t>T1_APACS_BRIEF_B_UMORISMO_2</t>
  </si>
  <si>
    <t>T1_APACS_BRIEF_B_UMORISMO_PROP</t>
  </si>
  <si>
    <t>T1_APACS_BRIEF_B_Trascr_Fig2_ITEM_1</t>
  </si>
  <si>
    <t xml:space="preserve">T1_APACS_BRIEF_B_Fig2_ITEM_1	</t>
  </si>
  <si>
    <t>T1_APACS_BRIEF_B_Trascr_Fig2_ITEM_2</t>
  </si>
  <si>
    <t>T1_APACS_BRIEF_B_Fig2_ITEM_2</t>
  </si>
  <si>
    <t>T1_APACS_BRIEF_B_Trascr_Fig2_ITEM_3</t>
  </si>
  <si>
    <t>T1_APACS_BRIEF_B_Fig2_ITEM_3</t>
  </si>
  <si>
    <t>T1_APACS_BRIEF_B_Fig2_PROP</t>
  </si>
  <si>
    <t>T1_APACS_BRIEF_B_PROD_PROP</t>
  </si>
  <si>
    <t>T1_APACS_BRIEF_B_COMP_PROP</t>
  </si>
  <si>
    <t>T1_APACS_BRIEF_B_TOTAL</t>
  </si>
  <si>
    <t>T1_PMM_01_Trascrizione</t>
  </si>
  <si>
    <t>PMM_01_CORR</t>
  </si>
  <si>
    <t>PMM_01_INT</t>
  </si>
  <si>
    <t>T1_PMM_02_Trascrizione</t>
  </si>
  <si>
    <t>PMM_02_CORR</t>
  </si>
  <si>
    <t>PMM_02_INT</t>
  </si>
  <si>
    <t>T1_PMM_03_Trascrizione</t>
  </si>
  <si>
    <t>PMM_03_CORR</t>
  </si>
  <si>
    <t>PMM_03_INT</t>
  </si>
  <si>
    <t>T1_PMM_04_Trascrizione</t>
  </si>
  <si>
    <t>PMM_04_CORR</t>
  </si>
  <si>
    <t>PMM_04_INT</t>
  </si>
  <si>
    <t>T1_PMM_05_Trascrizione</t>
  </si>
  <si>
    <t>PMM_05_CORR</t>
  </si>
  <si>
    <t>PMM_05_INT</t>
  </si>
  <si>
    <t>T1_PMM_06_Trascrizione</t>
  </si>
  <si>
    <t>PMM_06_CORR</t>
  </si>
  <si>
    <t>PMM_06_INT</t>
  </si>
  <si>
    <t>T1_PMM_07_Trascrizione</t>
  </si>
  <si>
    <t>PMM_07_CORR</t>
  </si>
  <si>
    <t>PMM_07_INT</t>
  </si>
  <si>
    <t>T1_PMM_08_Trascrizione</t>
  </si>
  <si>
    <t>PMM_08_CORR</t>
  </si>
  <si>
    <t>PMM_08_INT</t>
  </si>
  <si>
    <t>T1_PMM_09_Trascrizione</t>
  </si>
  <si>
    <t>PMM_09_CORR</t>
  </si>
  <si>
    <t>PMM_09_INT</t>
  </si>
  <si>
    <t>T1_PMM_10_Trascrizione</t>
  </si>
  <si>
    <t>PMM_10_CORR</t>
  </si>
  <si>
    <t>PMM_10_INT</t>
  </si>
  <si>
    <t>T1_PMM_11_Trascrizione</t>
  </si>
  <si>
    <t>PMM_11_CORR</t>
  </si>
  <si>
    <t>PMM_11_INT</t>
  </si>
  <si>
    <t>T1_PMM_12_Trascrizione</t>
  </si>
  <si>
    <t>PMM_12_CORR</t>
  </si>
  <si>
    <t>PMM_12_INT</t>
  </si>
  <si>
    <t>T1_PMM_13_Trascrizione</t>
  </si>
  <si>
    <t>PMM_13_CORR</t>
  </si>
  <si>
    <t>PMM_13_INT</t>
  </si>
  <si>
    <t>T1_PMM_14_Trascrizione</t>
  </si>
  <si>
    <t>PMM_14_CORR</t>
  </si>
  <si>
    <t>PMM_14_INT</t>
  </si>
  <si>
    <t>T1_PMM_CORR_TOT</t>
  </si>
  <si>
    <t>T1_PMM_INT_TOT</t>
  </si>
  <si>
    <t>WASI_CUBI</t>
  </si>
  <si>
    <t>WASI_VOCABOLARIO</t>
  </si>
  <si>
    <t>WASI_MATRICI</t>
  </si>
  <si>
    <t>WASI_SOMIGLIANZE</t>
  </si>
  <si>
    <t>ABSTRACT_T0</t>
  </si>
  <si>
    <t>ARTIFACT_T0</t>
  </si>
  <si>
    <t>HUMAN_T0</t>
  </si>
  <si>
    <t>NATURAL_T0</t>
  </si>
  <si>
    <t>N_METAPHOR_T0</t>
  </si>
  <si>
    <t>ABSTRACT_T1</t>
  </si>
  <si>
    <t>ARTIFACT_T1</t>
  </si>
  <si>
    <t>HUMAN_T1</t>
  </si>
  <si>
    <t>NATURAL_T1</t>
  </si>
  <si>
    <t>N_METAPHOR_T1</t>
  </si>
  <si>
    <t>3fff6cb254bb5874</t>
  </si>
  <si>
    <t>M</t>
  </si>
  <si>
    <t>Yes</t>
  </si>
  <si>
    <t>Bizarre</t>
  </si>
  <si>
    <t xml:space="preserve">297.1 Disturbo delirante </t>
  </si>
  <si>
    <t>(296.3) Depressione maggiore, episodio ricorrente</t>
  </si>
  <si>
    <t>297.9 Stato paranoide non specificato --Psicosi paranoide</t>
  </si>
  <si>
    <t>NA</t>
  </si>
  <si>
    <t>BBB</t>
  </si>
  <si>
    <t>Schizophrenia and other psychoses</t>
  </si>
  <si>
    <t>Riacutizzazione psicotica</t>
  </si>
  <si>
    <t>CCC</t>
  </si>
  <si>
    <t>No</t>
  </si>
  <si>
    <t>Risperidone</t>
  </si>
  <si>
    <t>Paroxetina</t>
  </si>
  <si>
    <t>Zolpidem</t>
  </si>
  <si>
    <t>Delorazepam</t>
  </si>
  <si>
    <t>Lorazepam</t>
  </si>
  <si>
    <t>Flurazepam</t>
  </si>
  <si>
    <t>Candesartan/Idroclorotiazide</t>
  </si>
  <si>
    <t>Atenololo</t>
  </si>
  <si>
    <t>Simvastatina/Ezetimibe</t>
  </si>
  <si>
    <t>Metformina</t>
  </si>
  <si>
    <t>Empaglifozin/Linagliptin</t>
  </si>
  <si>
    <t>Polifenoli</t>
  </si>
  <si>
    <t xml:space="preserve">6ml sol h 20 </t>
  </si>
  <si>
    <t>40mg cp h8</t>
  </si>
  <si>
    <t>Fluorazepam</t>
  </si>
  <si>
    <t>30mg cp h 22</t>
  </si>
  <si>
    <t>Voci imperative, bestemmie e insulti e pensieri di morte</t>
  </si>
  <si>
    <t>se ci sono i cinghiali hanno paura che li aggrediscono</t>
  </si>
  <si>
    <t>che sistemano la situazione, i cinghiali li devono fare fuori</t>
  </si>
  <si>
    <t>Hanno tanti libri che aiutano il sapere</t>
  </si>
  <si>
    <t>Qualcuno che ruba è cleptomane</t>
  </si>
  <si>
    <t>Ci sono da fare le preghiere, il pane serve per mangiare e le preghiere per lo spirito</t>
  </si>
  <si>
    <t>AAA</t>
  </si>
  <si>
    <t>è un fiore all'occhiello</t>
  </si>
  <si>
    <t>che vengono a lavorare dal comune</t>
  </si>
  <si>
    <t>vogliono approfittare di qualcun altro</t>
  </si>
  <si>
    <t>è un cane buono</t>
  </si>
  <si>
    <t>c'è la testa, la croce</t>
  </si>
  <si>
    <t>vanno da una parte all'altra</t>
  </si>
  <si>
    <t>sono come il grano, sono belle</t>
  </si>
  <si>
    <t>sono il bastone della vecchiaia</t>
  </si>
  <si>
    <t>ti possono salvare nel momento del bisogno</t>
  </si>
  <si>
    <t>sono lenti</t>
  </si>
  <si>
    <t>è grosso</t>
  </si>
  <si>
    <t>vanno in giro con la testa</t>
  </si>
  <si>
    <t>sono bravi a cantare</t>
  </si>
  <si>
    <t>sono i bastoni della vecchiaia</t>
  </si>
  <si>
    <t>stanno sempre al sole</t>
  </si>
  <si>
    <t>si danno delle arie</t>
  </si>
  <si>
    <t>sono piccoli</t>
  </si>
  <si>
    <t>hanno il senso del sapere</t>
  </si>
  <si>
    <t>65ab2c5204d71127</t>
  </si>
  <si>
    <t>F</t>
  </si>
  <si>
    <t>Persecutory</t>
  </si>
  <si>
    <t>(297.1) Disturbo delirante</t>
  </si>
  <si>
    <t>Scompenso psicotico</t>
  </si>
  <si>
    <t>Disturbo delirante</t>
  </si>
  <si>
    <t>Olanzapina</t>
  </si>
  <si>
    <t>Sì</t>
  </si>
  <si>
    <t>Alcool</t>
  </si>
  <si>
    <t>Paliperidone</t>
  </si>
  <si>
    <t>Aloperidolo</t>
  </si>
  <si>
    <t>Promazina</t>
  </si>
  <si>
    <t>Tiamina</t>
  </si>
  <si>
    <t>6 mg</t>
  </si>
  <si>
    <t>Vicini di casa le fanno dispetti</t>
  </si>
  <si>
    <t>i negozi di paese chiusi e poi ci sono i centri commerciali</t>
  </si>
  <si>
    <t>per grestire cose nuove il sindaco ha fatto cose utili</t>
  </si>
  <si>
    <t>si può allargare l'immaginazione anche leggendo un libro</t>
  </si>
  <si>
    <t>l'adulterio, se lasci una cosa gli altri te la possono prendere</t>
  </si>
  <si>
    <t>non sa rispondere</t>
  </si>
  <si>
    <t>le opere d'arte sono considerate patrimonio dell'unesco</t>
  </si>
  <si>
    <t>se riesce a rimanere aperto più ore magari si possono turnare delle persone</t>
  </si>
  <si>
    <t>perseguitano le persone affinché scrivono cose anche non vere su certi argomenti</t>
  </si>
  <si>
    <t>io mi arrabbio mi arrabbio ma poi mi quieto, sono così</t>
  </si>
  <si>
    <t>può essere così oppure in modo diverso, visto in determinate prospettive</t>
  </si>
  <si>
    <t>sono un po' variabili</t>
  </si>
  <si>
    <t>sono un po' chiuse, spinose ma se riescono a trovare qualcuno dolce che le convince ad aprirsi riescono a risolvere poblemmi</t>
  </si>
  <si>
    <t>dovrebbero sorreggere la vecchiaia dei propri genitori</t>
  </si>
  <si>
    <t>qualcosa di magico, fantasioso anche</t>
  </si>
  <si>
    <t>sono veramente amici che ti sorreggono in momenti difficili</t>
  </si>
  <si>
    <t>sono lenti nei movimenti ma hanno la saggezza di tante cose</t>
  </si>
  <si>
    <t>ha preso un cazzotto nell'occhio</t>
  </si>
  <si>
    <t>possono vedere il mondo in varie prospettive</t>
  </si>
  <si>
    <t>sono dotati di una buona vocalità</t>
  </si>
  <si>
    <t>dovrebbero essere pilastri</t>
  </si>
  <si>
    <t>stanno ad oziare ma nel momento del bisogno lo fanno</t>
  </si>
  <si>
    <t>fanno tutta comunella e poi alla fine decidono tutto loro</t>
  </si>
  <si>
    <t>cicciottelli da schiacciare</t>
  </si>
  <si>
    <t>tante indicazioni sul futuro dello studio dopo le medie</t>
  </si>
  <si>
    <t>f31729fad7196a97</t>
  </si>
  <si>
    <t>724b87d338f7d91f</t>
  </si>
  <si>
    <t>Somatic</t>
  </si>
  <si>
    <t xml:space="preserve">296.82 Disturbo depressivo atipico  </t>
  </si>
  <si>
    <t>(296.82) Disturbo depressivo atipico</t>
  </si>
  <si>
    <t>(301.9) Disturbo di personalita' non specificato</t>
  </si>
  <si>
    <t>(305.02) Abuso di alcool, episodico</t>
  </si>
  <si>
    <t>301.9 Disturbo di personalita' non specificato</t>
  </si>
  <si>
    <t>Affective disorders</t>
  </si>
  <si>
    <t>Pensieri autolesivi e polarizzazione dell'attenzione su aspetti somatici</t>
  </si>
  <si>
    <t>Sindrome depressiva atipica</t>
  </si>
  <si>
    <t>Amisulpride</t>
  </si>
  <si>
    <t>Mirtazapina</t>
  </si>
  <si>
    <t>Venlafaxina</t>
  </si>
  <si>
    <t>Idrossina</t>
  </si>
  <si>
    <t>Gabapentin</t>
  </si>
  <si>
    <t>Docixilina</t>
  </si>
  <si>
    <t>Finasteride</t>
  </si>
  <si>
    <t>Gentamicina</t>
  </si>
  <si>
    <t>15mg cp h 20</t>
  </si>
  <si>
    <t xml:space="preserve">200mg cp h 20 </t>
  </si>
  <si>
    <t>200mg cp h 20</t>
  </si>
  <si>
    <t>Viso e corpo ricoperti da foruncoli</t>
  </si>
  <si>
    <t>non va bene che il cinghiale giri nel centro della città</t>
  </si>
  <si>
    <t>prendere provvedimenti</t>
  </si>
  <si>
    <t>ci sono libri che possono darti tanto</t>
  </si>
  <si>
    <t>se uno trova dei soldi è avido e può rubarli</t>
  </si>
  <si>
    <t>non bisogna solo mangiare ma anche lavorare nella vita</t>
  </si>
  <si>
    <t>è una cosa bellissima, una rarità</t>
  </si>
  <si>
    <t>non è così che si risolve, invec di assumere prende lui gli assessori</t>
  </si>
  <si>
    <t>sono come avvoltoi che vogliono prendere casi più importanti e sono lì a mangiarsi l'uno con l'altro per accaparrarsi il caso</t>
  </si>
  <si>
    <t>il cane che abbia e basta non morde di solito, come il mio cane</t>
  </si>
  <si>
    <t>non è una cosa bella, uno che ha avuto una medaglia è stato in guerra, non ha passato dei bei momenti, non è così bello ricevere una medaglia</t>
  </si>
  <si>
    <t>sono fannulloni, non hanno voglia di lavorare, fare nulla come i nostri genitori</t>
  </si>
  <si>
    <t xml:space="preserve">sono puntigliose su alcune cose da fare, difficile da starci insieme </t>
  </si>
  <si>
    <t>aiutano i genitori</t>
  </si>
  <si>
    <t>è bellissima</t>
  </si>
  <si>
    <t>ti puoi fidare, puoi rivelare tutti i tuoi segreti</t>
  </si>
  <si>
    <t>sono lenti in tutto</t>
  </si>
  <si>
    <t>è lento come un panda</t>
  </si>
  <si>
    <t>sanno talmente tante cose che volano al di sopra delle altre persone</t>
  </si>
  <si>
    <t>cantano meglio di altri</t>
  </si>
  <si>
    <t>sono colonne portanti della famiglia</t>
  </si>
  <si>
    <t>non fanno niente, si riempiono di soldi e aprono la coda come i pavoni</t>
  </si>
  <si>
    <t>bellissimi, da coccolare</t>
  </si>
  <si>
    <t>possono illuminare sul percorso della tua vita</t>
  </si>
  <si>
    <t>471103b474d18929</t>
  </si>
  <si>
    <t>Psicosi non specificata</t>
  </si>
  <si>
    <t>Lurasidone</t>
  </si>
  <si>
    <t>Acido valproico</t>
  </si>
  <si>
    <t>300 mg/2 sett</t>
  </si>
  <si>
    <t xml:space="preserve">300 mg 1 cp h. 8-20 </t>
  </si>
  <si>
    <t>5 mg 1 cp h. 22.00</t>
  </si>
  <si>
    <t>Colecalciferolo</t>
  </si>
  <si>
    <t>Vicini di casa, telecamere che la spiano, presenza di un microchip nel dente</t>
  </si>
  <si>
    <t>ironia. Dice come dire non avrà più voglia di nessuno di venire in città.</t>
  </si>
  <si>
    <t>prenda provvedimenti</t>
  </si>
  <si>
    <t>i libri sono una cosa importante</t>
  </si>
  <si>
    <t>se ti capita l'opportunità diventi ladro anche se non lo sei</t>
  </si>
  <si>
    <t>non si vive solo di cose materiali ma anche di sentimenti, emozioni</t>
  </si>
  <si>
    <t>ha molte cose che valgono</t>
  </si>
  <si>
    <t>ironico</t>
  </si>
  <si>
    <t>usano quello che succede per ingigantire le cose</t>
  </si>
  <si>
    <t>a volte le persone che parlano tanto non fanno del male</t>
  </si>
  <si>
    <t>ci sono sempre i pro e i contro nelle cose</t>
  </si>
  <si>
    <t>oscillano da una parte all'altra</t>
  </si>
  <si>
    <t>magre</t>
  </si>
  <si>
    <t>quando sei in difficoltà puoi contare su di loro</t>
  </si>
  <si>
    <t>è vestita di bianco</t>
  </si>
  <si>
    <t>ti ci puoi aggrappare</t>
  </si>
  <si>
    <t>vanno pianino</t>
  </si>
  <si>
    <t>(non risponde)</t>
  </si>
  <si>
    <t>vedono le cose dall'alto</t>
  </si>
  <si>
    <t>cantano bene</t>
  </si>
  <si>
    <t>aiutano nella crescita i nipoti</t>
  </si>
  <si>
    <t>sono sempre al sole</t>
  </si>
  <si>
    <t>si fanno vedere</t>
  </si>
  <si>
    <t>sono carini</t>
  </si>
  <si>
    <t>sono bravi e aiutano gli alunni a vedere la vita</t>
  </si>
  <si>
    <t>cbdb310585de2ab8</t>
  </si>
  <si>
    <t xml:space="preserve">295.74 Disturbo schizo-affettivo, cronico con esacerbazione acuta </t>
  </si>
  <si>
    <t>(295.74) Disturbo schizo-affettivo, cronico con esacerbazione acuta</t>
  </si>
  <si>
    <t>Disturbo schizoaffettivo</t>
  </si>
  <si>
    <t>Paliperidone palmitato</t>
  </si>
  <si>
    <t>Busedonide/formoterolo</t>
  </si>
  <si>
    <t>Insulina glargine</t>
  </si>
  <si>
    <t>cp 20 mg ore 20</t>
  </si>
  <si>
    <t>Ramipril</t>
  </si>
  <si>
    <t>cp 2,5 mg ore 20</t>
  </si>
  <si>
    <t>Levotiroxina</t>
  </si>
  <si>
    <t>cp 75 ug ore 7 (da lunedì a venerdì), 100 ug ore 7 (sabato e domenica)</t>
  </si>
  <si>
    <t>Empaglifozin/linagliptin</t>
  </si>
  <si>
    <t>cp 25/5 mg ore 12</t>
  </si>
  <si>
    <t>cp 1000 mg ore 8-12-19 (ai pasti)</t>
  </si>
  <si>
    <t>Atorvastatina</t>
  </si>
  <si>
    <t>cp 10 mg ore 20</t>
  </si>
  <si>
    <t>Ins Glargine</t>
  </si>
  <si>
    <t>sol 10 UI s.c. ore 22</t>
  </si>
  <si>
    <t xml:space="preserve">Budesonide/formoterolo </t>
  </si>
  <si>
    <t>160/4,5 ug 2 puff inalatori ore 8-2</t>
  </si>
  <si>
    <t>ccc</t>
  </si>
  <si>
    <t>Il comandante della fogore gli da ordini</t>
  </si>
  <si>
    <t>il popolo cinese che prima è stato boicottato dagli italiani perché volevano vendere i loro prodotti</t>
  </si>
  <si>
    <t>prendano coraggio</t>
  </si>
  <si>
    <t>ognuno ha voluto dare il suo contributo nello scrivere romanzi, storie ma sempre a lieto fine</t>
  </si>
  <si>
    <t>sia in fatto materiale sia in fatto sentimentale, si fregano le donne uno con l'altro e se trovano soldi li prendono</t>
  </si>
  <si>
    <t>non si può solo lavorare e basta bisogna avere anche uno svago e divertimento</t>
  </si>
  <si>
    <t>è qualcosa di spettacolare</t>
  </si>
  <si>
    <t>magari non possono pagare più di tanto perché non hanno sovvenzioni governative e non hanno abbastanza volontari che possono gestire il museo</t>
  </si>
  <si>
    <t>vogliono avere l'anteprima</t>
  </si>
  <si>
    <t>solitamente il cane che avverte un disguido, qualcosa che non funziona è un po' un avvertimento, bisogna vedere da che taglia</t>
  </si>
  <si>
    <t>ci può essere il bello ed il brutto di una medaglia</t>
  </si>
  <si>
    <t>seguono l'andamento della loro gioventù, seguono il tempo che hanno adesso</t>
  </si>
  <si>
    <t>bisogna vedere se sono mature o devono ancora maturare</t>
  </si>
  <si>
    <t xml:space="preserve">una volta i genitori da grandi hanno mantenuto i figli per gli studi e alla fine sarebbero i figli che devono mantenere anche se c'è la pensione che dovrebbero curare i genitori </t>
  </si>
  <si>
    <t>un pensiero</t>
  </si>
  <si>
    <t>ancore di salvezza, dopo una relazione finita magari malamente gli amici sono un'ancora di salvezza</t>
  </si>
  <si>
    <t>sono corazzati</t>
  </si>
  <si>
    <t>potrei prendere Damiani come pugile, non era muscoloso ma sapeva boxare</t>
  </si>
  <si>
    <t>volano alto</t>
  </si>
  <si>
    <t>hanno una voce bella</t>
  </si>
  <si>
    <t>la loro esperienza ci insegna a non commettere errori nel futuro</t>
  </si>
  <si>
    <t>sono coccodrilli in miniatura</t>
  </si>
  <si>
    <t>sono personaggi che viaggiano in libertà vigilata, non mi piace la politica</t>
  </si>
  <si>
    <t>un tipo di luminosità per leggere nella notte</t>
  </si>
  <si>
    <t>1356c73011f9e6ce</t>
  </si>
  <si>
    <t>Erotomanic</t>
  </si>
  <si>
    <t>298.9 Psicosi non specificata</t>
  </si>
  <si>
    <t>(298.9) Psicosi NAS</t>
  </si>
  <si>
    <t>Aggressione nei confronti della madre</t>
  </si>
  <si>
    <t>Carbamazepina RP</t>
  </si>
  <si>
    <t>1000 mg/die</t>
  </si>
  <si>
    <t>8 ml/die</t>
  </si>
  <si>
    <t>delorazepam</t>
  </si>
  <si>
    <t>20 gtt ore 20</t>
  </si>
  <si>
    <t>La madre vuole fargli del male</t>
  </si>
  <si>
    <t>in genere quando si legge qualcosa di strano sui giornali la gente è interessata a quel posto</t>
  </si>
  <si>
    <t>risolvano la situazione</t>
  </si>
  <si>
    <t>ci si può trovare delle informazioni molto preziose</t>
  </si>
  <si>
    <t>se una persona si trova di fronte ad una situazione che può essere redditizia, indipendentemente dalla sua inclinazione verso la legge coglie l'occasione</t>
  </si>
  <si>
    <t>è difficile accontentarsi di una sola cosa nella vita, potrebbe diventare monotona</t>
  </si>
  <si>
    <t>è uno dei pochi più apprezzati dalle persone</t>
  </si>
  <si>
    <t>assumendo più dipendenti in museo si può permettere ad alcune persone di guardagnare qualcosa</t>
  </si>
  <si>
    <t>sono sempre in cerca di un articolo e per questo possono diventare fastidiosi con le persone</t>
  </si>
  <si>
    <t>a volte qualcuno può fare di tutto per sembrare minaccioso ma così facendo in realtà dimostra solo qualche debolezza</t>
  </si>
  <si>
    <t>ogni cosa ha un lato positivo e negativo</t>
  </si>
  <si>
    <t>arrivano sempre in ritardo</t>
  </si>
  <si>
    <t>all'apparenza possono far pensare ad un certo tipo di persona ma poi in sostanza non sono un granché</t>
  </si>
  <si>
    <t>pensano solo a come vestirsi, all'apprenza</t>
  </si>
  <si>
    <t>probabilmente il matrimonio durerà poco</t>
  </si>
  <si>
    <t>ci si può fare molto affidamento</t>
  </si>
  <si>
    <t>conosce le tecniche orientali</t>
  </si>
  <si>
    <t>le loro frasi, il loro lavoro resta poco nella vita delle persone</t>
  </si>
  <si>
    <t>sono stonati</t>
  </si>
  <si>
    <t>sono persone su cui fare molto affidamento grazie alle loro esperienze</t>
  </si>
  <si>
    <t>passano la maggior parte del tempo a prendere il sole</t>
  </si>
  <si>
    <t>gli piace solo vantarsi ma in sostanza non danno niente</t>
  </si>
  <si>
    <t>sono teneri</t>
  </si>
  <si>
    <t>usano tecniche non molto moderne</t>
  </si>
  <si>
    <t>095d4cd67c517d68</t>
  </si>
  <si>
    <t xml:space="preserve">295.72 Disturbo schizoaffettivo, cronico </t>
  </si>
  <si>
    <t>(295.7) Disturbo schizoaffettivo</t>
  </si>
  <si>
    <t>(301.9) Disturbo di personalità NAS</t>
  </si>
  <si>
    <t>301.83 Disturbo di personalità borderline</t>
  </si>
  <si>
    <t>Ideazione autolesiva</t>
  </si>
  <si>
    <t>Disturbo scizoaffettivo</t>
  </si>
  <si>
    <t xml:space="preserve">Aripiprazolo LAI </t>
  </si>
  <si>
    <t>400 mg/4 sett</t>
  </si>
  <si>
    <t xml:space="preserve">Lorazepam </t>
  </si>
  <si>
    <t>2 mg ore 22</t>
  </si>
  <si>
    <t>Era ironia la sua</t>
  </si>
  <si>
    <t>Che agisca</t>
  </si>
  <si>
    <t>Che con i libri si ha tanto tesoro, cioè tante conoscenze</t>
  </si>
  <si>
    <t>Eh che se capita una buona occasione l'uomo ne approfitta</t>
  </si>
  <si>
    <t>Non si vive solo di cibo ma ci sono anche altri bisogni</t>
  </si>
  <si>
    <t>Un pezzo di cultura, un tesoro, è una cosa preziosa</t>
  </si>
  <si>
    <t>gli darebbero lavoro</t>
  </si>
  <si>
    <t>dicono quello che gli pare per attirare l'attenzione, inventano cose false anche</t>
  </si>
  <si>
    <t>Un cane che abbaia ha paura e basta</t>
  </si>
  <si>
    <t>che una persona può avere due facce</t>
  </si>
  <si>
    <t>si confondono sempre, stanno sempre a cercare cose</t>
  </si>
  <si>
    <t>pizzicano</t>
  </si>
  <si>
    <t>ti appoggiano</t>
  </si>
  <si>
    <t>È in bianco</t>
  </si>
  <si>
    <t>Certi amici possono aiutare</t>
  </si>
  <si>
    <t>I vecchi sono lenti</t>
  </si>
  <si>
    <t xml:space="preserve">è adorabile </t>
  </si>
  <si>
    <t>Pensano molto, viaggiano con la mente</t>
  </si>
  <si>
    <t>i cantanti cantano bene</t>
  </si>
  <si>
    <t>ci si può appoggiare su di loro</t>
  </si>
  <si>
    <t>Si mimetizzano</t>
  </si>
  <si>
    <t>Ricchi. Lussuosi</t>
  </si>
  <si>
    <t>sono carinissimi. Sono teneri</t>
  </si>
  <si>
    <t>danno idee</t>
  </si>
  <si>
    <t>0b47586fe863b9e8</t>
  </si>
  <si>
    <t>295.34 Schizofrenia, tipo paranoide, cronico con esarcebazione acuta</t>
  </si>
  <si>
    <t>29534. schizofrenia, TIPO PARANOIDE,CRONICO CON ESACERBAZIONE ACUTA</t>
  </si>
  <si>
    <t>3019. DISTURBI DI PERSONALITÀ NON SPECIFICATI</t>
  </si>
  <si>
    <t xml:space="preserve"> 3019. Disturbi di personalità non specificati</t>
  </si>
  <si>
    <t>Schizofrenia</t>
  </si>
  <si>
    <t>Risperidone LAI</t>
  </si>
  <si>
    <t>100 mg/4 sett</t>
  </si>
  <si>
    <t>15 gtt ore 22</t>
  </si>
  <si>
    <t>52 gtt ore 8-14</t>
  </si>
  <si>
    <t>30 mg ore 22</t>
  </si>
  <si>
    <t>Forse perché aveva investito in questo negozio, aveva messo delle cose che potevano piacere alle persone e avrebbe avuto più gente che sarebbe andata in negozio o commerciante all'ingrosso, questo non lo so.</t>
  </si>
  <si>
    <t>Non lo so questo. Non mi è mai capitato di sentire...</t>
  </si>
  <si>
    <t>E per il contenuto dei libri che possono dare cultura e portare apporto di formazione alle persone.</t>
  </si>
  <si>
    <t>Eh, perché... Ne so qualcosa, non per me eh...Se approfittano dele persone delle situazioni.</t>
  </si>
  <si>
    <t>Ci sono altre cose c'è il rapporto con le persone il rapporto con le persone, personali, l'uomo ci sono altre cose i genitori, la famiglia.</t>
  </si>
  <si>
    <t>55c327ff92e5bb49</t>
  </si>
  <si>
    <t>Grandiose</t>
  </si>
  <si>
    <t>296.44 Disturbo Bipolare, episodio maniacale, grave, con comportamento psicotico</t>
  </si>
  <si>
    <t>Aripiprazolo</t>
  </si>
  <si>
    <t>10 mg 2 cp ore 20</t>
  </si>
  <si>
    <t>cp 100 mg 1 cp ore 8 e 1 cp ore 20</t>
  </si>
  <si>
    <t>1 mg 3 cp ore 8 e 3 cp ore 20</t>
  </si>
  <si>
    <t>Convinto di avere una propria ditta di trasporti ed essere molto ricco</t>
  </si>
  <si>
    <t>sta scherzando, nessuna famiglia che sa che ci sono tanti cinghiali andrà a fare shopping, tutti vorrebbero venire a vederla</t>
  </si>
  <si>
    <t>il toro secondo me è questa persona che ha detto queste minchiate</t>
  </si>
  <si>
    <t>ci potrebbero essere dentro libri antichi, preziosi</t>
  </si>
  <si>
    <t>un uomo onesto quando c'è l'occasione per cui può prendere da un uomo ricco, un uomo che ha miliardo di euro, l'uomo ricco non se ne accorge</t>
  </si>
  <si>
    <t>se mangi solo pane è dura, devi bere pure l'acqua</t>
  </si>
  <si>
    <t>porta tanti soldi, tanti clienti</t>
  </si>
  <si>
    <t>portando tanti soldi, clienti, cittadini c'è la possibilità di portare più gente a lavorare nel museo e dare loro uno stipendio</t>
  </si>
  <si>
    <t>tu vuoi rispondere ad una certa domanda ma se vengono lì in cinquanta e ti ficcano il microfono pure nel naso ti viene da dire vattene a fanculo tu e il microfono</t>
  </si>
  <si>
    <t>un cane che abbaia cerca solo di allontanarti ma se entri lui non ti morde perché è un bravo cane ed è stato educato a non mordere</t>
  </si>
  <si>
    <t>se prendi l'oro oggi non è detto che lo prendi anche domani</t>
  </si>
  <si>
    <t>cambiano idea da un momento all'altro, quindi oggi sono così e domani cosà</t>
  </si>
  <si>
    <t>sono delle vipere, ti pungono, fanno apposta per farti del male</t>
  </si>
  <si>
    <t>quando un giorno invecchierai saranno le tue stampelle, ti aiuteranno a fare quello che dovevi fare prima</t>
  </si>
  <si>
    <t>il vestito da sposa è così appariscente, grosso che sembra una nuvola</t>
  </si>
  <si>
    <t>ti salvano da situazioni brutte</t>
  </si>
  <si>
    <t>camminano lento</t>
  </si>
  <si>
    <t>può farsi vedere che è lento come un panda apposta sul ring per far credre all'avversario che è una mezza sega ma in un momento buono gli da un colpo e lo mette ko</t>
  </si>
  <si>
    <t>con i loro pensieri sono in grado di volare e arrivare dove noi con i nostri pensieri non ci arriviamo</t>
  </si>
  <si>
    <t>cantano bene e non tutti cantano bene</t>
  </si>
  <si>
    <t>se non ci fossero loro che hanno retto tutta la baracca oggi non ci sarebbe stato niente</t>
  </si>
  <si>
    <t>sono in grado di salvare le persone, perché la lucertola vive anche sott'acqua</t>
  </si>
  <si>
    <t>si fanno vedere, mostrano solo le cose belle e poi non fanno niente</t>
  </si>
  <si>
    <t>sono piccolini, come un batuffolo piccolo, sono piccoli e appena nati</t>
  </si>
  <si>
    <t>nel momento in cui sei in un momento buio loro se ne accorgono, ti cazziano e cazziandoti tu ti riprendi dal buio e ti da la luce</t>
  </si>
  <si>
    <t>23c95fcc2fa65942</t>
  </si>
  <si>
    <t>296.42 Disturbo bipolare tipo I episodio maniacale moderato</t>
  </si>
  <si>
    <t>Scompenso maniacale</t>
  </si>
  <si>
    <t>disturbo bipolare I</t>
  </si>
  <si>
    <t>Aripiprazolo LAI</t>
  </si>
  <si>
    <t>Clotiapina</t>
  </si>
  <si>
    <t>Litio solfato</t>
  </si>
  <si>
    <t>166 mg ore 8</t>
  </si>
  <si>
    <t xml:space="preserve">Zolpidem </t>
  </si>
  <si>
    <t>10 mg ore 22</t>
  </si>
  <si>
    <t>2,5 mg ore 22</t>
  </si>
  <si>
    <t>25 gtt ore 22</t>
  </si>
  <si>
    <t>35f333cc37192fd1</t>
  </si>
  <si>
    <t>296.44 Disturbo Bipolare I, episodio maniacale, grave, con comportamento psicotico</t>
  </si>
  <si>
    <t>(296.44) disturbo bipolare I, episodio maniacale, garve, con comportamento psicotico</t>
  </si>
  <si>
    <t>Disturbo bipolare</t>
  </si>
  <si>
    <t>Acido valproico CH</t>
  </si>
  <si>
    <t>500 mg ore 8,20</t>
  </si>
  <si>
    <t xml:space="preserve">Quetiapina </t>
  </si>
  <si>
    <t>450 mg/die</t>
  </si>
  <si>
    <t xml:space="preserve">flurazepam </t>
  </si>
  <si>
    <t>15 mg ore 22</t>
  </si>
  <si>
    <t>Convinzione di essere molto fortunato</t>
  </si>
  <si>
    <t>se lo levi dalle palle</t>
  </si>
  <si>
    <t>miniere di informazioni</t>
  </si>
  <si>
    <t>se trovo qualcosa che non è di nessuno me la prendo</t>
  </si>
  <si>
    <t>bisogna godersi le gioie della vita</t>
  </si>
  <si>
    <t>è un servizio a cui il sindaco tiene tanto</t>
  </si>
  <si>
    <t>essendoci poco lavoro il museo darà lavoro ai cittadini</t>
  </si>
  <si>
    <t>approfittano sempre delle situazioni</t>
  </si>
  <si>
    <t>uno fa tanto rumore ma alla fine non fa niente</t>
  </si>
  <si>
    <t>il doppio volto della medaglia</t>
  </si>
  <si>
    <t>sono abbastana squilibrati</t>
  </si>
  <si>
    <t>la spiga è molto delicata ma se la tocchi dall'alto ti punge</t>
  </si>
  <si>
    <t>padre e madre ad una certa età devono camminare sul fuglio, usandolo come stampella</t>
  </si>
  <si>
    <t>bianca come una nuvola, vestito sfarzoso</t>
  </si>
  <si>
    <t>servono per darti dei limiti</t>
  </si>
  <si>
    <t>camminano piano</t>
  </si>
  <si>
    <t>uno che aspetta molto</t>
  </si>
  <si>
    <t>le citazioni dei filosofi le lanci ma non sai dove cazzo vanno</t>
  </si>
  <si>
    <t>hanno una voce canterina come quella degli uccellini</t>
  </si>
  <si>
    <t>per costruire la personalità serve una base strutturata</t>
  </si>
  <si>
    <t>rischiano la vita tutti i giorni per salvare le persone</t>
  </si>
  <si>
    <t>sono soltanto una facciata</t>
  </si>
  <si>
    <t>sono delicati</t>
  </si>
  <si>
    <t>sono vie da seguire</t>
  </si>
  <si>
    <t>ee89d4ae388c6c88</t>
  </si>
  <si>
    <t>303 sindorme da dipendenza alcolica</t>
  </si>
  <si>
    <t xml:space="preserve"> 303 Sindrome di dipendenza alcolica</t>
  </si>
  <si>
    <t xml:space="preserve">Etilismo in psicosi paranoide </t>
  </si>
  <si>
    <t>psicosi paranoide</t>
  </si>
  <si>
    <t>disturbo di personalità antisociale</t>
  </si>
  <si>
    <t>diazepam</t>
  </si>
  <si>
    <t>5 mg ore 8, 13, 18, 22</t>
  </si>
  <si>
    <t>6 mg ore 20</t>
  </si>
  <si>
    <t>Essere perseguitatodalla mafia</t>
  </si>
  <si>
    <t>provocativamente ironico</t>
  </si>
  <si>
    <t>intervenga il più presto possibile in maniera decisa e netta</t>
  </si>
  <si>
    <t>nelle biblioteche ci sono i libri che sono materiali preziosi</t>
  </si>
  <si>
    <t>magari uno non ruba perché non ha la possibilità di rubare ma se ne avesse l'occasione lo farebbe</t>
  </si>
  <si>
    <t>c'è una piramide dei desideri, c'è il mangiare ma ci sono tante altre cose che soddisfano l'uomo sennò saremmo scimmie</t>
  </si>
  <si>
    <t>è un fiore all'occhiello, una cosa di cui essere orgogliosi</t>
  </si>
  <si>
    <t>si da lavoro a dipendenti che gestiscono il museo</t>
  </si>
  <si>
    <t>pur di andare dietro ad una notizia non si fanno scrupoli a ferire le persone</t>
  </si>
  <si>
    <t>chi parla ed urla tanto spesso non alza le mani</t>
  </si>
  <si>
    <t>ogni cosa bella ha anche una cosa brutta dietro</t>
  </si>
  <si>
    <t>sono altalenanti, un giorno allegri e un giorno tristi</t>
  </si>
  <si>
    <t>quando si diventa anziani dovrebbero aiutarti nel periodo in cui non sei più in grado di lavorare</t>
  </si>
  <si>
    <t>bianca come una nuvola</t>
  </si>
  <si>
    <t>sono punti fissi su cui puoi fare affidamento in qualsiasi momento</t>
  </si>
  <si>
    <t>prende un sacco di botte</t>
  </si>
  <si>
    <t>si elevano rispetto alla gente comune</t>
  </si>
  <si>
    <t>con la musica mettono allegria, rilassatezza</t>
  </si>
  <si>
    <t>sorreggono la famiglia</t>
  </si>
  <si>
    <t>stanno al sole tutto il giorno</t>
  </si>
  <si>
    <t>si pavoneggiano senza fare nulla nella vita</t>
  </si>
  <si>
    <t>perché sono piccoli</t>
  </si>
  <si>
    <t>sono delle guide</t>
  </si>
  <si>
    <t>3d0e60b7b9b3654c</t>
  </si>
  <si>
    <t>Nihillistic</t>
  </si>
  <si>
    <t>296.32 Depressione Maggiore, episodio ricorrente, moderato</t>
  </si>
  <si>
    <t>(296.24) Depressione maggiore, episodio ricorrente, grave, con sintomi psicotici</t>
  </si>
  <si>
    <t>depressione con sintomi psicotici</t>
  </si>
  <si>
    <t>Brexpiprazolo</t>
  </si>
  <si>
    <t>4 mg ore 8</t>
  </si>
  <si>
    <t>Venlafaxina RP</t>
  </si>
  <si>
    <t>300 mg ore 8</t>
  </si>
  <si>
    <t>Delorazpeam</t>
  </si>
  <si>
    <t>15 gtt ore 20</t>
  </si>
  <si>
    <t>non ci verranno sicuramente</t>
  </si>
  <si>
    <t>devono risolvere il problema</t>
  </si>
  <si>
    <t>ci sono delle cose da vedere eccezionali</t>
  </si>
  <si>
    <t>per l'occasione che trova può diventare ladro</t>
  </si>
  <si>
    <t>c'è bisogno di più per vivere</t>
  </si>
  <si>
    <t>è una cosa splendida</t>
  </si>
  <si>
    <t>non ci sono posti di lavoro per occuparli</t>
  </si>
  <si>
    <t>quando devono fare notizie devono cercare di trovare il modo di fare le cose e quindi sono avvoltoi</t>
  </si>
  <si>
    <t>pure se abbaia non fa del male</t>
  </si>
  <si>
    <t>ogni cosa ha il suo contrario</t>
  </si>
  <si>
    <t>sono pendolari, prendono i pulman, il treno</t>
  </si>
  <si>
    <t>pungono</t>
  </si>
  <si>
    <t>sono le stampelle per la vecchiaia dei genitori</t>
  </si>
  <si>
    <t>è bella come una nuvola, è leggera</t>
  </si>
  <si>
    <t>ti puoi fermare con loro e non avere problemi, sono ancore</t>
  </si>
  <si>
    <t>è così spiritoso che è un panda</t>
  </si>
  <si>
    <t>sognano</t>
  </si>
  <si>
    <t>Usignoli ignori nel cantare le canzoni. Nel descrivere le cose</t>
  </si>
  <si>
    <t>se non ci fossero loro non avremmo a chi appoggiarci</t>
  </si>
  <si>
    <t>si pavoneggiano, si mettono in mostra</t>
  </si>
  <si>
    <t>delicati</t>
  </si>
  <si>
    <t>sono così bravi a dare la luce come le lanterne, essere bravi</t>
  </si>
  <si>
    <t>aa95071ffa312e54</t>
  </si>
  <si>
    <t>296.23 Depressione maggiore, episodio singolo, grave senza menzione di comportamento psicotico</t>
  </si>
  <si>
    <t>(296.23) Depressione maggiore, episodio singolo, 5 senza menzione di comportamento psicotico</t>
  </si>
  <si>
    <t xml:space="preserve">Tentato suicidio </t>
  </si>
  <si>
    <t>Escitalopram</t>
  </si>
  <si>
    <t>Enoxaparina</t>
  </si>
  <si>
    <t>Solfato</t>
  </si>
  <si>
    <t>20 mg/ml sol 20 gtt h. 8</t>
  </si>
  <si>
    <t>10 mg compresse orosolubili 1 cp h. 20</t>
  </si>
  <si>
    <t>Enoxaparina Sodica</t>
  </si>
  <si>
    <t>4000 UI 1 fl SC h. 18</t>
  </si>
  <si>
    <t>con ironia dice che visto che c'è questo probelma dei cinghiali sicuramente nessuno vorrà più uscire di casa</t>
  </si>
  <si>
    <t>che faccia qualcosa per risolvere il problema</t>
  </si>
  <si>
    <t>bisogna scavare per cercare un buon libro</t>
  </si>
  <si>
    <t>se c'è una possibilità uno può approfittarsi di qualcosa per arrivare ad un fine</t>
  </si>
  <si>
    <t>bisogna fare tante cose per avere una vita felice</t>
  </si>
  <si>
    <t>è importante e va valorizzato</t>
  </si>
  <si>
    <t>se servono nuovi dipendenti c'è gente che può essere assunta e quindi si risolve il problema della disoccupazione</t>
  </si>
  <si>
    <t>continuano ad assillare le persone per accaparrarsi lo scoop migliore</t>
  </si>
  <si>
    <t>chi parla tanto ma poi non combina niente alla fine</t>
  </si>
  <si>
    <t>ogni cosa ha sia un modo di essere visto che un opposto</t>
  </si>
  <si>
    <t>non hanno voglia di fare niente</t>
  </si>
  <si>
    <t>è cattiva, punzecchia le persone</t>
  </si>
  <si>
    <t>quando un genitore invecchia lo aiutano</t>
  </si>
  <si>
    <t>rimangono sempre al suo fianco</t>
  </si>
  <si>
    <t>sono lenti nel comprendere le cose nuove</t>
  </si>
  <si>
    <t>non è tanto bravo</t>
  </si>
  <si>
    <t>cantano sempre e cantano bene</t>
  </si>
  <si>
    <t>sono molto importanti e sono fondamentali</t>
  </si>
  <si>
    <t>non entrano in acqua</t>
  </si>
  <si>
    <t>si vantano di fare grandi promesse ma poi non riescono a mantenerle</t>
  </si>
  <si>
    <t>sono piccoli e morbidi</t>
  </si>
  <si>
    <t>sono molto intelligenti</t>
  </si>
  <si>
    <t>e84a0c8ec82330f0</t>
  </si>
  <si>
    <t xml:space="preserve">298.9 Psicosi non altrimenti specificata </t>
  </si>
  <si>
    <t xml:space="preserve">(298.9) Psicosi NAS </t>
  </si>
  <si>
    <t>6 mg ore 8</t>
  </si>
  <si>
    <t>1 mg ore 22</t>
  </si>
  <si>
    <t>Non l'ho capita e basta.</t>
  </si>
  <si>
    <t>Stanno cercando di risolvere il fatto che questo orso è in giro.</t>
  </si>
  <si>
    <t>Eh che le biblioteche hanno una risorsa culturale molto ampia, quindi possono anche essere miniere. Miniere culturali</t>
  </si>
  <si>
    <t>Ci sono certe volte della vita in cui bisogna anche se raccogliere l'istante che magari cambia tutto</t>
  </si>
  <si>
    <t>si può vivere anche solo d'aria però nel senso si intende, si intende di riuscire a trovare una propria esistenzialità in questo mondo e una propria posizione e riuscire a viverci giustamente con il denaro</t>
  </si>
  <si>
    <t>3cee7bfc3c8c8674</t>
  </si>
  <si>
    <t>296.50 Disturbo bipolare, episodio depressivo, moderato</t>
  </si>
  <si>
    <t>(296.5) Disturbo bipolare, episodio depressivo, moderato</t>
  </si>
  <si>
    <t>Episodio depressivo</t>
  </si>
  <si>
    <t>Disturbo bipolare II</t>
  </si>
  <si>
    <t>Litio carbonato</t>
  </si>
  <si>
    <t>450 mg ore 8, 20</t>
  </si>
  <si>
    <t>Citalopram</t>
  </si>
  <si>
    <t>16 mg ore 20</t>
  </si>
  <si>
    <t>Quetiapina</t>
  </si>
  <si>
    <t>150 mg/die</t>
  </si>
  <si>
    <t>Ma secondo me è il contrario, scusa, se ci sono i cinghiali che girano non penso che siano felici di andare a fare shopping comunque sono pericolosi.</t>
  </si>
  <si>
    <t>E che vogliono prenderlo. Cioè abbatterlo, non lo so, spero di no, però vogliono mandarli via.</t>
  </si>
  <si>
    <t>Che sono infinite e si possono trovare migliaia di notizie, di informazioni, di racconti, di... perché la libreria è immensa.</t>
  </si>
  <si>
    <t>Che se uno si trova... Magari in una situazione potrebbe cedere alla tentazione e magari se vede una penna che gli piace la ruba e diventa ladro.</t>
  </si>
  <si>
    <t>Eh, in effetti. È vero. Non si vive di solo pane, nel senso che c'è bisogno anche di altro.</t>
  </si>
  <si>
    <t>Che è un posto... è un bel posto, c'è una perla, non so, può essere magari turistico, cioè una perla in quel senso.</t>
  </si>
  <si>
    <t>Che aprendo il museo c'è la possibilità che assumano dipendenti e quindi ci siano meno disoccupati.</t>
  </si>
  <si>
    <t>Che non lasciano in pace le persone nel senso che cercano notizie a tutti i costi invadendo magari anche la privacy.</t>
  </si>
  <si>
    <t>Can che abbaia non morde nel senso che poi in fin dei conti non fa del male</t>
  </si>
  <si>
    <t>La medaglia può avere sia l'aspetto positivo che negativo. Ogni medaglia può avere un aspetto positivo o negativo. Ha due facce la medaglia, secondo me.</t>
  </si>
  <si>
    <t>Che ancora non hanno la propria identità, quindi possono... non lo so, prendere la strada buona come quella cattiva.</t>
  </si>
  <si>
    <t>Allora non lo so dire certe sono spighe sono un po' pungono cioè quindi....come si può dire diversamente? Se pungono... Ma neanche arroganti, arroganti è un'altra cosa. Salto, non mi viene</t>
  </si>
  <si>
    <t>I figli sono stampelle perché forse li devi tenere per mano tutti e due, cioè li devi sostenere, li devi sostenere.</t>
  </si>
  <si>
    <t>Che è molto carina, pura, delicata</t>
  </si>
  <si>
    <t>Certi amici sono ancore e significa che ti aiutano, ti stanno vicino.</t>
  </si>
  <si>
    <t>I vecchi perché comunque già la tartaruga di suo cammina piano piano, quindi fa tutte le cose in modo più rallentato.</t>
  </si>
  <si>
    <t>Perché ha tanti cazzotti.</t>
  </si>
  <si>
    <t>Perché hanno tanta immaginazione e... hanno tanti pensieri loro. Quindi volano come gli aeroplani, i pensieri.</t>
  </si>
  <si>
    <t>Che cantano bene.</t>
  </si>
  <si>
    <t>Sono pilastri, perché comunque hanno tanta esperienza e hanno tanta esperienza</t>
  </si>
  <si>
    <t xml:space="preserve">I bagnini? Perché gli piace star nell'acqua. </t>
  </si>
  <si>
    <t>Perché si atteggiano.</t>
  </si>
  <si>
    <t>Perché sono morbidi come batuffoli.</t>
  </si>
  <si>
    <t>Lanterne si intende tipo luminari? Cioè che sono intelligenti? Boh, diciamo così.</t>
  </si>
  <si>
    <t>3bc7180d41b0316d</t>
  </si>
  <si>
    <t>296.34 Depressione Maggiore, episodio ricorrente, grave, con comportamento psicotico</t>
  </si>
  <si>
    <t>(296.34) Depressione maggiore, episodio ricorrente, grave, con comportamento psicotico</t>
  </si>
  <si>
    <t xml:space="preserve">Episodio depressivo maggiore </t>
  </si>
  <si>
    <t xml:space="preserve">Depressione </t>
  </si>
  <si>
    <t>Sertralina</t>
  </si>
  <si>
    <t>200 mg/die</t>
  </si>
  <si>
    <t>20 mg/die</t>
  </si>
  <si>
    <t>perché possono portarsi via i cinghiali</t>
  </si>
  <si>
    <t>che riesca a salvare la situazione, dottore</t>
  </si>
  <si>
    <t>significa che c'è talmente tanto contenuto di materiale che come la dimensione di una miniera.</t>
  </si>
  <si>
    <t>eh che se davanti a un ingente insomma di denaro per qualsiasi cosa ti ammazzano magari anche per mettere i soldi su di te.</t>
  </si>
  <si>
    <t>i piaceri della vita sono più di quello e quindi oltre il pane qualcosa di più materialistico. Oltre il pane che è la salvezza.</t>
  </si>
  <si>
    <t>eh beh, è un'accezione positiva. Come ad esempio un'opera d'arte, una magnificenza. Il Duomo di Firenze è più paragonabile a quello, è una perla</t>
  </si>
  <si>
    <t>Eh, perché intanto fanno lavorare questa persona anche il sabato e la domenica, può portare a casa più soldi, può... e se lavora il sabato e la domenica c'è bisogno di altro personale, e quindi sono contenti.</t>
  </si>
  <si>
    <t>Può significare che sono di parte. Non indipendenti</t>
  </si>
  <si>
    <t>Che una persona che parla tanto poi fa poco e nulla e poi, babababa, abbaia e poi non fa niente. Di concreto, mi scusi</t>
  </si>
  <si>
    <t>Verissimo. C'è la testa e la croce su ogni medaglia, no? Ha due facce vuol dire</t>
  </si>
  <si>
    <t>Sembrerebbe che sono precisi.</t>
  </si>
  <si>
    <t>Perché sono filiformi</t>
  </si>
  <si>
    <t>sì, il bastone della vecchiaia dei genitori.</t>
  </si>
  <si>
    <t>Perché è vestita magari in una maniera vaporosa che ricorda la dimensione abnorme di una nuvola, in senso ironico.</t>
  </si>
  <si>
    <t>Vuol dire che sono dei modi per salvarsi. Ti affidi a loro, no? Per quello che possono fare perché ognuno ha la sua vita. Non è che poi ti possano adottare.</t>
  </si>
  <si>
    <t>Forse perché si sono fatti la scorza come la tartaruga e hanno questo guscio spesso che sono gli anni che passano e ogni strato di pelle è un anno di esperienza che hanno acquisito</t>
  </si>
  <si>
    <t xml:space="preserve">Non so perché non sapendo il panda le caratteristiche che ha, che ha gli occhi neri cerchiati come un panda? Non lo so. </t>
  </si>
  <si>
    <t>Perché i loro pensieri volano veloci come degli aeroplani. Per essere un filosofo è la base di tutto il tuo pensiero.</t>
  </si>
  <si>
    <t>Perché hanno una voce bella, come il cinquettio degli usignoli</t>
  </si>
  <si>
    <t>Perché aiutano l'economia domestica</t>
  </si>
  <si>
    <t>Che sanno nuotare, però le lucertole non sanno nuotare, o sì.</t>
  </si>
  <si>
    <t>Sì, sono pavoni, nel senso che si fanno...si atteggiano tanto bene e poi magari non rispettano le cose che hanno detto.</t>
  </si>
  <si>
    <t>Batuffoli perché sono profumati, hanno quell'odore delizioso, sono teneri, sono morbidi, sono...non hanno ancora la cartilagine formata e quindi è come il cotone.</t>
  </si>
  <si>
    <t>Dei lumi, illuminismo, il lume, illuminismo. Dei lumi della sapienza, no?</t>
  </si>
  <si>
    <t>f997a499ce674850</t>
  </si>
  <si>
    <t xml:space="preserve">296.33 Episodio depressivo ricorrente, grave, senza menzione di comportamento psicotico </t>
  </si>
  <si>
    <t>(296.33) Episodio depressivo ricorrente, 5, senza menzione di comportamento psicotico</t>
  </si>
  <si>
    <t>301.9 Disturbo di personalità NAS</t>
  </si>
  <si>
    <t>Depressione con sintomi catatonici</t>
  </si>
  <si>
    <t>Clonazepam</t>
  </si>
  <si>
    <t>Quietapina</t>
  </si>
  <si>
    <t>Asenapina</t>
  </si>
  <si>
    <t>Olanzepina</t>
  </si>
  <si>
    <t>Macrogol</t>
  </si>
  <si>
    <t>Statineù</t>
  </si>
  <si>
    <t xml:space="preserve">Venlafaxina </t>
  </si>
  <si>
    <t>cp 150 mg ore 8</t>
  </si>
  <si>
    <t>cp 15 mg ore 20</t>
  </si>
  <si>
    <t xml:space="preserve">cp 2,5 mg ore 22 </t>
  </si>
  <si>
    <t>piene di libri</t>
  </si>
  <si>
    <t>quando c'è la possibilità di fare</t>
  </si>
  <si>
    <t>ci vuole qualcosa in più nella vita</t>
  </si>
  <si>
    <t>è bello</t>
  </si>
  <si>
    <t>vogliono sapere troppo</t>
  </si>
  <si>
    <t>sembra cattivo ma non lo è</t>
  </si>
  <si>
    <t>cambiano idea spesso</t>
  </si>
  <si>
    <t>ha un vestito bello</t>
  </si>
  <si>
    <t>ci si può fidare</t>
  </si>
  <si>
    <t>hanno la corazza</t>
  </si>
  <si>
    <t>ha un occhio nero</t>
  </si>
  <si>
    <t>non lo so</t>
  </si>
  <si>
    <t>aiutano la famiglia</t>
  </si>
  <si>
    <t>si danno troppe arie</t>
  </si>
  <si>
    <t>sono delle piccole creature</t>
  </si>
  <si>
    <t>illuminano</t>
  </si>
  <si>
    <t>331cc09945563888</t>
  </si>
  <si>
    <t>296.02 Disturbo bipolare I, episodio maniacale singolo, moderato</t>
  </si>
  <si>
    <t>(296.02) Disturbo bipolare I, episodio maniacale singolo, moderato</t>
  </si>
  <si>
    <t>Acido Valproico CH</t>
  </si>
  <si>
    <t>1250 mg/die</t>
  </si>
  <si>
    <t>400 mg /4 sett</t>
  </si>
  <si>
    <t>Che non andrà più nessuno</t>
  </si>
  <si>
    <t>Aprire la caccia contro il cinghiale</t>
  </si>
  <si>
    <t>Che sono piene d'oro</t>
  </si>
  <si>
    <t>nel momento in cui viene tentato dal tintinnio e luccichio dei soldi magari chiude un occhietto e dice vabbè 500 euro le prendo io e 20 euro le do in beneficenza che tanto ci sfamano 700 bambini in Africa e quindi</t>
  </si>
  <si>
    <t>Si può rinunciare a tutto, chiedere che qualcuno ti dia da mangiare, poter tentare di vivere una vita più vera</t>
  </si>
  <si>
    <t>Che è ricco di particolari oggetti importanti e molto bello a livello artistico e culturale</t>
  </si>
  <si>
    <t>se qualcuno volesse andare si risolverebbe veramente un pochino il problema della disoccupazione</t>
  </si>
  <si>
    <t>Che pur di avere uno scoop sono disposti a qualsiasi cosa</t>
  </si>
  <si>
    <t>Le persone che ostentano troppa sicurezza o potere non hanno la possibilità di staccare un braccio</t>
  </si>
  <si>
    <t>Aver preso una medaglia al valore in guerra vuol dire aver visto tante cose che sarebbe stato meglio non aver visto per il bene di avere quella medaglia</t>
  </si>
  <si>
    <t>Che non hanno una personalità formata e quindi oscillano tra una proposta e l'altra</t>
  </si>
  <si>
    <t>Che sono in grado di dare un buon seme</t>
  </si>
  <si>
    <t>nella vecchiaia i figli si prenderanno cura dei genitori finché i genitori non ne avranno bisogno</t>
  </si>
  <si>
    <t>ha un bellissimo vestito di nozze</t>
  </si>
  <si>
    <t>certi amici ti buttano giù</t>
  </si>
  <si>
    <t>sono molto preziose e con molta conoscenza</t>
  </si>
  <si>
    <t>Non è abbastanza forte</t>
  </si>
  <si>
    <t>Che viaggiano nel tempo</t>
  </si>
  <si>
    <t>hanno una bella voce</t>
  </si>
  <si>
    <t>Mantengono le tradizioni.</t>
  </si>
  <si>
    <t>amano stare al sole</t>
  </si>
  <si>
    <t>Che gli piace mostrarsi</t>
  </si>
  <si>
    <t>sono morbidi come batuffoli</t>
  </si>
  <si>
    <t>Sono luce nell'oscurità, sono in grado di chiarire oscurità</t>
  </si>
  <si>
    <t>6d103956491a0791</t>
  </si>
  <si>
    <t xml:space="preserve">296.33 Depressione maggiore, episodio ricorrente, grave, senza menzione di comportamento psicotico </t>
  </si>
  <si>
    <t>296.33 - Depressione maggiore, episodio ricorrente, grave, senza menzione di comportamento psicotico</t>
  </si>
  <si>
    <t>301.83 - Disturbo di personalità borderline</t>
  </si>
  <si>
    <t xml:space="preserve">301.83 - Disturbo di personalità borderline </t>
  </si>
  <si>
    <t>Disturbo di personalità borderline</t>
  </si>
  <si>
    <t>Esketamina</t>
  </si>
  <si>
    <t>Topiramato</t>
  </si>
  <si>
    <t>Trazodone</t>
  </si>
  <si>
    <t>Fluoxetina</t>
  </si>
  <si>
    <t>Pregabalin</t>
  </si>
  <si>
    <t>Diazepam</t>
  </si>
  <si>
    <t>40 mg ore 8</t>
  </si>
  <si>
    <t>150 mg ore 8-14, 400mg ore 22</t>
  </si>
  <si>
    <t>200 mg ore 8-14-20</t>
  </si>
  <si>
    <t>Levomepromazina</t>
  </si>
  <si>
    <t>100 mg ore 22</t>
  </si>
  <si>
    <t>257fd8c5953c570b</t>
  </si>
  <si>
    <t>296.22 Depressione maggiore, episodio singolo, moderato</t>
  </si>
  <si>
    <t>301.83 Disturbo di personalita' borderline</t>
  </si>
  <si>
    <t>15 mg ore 20</t>
  </si>
  <si>
    <t>20 mg ore 20</t>
  </si>
  <si>
    <t>f068d4282b71397f</t>
  </si>
  <si>
    <t>296.22 Depressione maggiore, episodio singolo, moderato 301.83 Disturbo borderline di personalità</t>
  </si>
  <si>
    <t>(296.22) Depressione maggiore, episodio singolo, moderato</t>
  </si>
  <si>
    <t>(301.83) disturbo di personalità borderline</t>
  </si>
  <si>
    <t>301.83 Disturbo borderline di personalità</t>
  </si>
  <si>
    <t>Idee autolesive</t>
  </si>
  <si>
    <t>5 mg ore 8</t>
  </si>
  <si>
    <t>10 mg ore 20</t>
  </si>
  <si>
    <t xml:space="preserve">Delorazepam </t>
  </si>
  <si>
    <t>È una frase ironica. Vuol dire che è proprio il contrario.</t>
  </si>
  <si>
    <t>Cioè che agisca sul fatto che ci siano cinghiali in giro per la città</t>
  </si>
  <si>
    <t xml:space="preserve">significa che sono ricche di conoscenza che comunque è molto importante, come se fosse oro </t>
  </si>
  <si>
    <t>se dai tante occasioni a una persona, di conseguenza se ne approfitta</t>
  </si>
  <si>
    <t>non si vive solo grazie alle cose materiali</t>
  </si>
  <si>
    <t>è una bellezza unica e un'importanza unica da non svalutare</t>
  </si>
  <si>
    <t>ci sono più dipendenti disposti a lavorare e quindi si risolve il problema della disoccupazione</t>
  </si>
  <si>
    <t>Che stanno sempre in mezzo, cioè che sono sempre a girare intorno alle persone famose</t>
  </si>
  <si>
    <t>Che non sempre le persone che appaiono cattive siano veramente cattive</t>
  </si>
  <si>
    <t>in ogni situazione positiva c'è sempre una parte negativa</t>
  </si>
  <si>
    <t>sono facilmente influenzabili</t>
  </si>
  <si>
    <t>molto pungenti</t>
  </si>
  <si>
    <t>sono un aiuto per la madre o il padre</t>
  </si>
  <si>
    <t>ha un vestito molto gonfio, sembra una nuvola</t>
  </si>
  <si>
    <t>ti aiutano a restare attaccato alla realtà, cioè ti aiutano</t>
  </si>
  <si>
    <t>lenti e vecchi. Longevi</t>
  </si>
  <si>
    <t>Vuol dire che ha un occhio nero</t>
  </si>
  <si>
    <t>volano molto con la fantasia</t>
  </si>
  <si>
    <t>hanno una voce molto soave</t>
  </si>
  <si>
    <t>hanno creato i nostri genitori che i nostri genitori hanno creato noi quindi loro sono i pilastri</t>
  </si>
  <si>
    <t>sempre sull'attenti e che stanno sempre al sole</t>
  </si>
  <si>
    <t>si vantano troppo del loro potere</t>
  </si>
  <si>
    <t>hanno la pelle molto morbida</t>
  </si>
  <si>
    <t>Che ti ispirano molto</t>
  </si>
  <si>
    <t>251c4c130c82db77</t>
  </si>
  <si>
    <t>296.44 - Sindrome affettiva bipolare, episodio maniacale, grave, con comportamento psicotico</t>
  </si>
  <si>
    <t>Scompenso psicotico in disturbo bipolare I</t>
  </si>
  <si>
    <t>Disturbo bipolare I</t>
  </si>
  <si>
    <t>332 mg ore 20</t>
  </si>
  <si>
    <t>3 mg ore 20</t>
  </si>
  <si>
    <t>ad33d13795dcd599</t>
  </si>
  <si>
    <t xml:space="preserve">296.22 Depressione maggiore, episodio singolo, moderato </t>
  </si>
  <si>
    <t>(295.72) disturbo schizoaffettivo, cronico</t>
  </si>
  <si>
    <t>Disturbo delirante cronico</t>
  </si>
  <si>
    <t>disturbo schizoaffettivo</t>
  </si>
  <si>
    <t>Olanzapina LAI</t>
  </si>
  <si>
    <t>400 mg/2 sett</t>
  </si>
  <si>
    <t>25 mg ore 20</t>
  </si>
  <si>
    <t>che vogliono eliminare i cinghiali</t>
  </si>
  <si>
    <t>Miniere di sapienza</t>
  </si>
  <si>
    <t>se trova un anello qui uno se lo prende</t>
  </si>
  <si>
    <t>C'è mancanza di spiritualità</t>
  </si>
  <si>
    <t>che ci sono cose preziose</t>
  </si>
  <si>
    <t>perché giù in meridione è molto alto il problema della disoccupazione</t>
  </si>
  <si>
    <t>che danno notizie false</t>
  </si>
  <si>
    <t>Io sono il can che abbaia</t>
  </si>
  <si>
    <t>C'è più di una visione</t>
  </si>
  <si>
    <t>i giovani purtroppo poverini sono proprio sul'orlo del precipizio</t>
  </si>
  <si>
    <t>mio figlio sarà il mio bastone della vecchiaia</t>
  </si>
  <si>
    <t>possono aiutarti</t>
  </si>
  <si>
    <t>sono rallentati</t>
  </si>
  <si>
    <t>Ben messo</t>
  </si>
  <si>
    <t>non capisco</t>
  </si>
  <si>
    <t>avere una bella voce</t>
  </si>
  <si>
    <t>sai dove rifugiarti</t>
  </si>
  <si>
    <t>Significa che non è vero</t>
  </si>
  <si>
    <t>Che cambiano di mese in mese la fisionomia</t>
  </si>
  <si>
    <t>sono una luce su cui attingere</t>
  </si>
  <si>
    <t>b41b475007fbf3f9</t>
  </si>
  <si>
    <t>Psicosi NAS</t>
  </si>
  <si>
    <t xml:space="preserve">Sertralina </t>
  </si>
  <si>
    <t>100 mg ore 8</t>
  </si>
  <si>
    <t>400 mg/ 4 sett</t>
  </si>
  <si>
    <t>Era un po' ironico</t>
  </si>
  <si>
    <t>Che prenda una posizione in merito e cerchi una soluzione</t>
  </si>
  <si>
    <t>Per dire che sono un elemento prezioso, sono diamanti</t>
  </si>
  <si>
    <t>Che bisogna crearsi l'occasione giusta</t>
  </si>
  <si>
    <t>Non basta fare cose semplici ma magari andare oltre nelle cose</t>
  </si>
  <si>
    <t>una ricchezza bella della città</t>
  </si>
  <si>
    <t>un po' di ironia la sento nella frase è come per dire che non sta prestando abbastanza attenzione al problema della disoccupazione ma ad altre cose</t>
  </si>
  <si>
    <t>sono appiccicosi stanno molto addosso</t>
  </si>
  <si>
    <t>Può essere magari una persona che parla tanto ma alla fine non fa del male</t>
  </si>
  <si>
    <t>Che bisogna sempre guardare entrambi i lati di una cosa, entrambi gli aspetti di una situazione</t>
  </si>
  <si>
    <t>forse che sono in continua evoluzione, cioè in continuo cambiamento</t>
  </si>
  <si>
    <t>pungente o pungenti, spigolose</t>
  </si>
  <si>
    <t>i figli comunque sono un pilastro per magari i genitori. Cioè un punto fermo</t>
  </si>
  <si>
    <t>Ha un abito magari molto sfarzoso</t>
  </si>
  <si>
    <t>sono punti fermi</t>
  </si>
  <si>
    <t>vanno piano, camminano lentamente</t>
  </si>
  <si>
    <t>avrà avuto un occhio nero</t>
  </si>
  <si>
    <t>a volte magari hanno dei pensieri sopra magari il pensiero comune</t>
  </si>
  <si>
    <t>che sono stonati</t>
  </si>
  <si>
    <t>sono punti fermi per ognuno di noi</t>
  </si>
  <si>
    <t>perché stanno al sole</t>
  </si>
  <si>
    <t>sono molto egocentrici, si vantano molto delle cose che dicono, delle cose che fanno</t>
  </si>
  <si>
    <t>sono piccoli e teneri</t>
  </si>
  <si>
    <t>sono luce magari per uno studente che studia</t>
  </si>
  <si>
    <t>d8e46f1372045895</t>
  </si>
  <si>
    <t>296.62 Disturbo bipolare, episodio misto, moderato</t>
  </si>
  <si>
    <t>(296.62) disturbo bipolare, episodio misto, moderato</t>
  </si>
  <si>
    <t xml:space="preserve">Episodio maniacale </t>
  </si>
  <si>
    <t xml:space="preserve">Aripiprazolo </t>
  </si>
  <si>
    <t>30 mg ore 20</t>
  </si>
  <si>
    <t>83 mg ore 20</t>
  </si>
  <si>
    <t>300 mg ore 8, 14, 20</t>
  </si>
  <si>
    <t>È una presa per il... perché non vorranno</t>
  </si>
  <si>
    <t>Che vogliono togliere gli animali da lì e li vogliono ammazzare</t>
  </si>
  <si>
    <t>perché nei libri impariamo tante cose che nella vita normale non sappiamo</t>
  </si>
  <si>
    <t>Io non sono una ladra, però se mi capita questo pacco mi servono le matite e me li tengo, quindi me li sto rubando</t>
  </si>
  <si>
    <t>non si vive di solo pane perché ci serve l'amore, ci serve trombare, ci serve sorridere, ci serve una casa dove vivere, ci serve un lavoro</t>
  </si>
  <si>
    <t>Che il museo è molto importante per i cittadini e per i turisti</t>
  </si>
  <si>
    <t>Perché se assumono più persone, meno persone saranno disoccupate</t>
  </si>
  <si>
    <t>Sono indiscreti, violano un po' la privacy delle altre persone</t>
  </si>
  <si>
    <t>non è sempre vero ma se qualcuno urla non è detto che quella persona mi verrà a picchiare, è la stessa cosa con il cane</t>
  </si>
  <si>
    <t>ogni persona ha il suo carattere, il suo modo di fare</t>
  </si>
  <si>
    <t>Non sono costanti</t>
  </si>
  <si>
    <t>Cattive</t>
  </si>
  <si>
    <t>vengono secondo me un po' costretti a aiutare i genitori perché i genitori li hanno cresciuti in quel modo</t>
  </si>
  <si>
    <t>Che non durerà molto il matrimonio</t>
  </si>
  <si>
    <t>Ci sono degli amici con i quali ci ancoriamo, ci affidiamo</t>
  </si>
  <si>
    <t>vanno piano</t>
  </si>
  <si>
    <t>È troppo ciccione</t>
  </si>
  <si>
    <t>i loro pensieri viaggiano</t>
  </si>
  <si>
    <t>che cantano male</t>
  </si>
  <si>
    <t>i nonni formano parte della nostra infanzia e ci aiutano ad andare avanti</t>
  </si>
  <si>
    <t>nuotano per salvare le persone</t>
  </si>
  <si>
    <t>sono dei pagliacci, che non riescono a fare il loro lavoro</t>
  </si>
  <si>
    <t>Che sono carini da vederli</t>
  </si>
  <si>
    <t>Ci sono dei professori molto bravi che riescono a svegliare la creatività e la voglia di studiare ai studenti</t>
  </si>
  <si>
    <t>9c54599bb551f162</t>
  </si>
  <si>
    <t xml:space="preserve">296.33 Depressione maggiore, episodio singolo, grave, con comportamento psicotico </t>
  </si>
  <si>
    <t>(296.33) Depressione maggiore, episodio singolo, grave, con comportamento psicotico</t>
  </si>
  <si>
    <t>10 mg ore 8</t>
  </si>
  <si>
    <t xml:space="preserve">Lurasidone </t>
  </si>
  <si>
    <t>74 mg ore 13</t>
  </si>
  <si>
    <t>È una frase ironica e sarcastica</t>
  </si>
  <si>
    <t>Che deve risolvere la situazione urgentemente</t>
  </si>
  <si>
    <t>Che hanno tantissimi libri al loro interno</t>
  </si>
  <si>
    <t>l'uomo certe volte cioè ruba quando ne ha l'occasione cioè magari vede qualcosa in giro che non è suo e se la prende</t>
  </si>
  <si>
    <t>Si vive anche di tanto altro, amicizia, affetto</t>
  </si>
  <si>
    <t>Che è molto bello, cioè è unico</t>
  </si>
  <si>
    <t>è ironico nel senso che comunque non lo risolvono</t>
  </si>
  <si>
    <t>va proprio a scavare all'interno delle persone quello è il torbido, il marcio e magari li rincorre, li perseguita</t>
  </si>
  <si>
    <t>chi a volte ha diciamo delle reazioni esagerate oppure diciamo minaccia delle punizioni eccetera poi in realtà non lo fa</t>
  </si>
  <si>
    <t>per ogni situazione positiva per ogni cosa bella c'è anche poi un risvolto negativo</t>
  </si>
  <si>
    <t>oscillano molto nell'umore</t>
  </si>
  <si>
    <t>che sono molto magre</t>
  </si>
  <si>
    <t>che possono aiutare</t>
  </si>
  <si>
    <t>Perché è vestita tutta di bianco quindi magari assomiglia ad una nuvola</t>
  </si>
  <si>
    <t>sono legati a noi in maniera importante</t>
  </si>
  <si>
    <t>la tartaruga mi fa pensare alla lentezza, quindi proprio ad un'idea di un qualcosa di lento</t>
  </si>
  <si>
    <t>non è particolarmente agile</t>
  </si>
  <si>
    <t>vagano magari con la mente</t>
  </si>
  <si>
    <t>particolarmente bravi, proprio come l'usignolo che è un uccello che sa cinguettare particolarmente bene</t>
  </si>
  <si>
    <t>importanti per la propria vita</t>
  </si>
  <si>
    <t>che stanno al sole</t>
  </si>
  <si>
    <t xml:space="preserve">vogliono soltanto mettersi in mostra </t>
  </si>
  <si>
    <t>sono piccolini</t>
  </si>
  <si>
    <t>possono guidare anche loro nel percorso</t>
  </si>
  <si>
    <t>793da507248010c1</t>
  </si>
  <si>
    <t>292.11 Disturbo psicotico con deliri indotto da sostanze</t>
  </si>
  <si>
    <t>(291.11) Disturbo psicotico con deliri indotto da sostanze</t>
  </si>
  <si>
    <t>(305.61) Abuso di cocaina, continuo</t>
  </si>
  <si>
    <t xml:space="preserve"> 297.1 Disturbo delirante</t>
  </si>
  <si>
    <t>Psicosi acuta</t>
  </si>
  <si>
    <t>Paliperidone palmitato LAI</t>
  </si>
  <si>
    <t>150 mg/4sett</t>
  </si>
  <si>
    <t>Avranno cacciato i cinghiali</t>
  </si>
  <si>
    <t>Che prende la situazione in mano</t>
  </si>
  <si>
    <t>c'erano dei libri importanti</t>
  </si>
  <si>
    <t>La mancanza che non ce l'ha. L'occasione per dire, se io non ho, esempio, questa penna, c'ho l'occasione di rubartela</t>
  </si>
  <si>
    <t>Non si vive di solo pane. Perché il pane te lo devi guadagnare.</t>
  </si>
  <si>
    <t>È una cosa unica</t>
  </si>
  <si>
    <t>Nel senso che hanno un lavoro da fare</t>
  </si>
  <si>
    <t>Avvoltoi che vanno da tutte le parti</t>
  </si>
  <si>
    <t>Che fa rumore</t>
  </si>
  <si>
    <t>Ha il suo opposto</t>
  </si>
  <si>
    <t>Non sono in grado</t>
  </si>
  <si>
    <t>Sono belle</t>
  </si>
  <si>
    <t>Che ti stanno attaccati</t>
  </si>
  <si>
    <t>Che è vestita in bianco</t>
  </si>
  <si>
    <t>Certi amici sono attaccati a te. Quando c'hai qualcosa</t>
  </si>
  <si>
    <t>Camminano piano</t>
  </si>
  <si>
    <t>Sarebbe che è un ciccione</t>
  </si>
  <si>
    <t>Che ragionano veloce</t>
  </si>
  <si>
    <t>sono sempre fermi</t>
  </si>
  <si>
    <t>nuotano sopra l'acqua</t>
  </si>
  <si>
    <t>Non so io</t>
  </si>
  <si>
    <t>Vedono tutto</t>
  </si>
  <si>
    <t>ccc8664ef7fb85d1</t>
  </si>
  <si>
    <t>295.03 Schizofrenia, tipo semplice, subcronico con esacerbazioni acuta</t>
  </si>
  <si>
    <t>(295.03) Schizofrenia tipo semplice, subcronico con esacerbazione acuta</t>
  </si>
  <si>
    <t>clozapina</t>
  </si>
  <si>
    <t>300 mg/die</t>
  </si>
  <si>
    <t>13 gtt ore 8,20</t>
  </si>
  <si>
    <t>Sarcasmo</t>
  </si>
  <si>
    <t>Prendere la situazione in mano</t>
  </si>
  <si>
    <t>sono miniere di libri, miniere di conoscenza</t>
  </si>
  <si>
    <t>una cosa molto semplice e ne approfitti subito</t>
  </si>
  <si>
    <t>Bisogna anche fare altro</t>
  </si>
  <si>
    <t>Che è la cosa più importante che ha</t>
  </si>
  <si>
    <t>Così ognuno può tornare al proprio posto, quindi risolve la disoccupazione</t>
  </si>
  <si>
    <t>Che inseguono la notizia molto fastidiosamente qualche volta</t>
  </si>
  <si>
    <t>Qualcuno che si incazza tanto, che magari conosci ma alla fine non ti crea più problemi</t>
  </si>
  <si>
    <t>Potrebbe essere successa una cosa buona e dopo una cosa cattiva o al contrario</t>
  </si>
  <si>
    <t>Hanno molte capacità e possono imparare il mestiere prima per mettere in campo le loro conoscenze</t>
  </si>
  <si>
    <t>Sono molto evitanti</t>
  </si>
  <si>
    <t>Un aiuto per la vecchiaia</t>
  </si>
  <si>
    <t>Quella sposa sembra una ragazza molto leggera, con un vestito molto leggero, che le permette di infondere tranquillità</t>
  </si>
  <si>
    <t>Possono essere una salvezza, prima del naufragio</t>
  </si>
  <si>
    <t>Perché sono lenti</t>
  </si>
  <si>
    <t>Sa incassare bene</t>
  </si>
  <si>
    <t>hanno la capacità di mettere le loro idee e farle volare e farle vedere a tutti</t>
  </si>
  <si>
    <t>I nonni sono la parte più importante della famiglia</t>
  </si>
  <si>
    <t>Sono sempre pronti a intervenire in caso di difficoltà</t>
  </si>
  <si>
    <t>Certi politici dicono cose becere e poi si fanno gli affari loro.</t>
  </si>
  <si>
    <t>Sono carini</t>
  </si>
  <si>
    <t>Sono lunatici</t>
  </si>
  <si>
    <t>047f326d9f8500bd</t>
  </si>
  <si>
    <t>295.34 schizofrenia tipo paranoide, cronico con esacerbazione acuta</t>
  </si>
  <si>
    <t>(295.34) Schizofrenia tipo paranoide, cronico con esacerbazione acuta</t>
  </si>
  <si>
    <t>schizofrenia paranoide</t>
  </si>
  <si>
    <t>paliperidone</t>
  </si>
  <si>
    <t>9 mg ore 8</t>
  </si>
  <si>
    <t>levomepromazina</t>
  </si>
  <si>
    <t>400 mg ore 22</t>
  </si>
  <si>
    <t>Non lo so</t>
  </si>
  <si>
    <t>Eliminare i cinghiali</t>
  </si>
  <si>
    <t>puoi trovare di tutto</t>
  </si>
  <si>
    <t>Che l'uomo se ne approfitta sempre</t>
  </si>
  <si>
    <t>erché bisogna avere anche, per esempio, l'auto, soldi per la benzina, soldi per fare altro</t>
  </si>
  <si>
    <t>Che è qualcosa di bello, di importante</t>
  </si>
  <si>
    <t>vogliono prendere più personale allora dicono di tenerlo aperto per più tempo</t>
  </si>
  <si>
    <t>che cercano di carpire le informazioni a tutti i costi e si avventano un po' sull'intervistato</t>
  </si>
  <si>
    <t>che sono capaci di abbaiare, non sono capaci di mordere</t>
  </si>
  <si>
    <t>C'è sempre il rovescio della medaglia, cioè nel senso c'è sempre il lato negativo di ogni cosa</t>
  </si>
  <si>
    <t>cambiano spesso diciamo cose da fare, modi di fare, usanze</t>
  </si>
  <si>
    <t>Che sono pungenti</t>
  </si>
  <si>
    <t>Sono un peso</t>
  </si>
  <si>
    <t>che la si vede mai</t>
  </si>
  <si>
    <t>Rimangono per tutta la vita</t>
  </si>
  <si>
    <t>Sono lenti a muoversi</t>
  </si>
  <si>
    <t>Che è lento a muoversi</t>
  </si>
  <si>
    <t>Sono immersi nei loro pensieri, quindi volano</t>
  </si>
  <si>
    <t>È alto il livello di voce</t>
  </si>
  <si>
    <t>Sono importanti e sono le basi della famiglia</t>
  </si>
  <si>
    <t>Perché stanno sempre al sole e non muoiono</t>
  </si>
  <si>
    <t>È tutta Apparenza e quindi la sostanza</t>
  </si>
  <si>
    <t>Hanno le guance paffute</t>
  </si>
  <si>
    <t>il professore in teoria ti illumina e ti guida nel tuo percorso di studio</t>
  </si>
  <si>
    <t>40614237d2b3e5d8</t>
  </si>
  <si>
    <t xml:space="preserve">296.2 Depressione maggiore episodio singolo </t>
  </si>
  <si>
    <t>(296.2) depressione maggiore episodio seingolo</t>
  </si>
  <si>
    <t>Disturbo di personalità</t>
  </si>
  <si>
    <t>07/10/0204</t>
  </si>
  <si>
    <t>disturbo da uso di cocaina</t>
  </si>
  <si>
    <t>500 mg ore 8, 20</t>
  </si>
  <si>
    <t>Qiuetiapina</t>
  </si>
  <si>
    <t>200 mg ore 20</t>
  </si>
  <si>
    <t>300 mg ore 8-14-20</t>
  </si>
  <si>
    <t>Alprazolam</t>
  </si>
  <si>
    <t>5 gtt ore 8-20</t>
  </si>
  <si>
    <t>(non sa rispondere)</t>
  </si>
  <si>
    <t>(non sa a rispondere)</t>
  </si>
  <si>
    <t>contengono testi di valore</t>
  </si>
  <si>
    <t>nel momento in cui ci si trova in determinate situazioni può essere che magari ci si viene invogliati a far l'uomo</t>
  </si>
  <si>
    <t>Non si vive di solo pane, si vive di tanto altro</t>
  </si>
  <si>
    <t>potrebbe essere una gran risorsa per i comuni o per la zona, per il turismo, anche per il lavoro, per i ragazzi</t>
  </si>
  <si>
    <t>perché per poter tenere aperto questo museo ci sarà bisogno di personale, quindi magari si può assumere qualche giovane</t>
  </si>
  <si>
    <t>Invadenti</t>
  </si>
  <si>
    <t>la persona che è aggressiva o che solitamente è quella meno pericolosa</t>
  </si>
  <si>
    <t>ha il suo riscontro</t>
  </si>
  <si>
    <t>vanno dove tira il vento</t>
  </si>
  <si>
    <t>pungenti, provocanti</t>
  </si>
  <si>
    <t>Sono la nostra forza di stare in piedi</t>
  </si>
  <si>
    <t>Quella sposa è bellissima</t>
  </si>
  <si>
    <t>sono una salvezza</t>
  </si>
  <si>
    <t>lenti</t>
  </si>
  <si>
    <t>avrà sempre l'occhio nero</t>
  </si>
  <si>
    <t>volano con i loro pensieri</t>
  </si>
  <si>
    <t>teneri</t>
  </si>
  <si>
    <t>i nonni sono pilastri, per me il pilastro, io intendo il nonno come un secondo genitore. E quindi il genitore per quanto importante, no? Ed è un pilastro tenendo la famiglia</t>
  </si>
  <si>
    <t>sempre al sole</t>
  </si>
  <si>
    <t>Sono cotone, vero, sono morbidi</t>
  </si>
  <si>
    <t>1725e8c999802945</t>
  </si>
  <si>
    <t xml:space="preserve">296.34 Depressione Maggiore, episodio ricorrente, grave, con comportamento psicotico </t>
  </si>
  <si>
    <t>(301.9) disturbo di personalità NAS</t>
  </si>
  <si>
    <t>(305.03) Abuso di alcol, in remissione</t>
  </si>
  <si>
    <t xml:space="preserve">301.9 Disturbo di Personalità, non specificato </t>
  </si>
  <si>
    <t>disturbo depressivo ricorrente</t>
  </si>
  <si>
    <t>disturbo da uso di sostanze</t>
  </si>
  <si>
    <t>sertralina</t>
  </si>
  <si>
    <t>200 mg ore 8</t>
  </si>
  <si>
    <t>Può darsi che dato che ci sono i cinghiali qualcheduno li fa secchi</t>
  </si>
  <si>
    <t>Che prenda la situazione in mano</t>
  </si>
  <si>
    <t>contengono dei libri antichi o cose del genere molto preziosi</t>
  </si>
  <si>
    <t>la tentazione, quando uno vede dei soldi sul tavolo a casa di un'altra persona per esempio potrebbe benissimo scipparli</t>
  </si>
  <si>
    <t>non si vive di solo pane, si vive di tutto, carne, pesce, vegetali</t>
  </si>
  <si>
    <t>234c6c4189aa7f6b</t>
  </si>
  <si>
    <t>292.11 disturbo psicotico indotto da sostanze</t>
  </si>
  <si>
    <t>(292.11) disturbo psicotico con deliri indotto da sostanze</t>
  </si>
  <si>
    <t>Substance abuse disorder</t>
  </si>
  <si>
    <t xml:space="preserve">Psicosi acuta </t>
  </si>
  <si>
    <t xml:space="preserve">lorazepam </t>
  </si>
  <si>
    <t>2,5 mg ore 20</t>
  </si>
  <si>
    <t>Ha fatto pubblicità a questo evento, non lo so, alla città</t>
  </si>
  <si>
    <t>Che prenda in mano la situazione</t>
  </si>
  <si>
    <t>certe biblioteche sono stracolme di libri di qualsiasi genere, di qualsiasi tipo si voglia leggere</t>
  </si>
  <si>
    <t>Che il fatto che un portafoglio, un cellulare sia lasciato incustodito rende l'uomo... tenta l'uomo e lo fa ladro</t>
  </si>
  <si>
    <t>si vive anche di... cioè non solo di... del pane che... insomma, dei soldi con cui si compra il pane, ma anche di... cultura, cioè cose più elevate</t>
  </si>
  <si>
    <t>un fiore all'occhiello del posto e ci tiene che non si perda il fatto che venga visitato dalle persone</t>
  </si>
  <si>
    <t>è ironico nel senso che così si tiene occupato il sindaco che altrimenti non fa nulla</t>
  </si>
  <si>
    <t>certi giornalisti pur di raccogliere la notizia avere la notizia di primo pelo cioè la prima notizia non rispettano diciamo anche la situazione emotiva magari lo stato emotivo, sentimentale di una persona</t>
  </si>
  <si>
    <t>la persona che minaccia di fare a destra manca, di aggredire, poi alla fine fa ben poco di quello che promette</t>
  </si>
  <si>
    <t>gni ogni impresa ogni ogni traguardo lodevole per cui si merita una medaglia ha la sua parte di fatica e di difficoltà immensa</t>
  </si>
  <si>
    <t>oscillano continuamente un po' da un'emozione a un'altra</t>
  </si>
  <si>
    <t>erchi di dimenticarle ma non le dimentichi facilmente perché le senti sempre pungere attraverso la calza per esempio come una spiga</t>
  </si>
  <si>
    <t>potrebbero e devono probabilmente supportare come stampelle i genitori una volta che il genitore ne ha bisogno ecco</t>
  </si>
  <si>
    <t>il vestito di quella sposa è così candido, così bianco e così probabilmente affascinante, bello da sembrare una nuvola</t>
  </si>
  <si>
    <t>Certi amici sono la nostra salvezza</t>
  </si>
  <si>
    <t>senso che si muovono più lentamente</t>
  </si>
  <si>
    <t>Ha un occhio nero</t>
  </si>
  <si>
    <t>si spostano con la mente da un punto ad un altro, viaggiano un po' nel tempo e nello spazio</t>
  </si>
  <si>
    <t>Certi cantanti hanno voci così pure, così prive di... così armoniche, così pure, ecco, mi viene da dire da essere quasi degli animali, degli elementi della natura stessa</t>
  </si>
  <si>
    <t>i nonni sono fondamentali per l'equilibrio e andare avanti di una famiglia</t>
  </si>
  <si>
    <t>prendono molto sole</t>
  </si>
  <si>
    <t>superbi e arroganti come qualche volta i pavoni</t>
  </si>
  <si>
    <t>sono così soffici e morbidi da sembrare dei batuffoli di cotone</t>
  </si>
  <si>
    <t>ti illuminano la via fondamentalmente</t>
  </si>
  <si>
    <t>e85726229c92e0dc</t>
  </si>
  <si>
    <t>296.04 disturbo bipolare I, episodio maniacale singolo, grave, con comportamento psicotico</t>
  </si>
  <si>
    <t>(296.04) Disturbo bipolare I, episodio maniacale singolo, grave, con comportamento psicotico</t>
  </si>
  <si>
    <t>Scompenso in disturbo bipolare</t>
  </si>
  <si>
    <t>disturbo bipolare I con caratteristiche psicotiche</t>
  </si>
  <si>
    <t>83 mg ore 8,20</t>
  </si>
  <si>
    <t>oxcarbazepina</t>
  </si>
  <si>
    <t>300 mg ore 8,20</t>
  </si>
  <si>
    <t xml:space="preserve">delorazepam </t>
  </si>
  <si>
    <t>20 gtt ore 8,20</t>
  </si>
  <si>
    <t>75 mg/4 sett</t>
  </si>
  <si>
    <t>che vedendo che ci sono questi cinghiali che vengono a mangiare di giorno, mangiare le sporcizie, le rifiuti, non hanno più voglia di venire</t>
  </si>
  <si>
    <t>Che prenda provvedimenti</t>
  </si>
  <si>
    <t>Che ci sono libri molto importanti</t>
  </si>
  <si>
    <t>Che in qualche occasione l'uomo se può fa il furbo</t>
  </si>
  <si>
    <t>non basta poco per vivere diciamo</t>
  </si>
  <si>
    <t>Che ha molte cose importanti da far vedere, è un museo archeologico</t>
  </si>
  <si>
    <t>Che assumono persone a lavorare dentro questo museo</t>
  </si>
  <si>
    <t>Sono assillanti</t>
  </si>
  <si>
    <t>Di solito chi fa rumore poi alla fine non fa niente</t>
  </si>
  <si>
    <t>Ogni medaglia ha due lati, ha due parti</t>
  </si>
  <si>
    <t>Che hanno un'emotività molto non stabile, cioè a volte sono contenti, a volte sono tristi</t>
  </si>
  <si>
    <t>che sono pungenti</t>
  </si>
  <si>
    <t>i figli ti sorreggono</t>
  </si>
  <si>
    <t>È bellissima, è leggiadra, è semplice</t>
  </si>
  <si>
    <t>Certi amici ti puoi affidare così tanto che ti danno quel supporto che hai bisogno</t>
  </si>
  <si>
    <t>Ha due occhi neri</t>
  </si>
  <si>
    <t>I filosofi fanno volare col pensiero</t>
  </si>
  <si>
    <t>Come Giorgia hanno una voce spettacolare</t>
  </si>
  <si>
    <t>fondamentali per la crescita di tutti</t>
  </si>
  <si>
    <t>sempre fuori dentro dall'acqua</t>
  </si>
  <si>
    <t>fanno solo chiacchiere, fanno solo bellezza, sono lì per fare il bello e basta</t>
  </si>
  <si>
    <t>Morbidi, morbidosi, profumosi</t>
  </si>
  <si>
    <t>Fanno da orientamento, orientano</t>
  </si>
  <si>
    <t>acb3f11611dcd664</t>
  </si>
  <si>
    <t>Tentato suicidio</t>
  </si>
  <si>
    <t>20/11/0225</t>
  </si>
  <si>
    <t>20 mg ore 8.00</t>
  </si>
  <si>
    <t>Litio Solfato</t>
  </si>
  <si>
    <t>83 mg mezza compressa ore 8 e una intera alle 20</t>
  </si>
  <si>
    <t xml:space="preserve">Quetapina RP </t>
  </si>
  <si>
    <t>50 mg alle 22</t>
  </si>
  <si>
    <t>10 mg alle 22</t>
  </si>
  <si>
    <t>07a5cccaf8f6823b</t>
  </si>
  <si>
    <t xml:space="preserve">296.32 - Depressione maggiore, episodio ricorrente, moderato  </t>
  </si>
  <si>
    <t>296.32 - Depressione maggiore, episodio ricorrente, moderato</t>
  </si>
  <si>
    <t>301.83 - Disturbo borderline di personalità</t>
  </si>
  <si>
    <t xml:space="preserve"> 301.83 - Disturbo borderline di personalità</t>
  </si>
  <si>
    <t xml:space="preserve">Deflessione timica </t>
  </si>
  <si>
    <t>Acido Valproico</t>
  </si>
  <si>
    <t>400 mg/4sett</t>
  </si>
  <si>
    <t>500 mg ore 20</t>
  </si>
  <si>
    <t>Levosulpride</t>
  </si>
  <si>
    <t>25 mg ore 8-14-20</t>
  </si>
  <si>
    <t>1 mg ore 20</t>
  </si>
  <si>
    <t>b5b0b38ac44f5b16</t>
  </si>
  <si>
    <t xml:space="preserve">2989 ICDIXCM: PSICOSI NON SPECIFICATA </t>
  </si>
  <si>
    <t>PSICOSI NON SPECIFICATA corrispondente al codice ICDIXCM: 2989</t>
  </si>
  <si>
    <t>Psicosi indotta da sostanze</t>
  </si>
  <si>
    <t>Si</t>
  </si>
  <si>
    <t>Ironia</t>
  </si>
  <si>
    <t>Lì la situazione in sé che viene controllata.</t>
  </si>
  <si>
    <t>27ed79a940836d41</t>
  </si>
  <si>
    <t>296.82 Disturbo depressivo atipico</t>
  </si>
  <si>
    <t>(301.10) Disturbo di personalità NAS</t>
  </si>
  <si>
    <t xml:space="preserve">  301.10 Disturbo di personalità NAS </t>
  </si>
  <si>
    <t>75 mg/die</t>
  </si>
  <si>
    <t>saranno incuriositi dagli animali</t>
  </si>
  <si>
    <t>che vengano eliminati i cinghiali</t>
  </si>
  <si>
    <t>Che possono avere un valore non indifferente</t>
  </si>
  <si>
    <t>se c'è l'opportunità l'uomo diventa ladro, cioè se ne approfitta</t>
  </si>
  <si>
    <t>he serve qualcos'altro, oltre al pane. Il companatico</t>
  </si>
  <si>
    <t>è qualcosa di prezioso, di bello, da tenere in considerazione, da valorizzare</t>
  </si>
  <si>
    <t>È più facile dire agli altri di lavorare</t>
  </si>
  <si>
    <t>Significa che si approfittano delle disgrazie altrui</t>
  </si>
  <si>
    <t>perché non può essere impegnato in due situazioni</t>
  </si>
  <si>
    <t>che comunque vada c'è un riscontro positivo</t>
  </si>
  <si>
    <t>costretti a usare i mezzi pubblici</t>
  </si>
  <si>
    <t>bisogna stargli alla larga</t>
  </si>
  <si>
    <t>come per dire un domani avremo supporto dei nostri figli</t>
  </si>
  <si>
    <t>un miraggio, è qualcosa che poi passa</t>
  </si>
  <si>
    <t>chiamano per sentire come sto, che mi vogliono invitare, che mi danno supporto nel lavoro che sto facendo</t>
  </si>
  <si>
    <t>la lentezza</t>
  </si>
  <si>
    <t>È lento</t>
  </si>
  <si>
    <t>Non so, non so mica se Socrate era un aeroplano</t>
  </si>
  <si>
    <t>hanno un'ugola delicata</t>
  </si>
  <si>
    <t>nel senso di dire che si dedicano vita e morte e miracoli ai nipoti</t>
  </si>
  <si>
    <t>si sbivaccano al sole</t>
  </si>
  <si>
    <t>che vogliono mostrarsi in modo ecclatante</t>
  </si>
  <si>
    <t>che riescono a illuminare le lezioni con estrema facilità</t>
  </si>
  <si>
    <t>7cb94df0741704b9</t>
  </si>
  <si>
    <t xml:space="preserve">296.23 ICD-9: Depressione maggiore, episodio singolo grave, senza menzione di comportamento psicotico </t>
  </si>
  <si>
    <t>296.23 ICD-9: Depressione maggiore, episodio singolo grave, senza menzione di comportamento psicotico</t>
  </si>
  <si>
    <t>• 300.4 ICD-9: Disturbo depressivo persistente (distimia)</t>
  </si>
  <si>
    <t>300.4 ICD-9: Disturbo depressivo persistente (distimia)</t>
  </si>
  <si>
    <t>Disturbo episodico dell'umore non specificato, disturbo di personalità</t>
  </si>
  <si>
    <t>Disturbo episodico dell'umore non specificato</t>
  </si>
  <si>
    <t>, disturbo di personalità</t>
  </si>
  <si>
    <t xml:space="preserve">Aripiprazolo  </t>
  </si>
  <si>
    <t>50 mg ore 22</t>
  </si>
  <si>
    <t xml:space="preserve"> Diazepam</t>
  </si>
  <si>
    <t xml:space="preserve">5 mg ore 8 - 20 </t>
  </si>
  <si>
    <t>300 mg ore 8 – 14, 600 mg ore 20</t>
  </si>
  <si>
    <t>166 mg ore 20</t>
  </si>
  <si>
    <t>10 mg  ore 8</t>
  </si>
  <si>
    <t>Le famiglie di cinghiali. Le famigliotte di cinghiali arrivano denrtro il negozio a fare shopping non potranno pagare però sono sempre dei clienti che possono diventare tranquillamente carne da macello e vendita.</t>
  </si>
  <si>
    <t>Eh che si faccia qualcosa per far sì che i cinghiali non scendano più dalla collina. Che sia un abbattimento controllato o una gestione migliore dei rifiuti, se è quello che li attira.</t>
  </si>
  <si>
    <t>Vabbè sono miniere di conoscenza con tutti i libri accumulati nel tempo sicuramente sono fonte di conoscenza e di cultura-</t>
  </si>
  <si>
    <t>Ovviamente se c'è la possibilità di prendere qualcosa senza che nessuno lo scopre anzi senza che nessuno ci scopra ed è allettante, ovviamente si fa l'occasione fa l'uomo ladro in quel senso. Se si può prendere senza conseguenze si prende.</t>
  </si>
  <si>
    <t>Questa è bella. Beh, non si può vivere solo di pane, bisogna anche mangiare altro, non ci si può accontentare solo del pane, bisogna anche puntare a una bistecca, a un filetto, a qualcosa di meglio del pane.</t>
  </si>
  <si>
    <t>0ac2c509cf16da02</t>
  </si>
  <si>
    <t>2971.Disturbo delirante cronico</t>
  </si>
  <si>
    <t>2971. DISTURBO DELIRANTE CRONICO</t>
  </si>
  <si>
    <t>Scompenso psioctico</t>
  </si>
  <si>
    <t>Disturbo di personalità schizoide</t>
  </si>
  <si>
    <t>e97e67bde8e4a463</t>
  </si>
  <si>
    <t xml:space="preserve"> 29211 ICDIXCM Disturbo psicotico con deliri indotto da droghe</t>
  </si>
  <si>
    <t>DISTURBO PSICOTICO CON DELIRI INDOTTO DA DROGHE corrispondente al codice ICDIXCM: 29211</t>
  </si>
  <si>
    <t>Cocaina, THC, Ketamina, ecstasy</t>
  </si>
  <si>
    <t>Clozapina</t>
  </si>
  <si>
    <t>3311997c89b15426</t>
  </si>
  <si>
    <t>297.1 - Disturbo delirante</t>
  </si>
  <si>
    <t>7f6f07d5047a08bd</t>
  </si>
  <si>
    <t>301.9 Disturbo di personalità, NAS</t>
  </si>
  <si>
    <t xml:space="preserve">Ideazione autolesiva </t>
  </si>
  <si>
    <t>disurbo di personalità borderline</t>
  </si>
  <si>
    <t>pregabalin</t>
  </si>
  <si>
    <t>200 mg ore 8,14,20</t>
  </si>
  <si>
    <t>trazodone RP</t>
  </si>
  <si>
    <t>150 mg ore 20</t>
  </si>
  <si>
    <t>È ironico</t>
  </si>
  <si>
    <t>Di risolvere la situazione al più presto</t>
  </si>
  <si>
    <t>Nel senso che molte biblioteche sono ricche di... ben fornite di libri</t>
  </si>
  <si>
    <t>quando capita non è da perdere e bisogna affrettarsi a prenderla al volo, questa occasione</t>
  </si>
  <si>
    <t>non bisogna accettare solo le cose basilari, ma riuscire ad avere... a prendere anche altre cose, non solo quelle che servono per la sopravvivenza</t>
  </si>
  <si>
    <t>che è qualcosa di veramente tanto prezioso e che non deve andare perso</t>
  </si>
  <si>
    <t>permettendo a più persone di lavorare all'interno di questo museo, si elimina il tasso di disoccupazione</t>
  </si>
  <si>
    <t>perché è come se andassero a infastidire quelle che devono essere delle celebrità da fotografare, non lasciandoli in pace</t>
  </si>
  <si>
    <t>chi è magari molto aggressivo a livello di comportamento di una persona non fa un danno, non alza le mani</t>
  </si>
  <si>
    <t>per ogni azione buona, quindi meritevole, c'è comunque un lato negativo da considerare</t>
  </si>
  <si>
    <t>gli adolescenti non stanno mai fermi come un pendolo di un orologio</t>
  </si>
  <si>
    <t>certe ragazze sono molto magre</t>
  </si>
  <si>
    <t>i figli possono essere un supporto per i genitori</t>
  </si>
  <si>
    <t>il suo vestito è talmente tanto bianco che può essere paragonato a una nuvola</t>
  </si>
  <si>
    <t>un'amicizia può salvarti la vita, può salvare una persona</t>
  </si>
  <si>
    <t>lenti e magari longevi</t>
  </si>
  <si>
    <t>quel pugile è molto, diciamo, molto grande, molto grosso</t>
  </si>
  <si>
    <t>i filosofi hanno, diciamo, il loro metodo di vedere le cose e nel modo di parlare, è come se fossero degli aeroplani che non stanno mai fermi</t>
  </si>
  <si>
    <t>hanno una voce talmente bella che viene paragonata ad un usignolo</t>
  </si>
  <si>
    <t>sono pilastri perché sono loro la base dell'albero genealogico</t>
  </si>
  <si>
    <t>si muovono velocemente le lucertole e che quando nuotano simulano la nuotata di una lucertola</t>
  </si>
  <si>
    <t>Nel senso che si pavoneggiano e che si danno molte arie</t>
  </si>
  <si>
    <t xml:space="preserve">sono delicati </t>
  </si>
  <si>
    <t>sono duraturi come delle lanterne</t>
  </si>
  <si>
    <t>8dc2b308f5595eb0</t>
  </si>
  <si>
    <t>296.24 Depressione maggiore, episodio singolo, grave, con comportamento psicotico</t>
  </si>
  <si>
    <t>[29624] DEPRESSIONE MAGGIORE, EPISODIO SINGOLO, GRAVE, CON COMPORTAMENTO PSICOTICO</t>
  </si>
  <si>
    <t>Episodio depressivo acuto</t>
  </si>
  <si>
    <t>lurasidone</t>
  </si>
  <si>
    <t>148 mg ore 12</t>
  </si>
  <si>
    <t xml:space="preserve">75 mg ore 8 </t>
  </si>
  <si>
    <t>30 gtt ore 22</t>
  </si>
  <si>
    <t>0cb461012310f8a9</t>
  </si>
  <si>
    <t>296.21 Depressione maggiore, episodio singolo, lieve</t>
  </si>
  <si>
    <t>(296.21) Depressione maggiore, episodio singolo, lieve</t>
  </si>
  <si>
    <t>(30924) Disrturbo dell'adattamento con ansia</t>
  </si>
  <si>
    <t>150 mg ore 22</t>
  </si>
  <si>
    <t>Vortioxetina</t>
  </si>
  <si>
    <t>20 mg ore 8</t>
  </si>
  <si>
    <t>1 mg ore 8, 14, 20</t>
  </si>
  <si>
    <t>hanno paura di andare in giro perché hanno paura di incontrare i cinghiali</t>
  </si>
  <si>
    <t>di ammazzarli</t>
  </si>
  <si>
    <t>puoi trovare di tutto dentro</t>
  </si>
  <si>
    <t>se perdi un'occasione la perdi per sempre</t>
  </si>
  <si>
    <t>non bisogna accontentarsi</t>
  </si>
  <si>
    <t>46861a90d42dcd46</t>
  </si>
  <si>
    <t>(296.32) Depressione maggiore, episodio ricorrente, moderato</t>
  </si>
  <si>
    <t>Trazodone RP</t>
  </si>
  <si>
    <t>una forma sarcastica, se girano cinghiali dove sono i negozi chi deve andare a comprare non è invogliato</t>
  </si>
  <si>
    <t>che agisca per vedere di mettere un freno alla situazione e metterla sotto controllo</t>
  </si>
  <si>
    <t>c'è un patrimonio culturale importante e quindi anche il modo di far arrivare la cultura, il pensiero, è ricca insomma</t>
  </si>
  <si>
    <t>se ce n'è una possibilità qualcuno è tentato di voler portare via qualcosa, di rubare</t>
  </si>
  <si>
    <t>ci sono cose più importanti come i sentimenti e quant'altro</t>
  </si>
  <si>
    <t>ha dei reperti importanti che sono da far vedere alle persone</t>
  </si>
  <si>
    <t>lo fate voi ma poi alla fine non date posti di lavoro per altre persone</t>
  </si>
  <si>
    <t>cercano di speculare sulla notizia per ricavarne profitto o tornaconto personale</t>
  </si>
  <si>
    <t>una persona che generalmemnte può avere atteggiamenti sopra le righe ma non è una persona cattiva comunque</t>
  </si>
  <si>
    <t>ogni situazione ha un lato positivo ed un lato negativo</t>
  </si>
  <si>
    <t>hanno degli atteggiamenti che oscillano, non sono proprio come pensiero e capacità di impostare un determinato pensiero su cosa fare nella vita ma possono avere ancora pensieri non del tutto definiti</t>
  </si>
  <si>
    <t>possono essere scontrose</t>
  </si>
  <si>
    <t>devono fungere da supporto per gli anziani e i genitori</t>
  </si>
  <si>
    <t>è una signora veramente fantastica, sensazione di leggero, bellissima</t>
  </si>
  <si>
    <t>sono importanti, persone sulle quali ci si può appoggiare in un momento di difficoltà</t>
  </si>
  <si>
    <t>hanno tempi più rallentati ma possono essere sicuramente più capaci di un giovane</t>
  </si>
  <si>
    <t>è molto lento, goffo</t>
  </si>
  <si>
    <t>hanno un pensiero, una capacità di poter immaginare situazioni diverse creative e sognare</t>
  </si>
  <si>
    <t>hanno una bella voce, assomigliano al canto dell'usignolo</t>
  </si>
  <si>
    <t>il nonno sono il rifugio su cui si appoggiano le famiglie per avere sostegno</t>
  </si>
  <si>
    <t>sono sempre stesi al sole</t>
  </si>
  <si>
    <t>quelli che si vogliono atteggiare con atteggiamenti presuntuosi, indirizzare aspetti della politica</t>
  </si>
  <si>
    <t>bello, da una sensazione di gioia e tenerezza</t>
  </si>
  <si>
    <t>con il loro atteggiamento possono dare un indirizzo ed una strada ad una persona, aiutarlo concretamente</t>
  </si>
  <si>
    <t>8f1a4e5e5741c2cd</t>
  </si>
  <si>
    <t>Episodio psicotico acuto</t>
  </si>
  <si>
    <t>2 mg ore 8-20</t>
  </si>
  <si>
    <t>4b0b3da0c6a0f8ee</t>
  </si>
  <si>
    <t>295.93 Schizofrenia non specificata, cronica con esacerbazione acuta</t>
  </si>
  <si>
    <t>Schizofrenia paranoide</t>
  </si>
  <si>
    <t>30 mg ore 8</t>
  </si>
  <si>
    <t>50 gtt ore 8-14, 75 gtt ore 20</t>
  </si>
  <si>
    <t>Non lo so, forse ho &lt;unclear&gt;</t>
  </si>
  <si>
    <t>Che faccia qualcosa</t>
  </si>
  <si>
    <t xml:space="preserve">Certe biblioteche sono miniere significa che c'è... sono ben fornite </t>
  </si>
  <si>
    <t xml:space="preserve">Può capitare che c'è l'occasione di...fare soldi e se...uno approfitta </t>
  </si>
  <si>
    <t>La vita non è solo mangiare, non mi viene altro.</t>
  </si>
  <si>
    <t>50ff8db65536863b</t>
  </si>
  <si>
    <t>29574 Disturbo schizoaffettivo, cronico con esarcebazione acuta</t>
  </si>
  <si>
    <t>[29574] DISTURBO SCHIZOAFFETTIVO, CRONICO CON ESACERBAZIONE ACUTA</t>
  </si>
  <si>
    <t>Psicosi paranoide</t>
  </si>
  <si>
    <t>Zuclopentixolo LA</t>
  </si>
  <si>
    <t>Cannabis</t>
  </si>
  <si>
    <t>Aripirazolo LAI</t>
  </si>
  <si>
    <t xml:space="preserve">Acido Valproico </t>
  </si>
  <si>
    <t>500 mg ore 8-20</t>
  </si>
  <si>
    <t>1 mg ore 8-14-20</t>
  </si>
  <si>
    <t>7632b8ae2eb29e1f</t>
  </si>
  <si>
    <t>296.23 Depressione maggiore, episodio singolo, grave, senza menzione di comportamento psicotico</t>
  </si>
  <si>
    <t>(296.23) Depressione maggiore, episodio singolo, 5, senza menzione di comportamento psicotico</t>
  </si>
  <si>
    <t>chrono 500 mg 1 cpr ore 8, 1 cpr ore 20</t>
  </si>
  <si>
    <t>5 mg</t>
  </si>
  <si>
    <t>Amlodipina</t>
  </si>
  <si>
    <t>5 mg 1 cpr ore 20</t>
  </si>
  <si>
    <t>10 mg 1 cpr se insonnia</t>
  </si>
  <si>
    <t>battuta sarcastica, già c'era poca gente mo non vedremo nessuno</t>
  </si>
  <si>
    <t>prenda in mano la situazione, la risolva</t>
  </si>
  <si>
    <t>si possono trovare manoscritti preziosi, di valore</t>
  </si>
  <si>
    <t>di fronte ad una situazione facile tutti possono cadere e diventare ladri</t>
  </si>
  <si>
    <t>non si vive di soli soldi, c'è anche il resto oltre al pane</t>
  </si>
  <si>
    <t>deve essere un bel museo, un museo ricco di opere, vale la pena di essere tenuto aperto</t>
  </si>
  <si>
    <t>sarcasmo, d'altra parte se non si trovano dipendenti, p una frase sarcastica</t>
  </si>
  <si>
    <t>si accaniscono sulle persone, sulle notizie, sui fatti, li vanno a distorcere pur di pubblicare un articolo, non hanno pietà, ti tolgono la carne pur di cavare notizie</t>
  </si>
  <si>
    <t>chi grida non fa nulla, più pericoloso chi sta zitto</t>
  </si>
  <si>
    <t>c'è sempre un risvolto negativo o differente rispetto al fronte della medaglia</t>
  </si>
  <si>
    <t>vanno un po' dove va la corrente, il tempo, seguono le mode</t>
  </si>
  <si>
    <t>crescono belle al sole ma sono fragili, in balia delle atmosfere</t>
  </si>
  <si>
    <t>sono le stampelle dei genitori</t>
  </si>
  <si>
    <t>non porta serenità nella famiglia</t>
  </si>
  <si>
    <t>ci si può affidare</t>
  </si>
  <si>
    <t>lenti fisicamente</t>
  </si>
  <si>
    <t>pugile molto veloce</t>
  </si>
  <si>
    <t>ti fanno volare col pensiero</t>
  </si>
  <si>
    <t>cantano bene, hanno delle belle voci</t>
  </si>
  <si>
    <t>sono le fondamenta delle famiglie</t>
  </si>
  <si>
    <t>sono sempre sul bagnasciuga al sole</t>
  </si>
  <si>
    <t>sono lì soltanto per mettersi in mostra</t>
  </si>
  <si>
    <t>sono tanto piccolini, teneri</t>
  </si>
  <si>
    <t>vanno a cercare e con la lanterna che ha dentro lo studente e anche qualcosa che ha dentro lo studente</t>
  </si>
  <si>
    <t>a3960c153f475c3c</t>
  </si>
  <si>
    <t>301.83 Disturbo di personalitàborderline</t>
  </si>
  <si>
    <t>(301.83) Disturbo di personalità borderline</t>
  </si>
  <si>
    <t>Personality disorder</t>
  </si>
  <si>
    <t>Disturbo d'ansia</t>
  </si>
  <si>
    <t>Disturbo di personalità NAS</t>
  </si>
  <si>
    <t>mirtazapina</t>
  </si>
  <si>
    <t xml:space="preserve">gabapentin </t>
  </si>
  <si>
    <t>300 mg ore 8,14,20</t>
  </si>
  <si>
    <t>20 gtt ore 22</t>
  </si>
  <si>
    <t>1 mg ore 8</t>
  </si>
  <si>
    <t>è una battuta, non è serio, è un modo sarcastico</t>
  </si>
  <si>
    <t>Che prende in mano la situazione e faccia qualcosa per risolvere appunto questo problema</t>
  </si>
  <si>
    <t>certe biblioteche contengono magari dei pezzi unici, degli elementi rari</t>
  </si>
  <si>
    <t>l'occasione non ti capita tutti i giorni, quindi nel senso che la prendi e la porti con te come un ladro</t>
  </si>
  <si>
    <t>non si vive di cose solo semplici o comunque basiche</t>
  </si>
  <si>
    <t>una cosa rara</t>
  </si>
  <si>
    <t>È in senso ironico</t>
  </si>
  <si>
    <t>tendono a comportarsi esattamente come gli avvoltoi, ho inteso che si avvicinano il più veloce possibile e anche più frettolosamente alle notizie o comunque a un fatto di cronaca e come per approfittare.</t>
  </si>
  <si>
    <t>Che chi fa tanto chiasso o che si lamenta tanto, poi alla fine sotto sotto non... è come se facesse finta</t>
  </si>
  <si>
    <t>ogni cosa può avere una parte bella come una parte brutta e viceversa</t>
  </si>
  <si>
    <t>cambiano idea in modo molto veloce e spesso</t>
  </si>
  <si>
    <t>si comportano male</t>
  </si>
  <si>
    <t>anche i figli verso i genitori nel momento del bisogno sostengono i genitori</t>
  </si>
  <si>
    <t>È bellissima</t>
  </si>
  <si>
    <t>nei momenti più difficili certi amici ti salvano</t>
  </si>
  <si>
    <t>sono lenti perché con la loro età che sono più anziani di conseguenza hanno si muovono più lentamente ma anche proprio come processo proprio di crescita diciamo viene visto come un rallentamento</t>
  </si>
  <si>
    <t>come il panda che ha un diciamo delle macchie nere sugli occhi</t>
  </si>
  <si>
    <t>hanno un pensiero magari un po' distaccato da quello che è la realtà terrena</t>
  </si>
  <si>
    <t>hanno una voce talmente bella, hanno un talento talmente grande che sono come il canto di uno usignolo</t>
  </si>
  <si>
    <t>nonni sono molto importanti in una famiglia a volte più dei genitori</t>
  </si>
  <si>
    <t>come le lucertole stanno tutto il giorno a prendere il sole</t>
  </si>
  <si>
    <t xml:space="preserve">sbattono le ali e basta come possono fare i pavoni </t>
  </si>
  <si>
    <t>sono piccolissimi, sono morbidi</t>
  </si>
  <si>
    <t>ti danno una una luce o qualcosa in più in un momento, in un tuo percorso</t>
  </si>
  <si>
    <t>8f0e8cecd4185e83</t>
  </si>
  <si>
    <t xml:space="preserve">296.23 Depressione maggiore, episodio singolo, grave, senza menzione di comportamento psicotico </t>
  </si>
  <si>
    <t>312.31 Gioco d'azzardo patologico</t>
  </si>
  <si>
    <t>Gesto anticonservativo</t>
  </si>
  <si>
    <t>Bupropione</t>
  </si>
  <si>
    <t>150 mg ore 8</t>
  </si>
  <si>
    <t>60fe32fdd0ff1fab</t>
  </si>
  <si>
    <t>Lavomepromazina</t>
  </si>
  <si>
    <t>50gtt ore 8-14, 75gtt ore 20</t>
  </si>
  <si>
    <t>dato mancante ma che si può recuperare</t>
  </si>
  <si>
    <t>dato non applicabile</t>
  </si>
  <si>
    <t>data perso (mancante non recuperabile)</t>
  </si>
  <si>
    <t>Keywords delirio</t>
  </si>
  <si>
    <t>chiedere a nichini se giusta la categorizzazione</t>
  </si>
  <si>
    <t>Diagnosi alla dimissione</t>
  </si>
  <si>
    <t>CAROLA</t>
  </si>
  <si>
    <t>CECILIA</t>
  </si>
  <si>
    <t>NOTE</t>
  </si>
  <si>
    <t>N_farmaci</t>
  </si>
  <si>
    <t>antipsicotico</t>
  </si>
  <si>
    <t>CONTROLLARE I CASI - CAROLA</t>
  </si>
  <si>
    <t>T0_BABS_TOT</t>
  </si>
  <si>
    <t>T0_INTERVIEW</t>
  </si>
  <si>
    <t>T0_TAT_1</t>
  </si>
  <si>
    <t>T0_TAT_2</t>
  </si>
  <si>
    <t>T0_TAT_3</t>
  </si>
  <si>
    <t>diagnosi all'ammissione</t>
  </si>
  <si>
    <t>diagnosi alla dimissione</t>
  </si>
  <si>
    <t xml:space="preserve">data di ammissione e dimissione </t>
  </si>
  <si>
    <t xml:space="preserve">età </t>
  </si>
  <si>
    <t>scolarità</t>
  </si>
  <si>
    <t>presenza e tema del delirio</t>
  </si>
  <si>
    <t xml:space="preserve">scale cliniche di cui mancano alcuni dati </t>
  </si>
  <si>
    <t>ID PAIZENTI</t>
  </si>
  <si>
    <t>0=gruppo non delirio</t>
  </si>
  <si>
    <t>se hanno fatto assessment completo</t>
  </si>
  <si>
    <t>tema delirio</t>
  </si>
  <si>
    <t>data prima somminstrazione</t>
  </si>
  <si>
    <t>scala clinica per valutare grado di insight e fissità delle credenze</t>
  </si>
  <si>
    <t>scala di valutazione globale su gravità della malattia, miglioramento globale e indice di efficacia terapeutica)</t>
  </si>
  <si>
    <t>scala per valutare funzionamento sociale e lavorativo del paziente indipendente dalla gravità dei sintomi psicopatologici</t>
  </si>
  <si>
    <r>
      <rPr>
        <b/>
        <sz val="12"/>
        <color rgb="FF000000"/>
        <rFont val="Arial"/>
        <family val="2"/>
      </rPr>
      <t xml:space="preserve">La </t>
    </r>
    <r>
      <rPr>
        <b/>
        <u/>
        <sz val="12"/>
        <color rgb="FF000000"/>
        <rFont val="Arial"/>
        <family val="2"/>
      </rPr>
      <t>PANSS</t>
    </r>
    <r>
      <rPr>
        <b/>
        <sz val="12"/>
        <color rgb="FF000000"/>
        <rFont val="Arial"/>
        <family val="2"/>
      </rPr>
      <t xml:space="preserve"> è uno strumento di valutazione clinica ampiamente utilizzato per misurare la gravità dei sintomi nei pazienti con schizofrenia, inclusi i sintomi positivi, negativi e la psicopatologia generale: quelle che seguono sono i vari item delle sottoscale.</t>
    </r>
  </si>
  <si>
    <t>punteggio totale PANSS</t>
  </si>
  <si>
    <t>punteggio sintomi positivi</t>
  </si>
  <si>
    <t>punteggio sintomi negativi</t>
  </si>
  <si>
    <t>fattore disorganizzazione</t>
  </si>
  <si>
    <t xml:space="preserve">fattore excitement </t>
  </si>
  <si>
    <t>fattore emotional distress</t>
  </si>
  <si>
    <t>1= gruppo delirio</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</si>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</sst>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dd/mm/yyyy"/>
  </numFmts>
  <fonts count="20" x14ac:knownFonts="1">
    <font>
      <sz val="12"/>
      <color theme="1"/>
      <name val="Aptos Narrow"/>
      <scheme val="minor"/>
    </font>
    <font>
      <b/>
      <sz val="14"/>
      <color theme="1"/>
      <name val="Calibri"/>
      <family val="2"/>
    </font>
    <font>
      <b/>
      <sz val="14"/>
      <color rgb="FF000000"/>
      <name val="Calibri"/>
      <family val="2"/>
    </font>
    <font>
      <sz val="14"/>
      <color theme="1"/>
      <name val="Calibri"/>
      <family val="2"/>
    </font>
    <font>
      <sz val="14"/>
      <color rgb="FFFF0000"/>
      <name val="Calibri"/>
      <family val="2"/>
    </font>
    <font>
      <sz val="14"/>
      <color rgb="FF000000"/>
      <name val="Calibri"/>
      <family val="2"/>
    </font>
    <font>
      <sz val="14"/>
      <color rgb="FF222222"/>
      <name val="Calibri"/>
      <family val="2"/>
    </font>
    <font>
      <b/>
      <sz val="12"/>
      <color rgb="FFFF0000"/>
      <name val="Aptos Narrow"/>
    </font>
    <font>
      <b/>
      <sz val="12"/>
      <color theme="1"/>
      <name val="Aptos Narrow"/>
    </font>
    <font>
      <sz val="12"/>
      <color theme="1"/>
      <name val="Aptos Narrow"/>
      <scheme val="minor"/>
    </font>
    <font>
      <b/>
      <sz val="12"/>
      <color theme="9"/>
      <name val="Aptos Narrow (Body)"/>
    </font>
    <font>
      <sz val="12"/>
      <color theme="9"/>
      <name val="Aptos Narrow (Body)"/>
    </font>
    <font>
      <b/>
      <sz val="14"/>
      <color theme="1"/>
      <name val="Aptos Narrow"/>
    </font>
    <font>
      <b/>
      <sz val="12"/>
      <color rgb="FF000000"/>
      <name val="Aptos Narrow"/>
    </font>
    <font>
      <sz val="12"/>
      <color theme="1"/>
      <name val="Arial"/>
      <family val="2"/>
    </font>
    <font>
      <b/>
      <sz val="14"/>
      <color theme="1"/>
      <name val="Arial"/>
      <family val="2"/>
    </font>
    <font>
      <b/>
      <sz val="12"/>
      <color theme="1"/>
      <name val="Arial"/>
      <family val="2"/>
    </font>
    <font>
      <b/>
      <u/>
      <sz val="12"/>
      <color rgb="FFEEF0FF"/>
      <name val="Arial"/>
      <family val="2"/>
    </font>
    <font>
      <b/>
      <sz val="12"/>
      <color rgb="FF000000"/>
      <name val="Arial"/>
      <family val="2"/>
    </font>
    <font>
      <b/>
      <u/>
      <sz val="12"/>
      <color rgb="FF000000"/>
      <name val="Arial"/>
      <family val="2"/>
    </font>
  </fonts>
  <fills count="3">
    <fill>
      <patternFill patternType="none"/>
    </fill>
    <fill>
      <patternFill patternType="gray125"/>
    </fill>
    <fill>
      <patternFill patternType="solid">
        <fgColor theme="0"/>
        <bgColor theme="0"/>
      </patternFill>
    </fill>
  </fills>
  <borders count="4">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3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3" fillId="0" borderId="0" xfId="0" applyFont="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164" fontId="3" fillId="0" borderId="1" xfId="0" applyNumberFormat="1"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165" fontId="3" fillId="0" borderId="1" xfId="0" applyNumberFormat="1" applyFont="1" applyBorder="1" applyAlignment="1">
      <alignment horizontal="left"/>
    </xf>
    <xf numFmtId="164" fontId="5" fillId="0" borderId="1" xfId="0" applyNumberFormat="1" applyFont="1" applyBorder="1" applyAlignment="1">
      <alignment horizontal="left"/>
    </xf>
    <xf numFmtId="0" fontId="5" fillId="0" borderId="2"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4" fillId="0" borderId="2" xfId="0" applyFont="1" applyBorder="1" applyAlignment="1">
      <alignment horizontal="left"/>
    </xf>
    <xf numFmtId="0" fontId="4" fillId="0" borderId="0" xfId="0" applyFont="1" applyAlignment="1">
      <alignment horizontal="left"/>
    </xf>
    <xf numFmtId="165" fontId="3" fillId="0" borderId="0" xfId="0" applyNumberFormat="1" applyFont="1" applyAlignment="1">
      <alignment horizontal="left"/>
    </xf>
    <xf numFmtId="164" fontId="3" fillId="0" borderId="0" xfId="0" applyNumberFormat="1" applyFont="1" applyAlignment="1">
      <alignment horizontal="left"/>
    </xf>
    <xf numFmtId="0" fontId="7" fillId="2" borderId="1" xfId="0" applyFont="1" applyFill="1" applyBorder="1"/>
    <xf numFmtId="0" fontId="8" fillId="2" borderId="1" xfId="0" applyFont="1" applyFill="1" applyBorder="1"/>
    <xf numFmtId="0" fontId="9" fillId="0" borderId="0" xfId="0" applyFont="1"/>
    <xf numFmtId="0" fontId="10" fillId="2" borderId="1" xfId="0" applyFont="1" applyFill="1" applyBorder="1"/>
    <xf numFmtId="0" fontId="11" fillId="0" borderId="0" xfId="0" applyFont="1"/>
    <xf numFmtId="0" fontId="12" fillId="2" borderId="1" xfId="0" applyFont="1" applyFill="1" applyBorder="1"/>
    <xf numFmtId="0" fontId="13" fillId="2" borderId="1" xfId="0" applyFont="1" applyFill="1" applyBorder="1"/>
    <xf numFmtId="0" fontId="14" fillId="0" borderId="0" xfId="0" applyFont="1"/>
    <xf numFmtId="0" fontId="8" fillId="0" borderId="0" xfId="0" applyFont="1"/>
    <xf numFmtId="0" fontId="12" fillId="0" borderId="0" xfId="0" applyFont="1"/>
    <xf numFmtId="0" fontId="15" fillId="0" borderId="0" xfId="0" applyFont="1"/>
    <xf numFmtId="0" fontId="13" fillId="0" borderId="0" xfId="0" applyFont="1"/>
    <xf numFmtId="0" fontId="16" fillId="0" borderId="0" xfId="0" applyFont="1"/>
    <xf numFmtId="0" fontId="17" fillId="0" borderId="0" xfId="0" applyFont="1"/>
    <xf numFmtId="0" fontId="18" fillId="0" borderId="0" xfId="0" applyFont="1"/>
  </cellXfs>
  <cellStyles count="1">
    <cellStyle name="Normale" xfId="0" builtinId="0"/>
  </cellStyles>
  <dxfs count="3">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s>
  <tableStyles count="1">
    <tableStyle name="READM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S3">
  <tableColumns count="175">
    <tableColumn id="1" xr3:uid="{00000000-0010-0000-0000-000001000000}" name="File"/>
    <tableColumn id="2" xr3:uid="{00000000-0010-0000-0000-000002000000}" name="Età"/>
    <tableColumn id="3" xr3:uid="{00000000-0010-0000-0000-000003000000}" name="Sex"/>
    <tableColumn id="4" xr3:uid="{00000000-0010-0000-0000-000004000000}" name="Scolarità (anni)"/>
    <tableColumn id="5" xr3:uid="{00000000-0010-0000-0000-000005000000}" name="Group"/>
    <tableColumn id="6" xr3:uid="{00000000-0010-0000-0000-000006000000}" name="Full_Assessment"/>
    <tableColumn id="7" xr3:uid="{00000000-0010-0000-0000-000007000000}" name="Keywords delirio"/>
    <tableColumn id="8" xr3:uid="{00000000-0010-0000-0000-000008000000}" name="Delusion theme"/>
    <tableColumn id="9" xr3:uid="{00000000-0010-0000-0000-000009000000}" name="Diagnosi alla dimissione"/>
    <tableColumn id="10" xr3:uid="{00000000-0010-0000-0000-00000A000000}" name="Diagnosis Grouping"/>
    <tableColumn id="11" xr3:uid="{00000000-0010-0000-0000-00000B000000}" name="NOTE"/>
    <tableColumn id="12" xr3:uid="{00000000-0010-0000-0000-00000C000000}" name="Motivo del ricovero"/>
    <tableColumn id="13" xr3:uid="{00000000-0010-0000-0000-00000D000000}" name="Data di ammissione"/>
    <tableColumn id="14" xr3:uid="{00000000-0010-0000-0000-00000E000000}" name="Data di dimissione"/>
    <tableColumn id="15" xr3:uid="{00000000-0010-0000-0000-00000F000000}" name="1_Diagnosi all'ammissione "/>
    <tableColumn id="16" xr3:uid="{00000000-0010-0000-0000-000010000000}" name="2_Diagnosi all'ammissione "/>
    <tableColumn id="17" xr3:uid="{00000000-0010-0000-0000-000011000000}" name="Terapia all'ammissione"/>
    <tableColumn id="18" xr3:uid="{00000000-0010-0000-0000-000012000000}" name="Uso di sostanze all'ammissione"/>
    <tableColumn id="19" xr3:uid="{00000000-0010-0000-0000-000013000000}" name="Tipo di sostanze all'ammissione"/>
    <tableColumn id="20" xr3:uid="{00000000-0010-0000-0000-000014000000}" name="1_Farmaco durante ricovero"/>
    <tableColumn id="21" xr3:uid="{00000000-0010-0000-0000-000015000000}" name="2_Farmaco durante ricovero"/>
    <tableColumn id="22" xr3:uid="{00000000-0010-0000-0000-000016000000}" name="3_Farmaco durante ricovero"/>
    <tableColumn id="23" xr3:uid="{00000000-0010-0000-0000-000017000000}" name="4_Farmaco durante ricovero"/>
    <tableColumn id="24" xr3:uid="{00000000-0010-0000-0000-000018000000}" name="5_Farmaco durante ricovero"/>
    <tableColumn id="25" xr3:uid="{00000000-0010-0000-0000-000019000000}" name="6_Farmaco durante ricovero"/>
    <tableColumn id="26" xr3:uid="{00000000-0010-0000-0000-00001A000000}" name="7_Farmaco durante ricovero"/>
    <tableColumn id="27" xr3:uid="{00000000-0010-0000-0000-00001B000000}" name="8_Farmaco durante ricovero"/>
    <tableColumn id="28" xr3:uid="{00000000-0010-0000-0000-00001C000000}" name="9_Farmaco durante ricovero"/>
    <tableColumn id="29" xr3:uid="{00000000-0010-0000-0000-00001D000000}" name="10_Farmaco durante ricovero"/>
    <tableColumn id="30" xr3:uid="{00000000-0010-0000-0000-00001E000000}" name="11_Farmaco durante ricovero"/>
    <tableColumn id="31" xr3:uid="{00000000-0010-0000-0000-00001F000000}" name="12_Farmaco durante ricovero"/>
    <tableColumn id="32" xr3:uid="{00000000-0010-0000-0000-000020000000}" name="1_Diagnosi alla dimissione"/>
    <tableColumn id="33" xr3:uid="{00000000-0010-0000-0000-000021000000}" name="2_Diagnosi alla dimissione"/>
    <tableColumn id="34" xr3:uid="{00000000-0010-0000-0000-000022000000}" name="3_Diagnosi alla dimissione"/>
    <tableColumn id="35" xr3:uid="{00000000-0010-0000-0000-000023000000}" name="1_Terapia alla dimissione"/>
    <tableColumn id="36" xr3:uid="{00000000-0010-0000-0000-000024000000}" name="1_Terapia alla dimissione (dose)"/>
    <tableColumn id="37" xr3:uid="{00000000-0010-0000-0000-000025000000}" name="2_Terapia alla dimissione"/>
    <tableColumn id="38" xr3:uid="{00000000-0010-0000-0000-000026000000}" name="2_Terapia alla dimissione (dose)"/>
    <tableColumn id="39" xr3:uid="{00000000-0010-0000-0000-000027000000}" name="3_Terapia alla dimissione"/>
    <tableColumn id="40" xr3:uid="{00000000-0010-0000-0000-000028000000}" name="3_Terapia alla dimissione (dose)"/>
    <tableColumn id="41" xr3:uid="{00000000-0010-0000-0000-000029000000}" name="4_Terapia alla dimissione"/>
    <tableColumn id="42" xr3:uid="{00000000-0010-0000-0000-00002A000000}" name="4_Terapia alla dimissione (dose)"/>
    <tableColumn id="43" xr3:uid="{00000000-0010-0000-0000-00002B000000}" name="5_Terapia alla dimissione"/>
    <tableColumn id="44" xr3:uid="{00000000-0010-0000-0000-00002C000000}" name="5_Terapia alla dimissione (dose)"/>
    <tableColumn id="45" xr3:uid="{00000000-0010-0000-0000-00002D000000}" name="6_Terapia alla dimissione"/>
    <tableColumn id="46" xr3:uid="{00000000-0010-0000-0000-00002E000000}" name="6_Terapia alla dimissione (dose)"/>
    <tableColumn id="47" xr3:uid="{00000000-0010-0000-0000-00002F000000}" name="7_Terapia alla dimissione"/>
    <tableColumn id="48" xr3:uid="{00000000-0010-0000-0000-000030000000}" name="7_Terapia alla dimissione (dose)"/>
    <tableColumn id="49" xr3:uid="{00000000-0010-0000-0000-000031000000}" name="8_Terapia alla dimissione"/>
    <tableColumn id="50" xr3:uid="{00000000-0010-0000-0000-000032000000}" name="8_Terapia alla dimissione (dose)"/>
    <tableColumn id="51" xr3:uid="{00000000-0010-0000-0000-000033000000}" name="Stato di TSO al momento del ricovero"/>
    <tableColumn id="52" xr3:uid="{00000000-0010-0000-0000-000034000000}" name="Durata del ricovero (in giorni)"/>
    <tableColumn id="53" xr3:uid="{00000000-0010-0000-0000-000035000000}" name="Numero di ricoveri (entro l'anno)"/>
    <tableColumn id="54" xr3:uid="{00000000-0010-0000-0000-000036000000}" name="Esecuzione di contenzione fisica (Sì/No)"/>
    <tableColumn id="55" xr3:uid="{00000000-0010-0000-0000-000037000000}" name="Presenza e tema del delirio"/>
    <tableColumn id="56" xr3:uid="{00000000-0010-0000-0000-000038000000}" name="Sono note alterazioni a esami di imaging o EEG?"/>
    <tableColumn id="57" xr3:uid="{00000000-0010-0000-0000-000039000000}" name=" Se note alterazione a esami di imaging o EEG specificare"/>
    <tableColumn id="58" xr3:uid="{00000000-0010-0000-0000-00003A000000}" name="T0_Date"/>
    <tableColumn id="59" xr3:uid="{00000000-0010-0000-0000-00003B000000}" name="T0_BABS_1"/>
    <tableColumn id="60" xr3:uid="{00000000-0010-0000-0000-00003C000000}" name="T0_BABS_2"/>
    <tableColumn id="61" xr3:uid="{00000000-0010-0000-0000-00003D000000}" name="T0_BABS_3"/>
    <tableColumn id="62" xr3:uid="{00000000-0010-0000-0000-00003E000000}" name="T0_BABS_4"/>
    <tableColumn id="63" xr3:uid="{00000000-0010-0000-0000-00003F000000}" name="T0_BABS_5"/>
    <tableColumn id="64" xr3:uid="{00000000-0010-0000-0000-000040000000}" name="T0_BABS_6"/>
    <tableColumn id="65" xr3:uid="{00000000-0010-0000-0000-000041000000}" name="T0_BABS_7(NO_SUM)"/>
    <tableColumn id="66" xr3:uid="{00000000-0010-0000-0000-000042000000}" name="T0_BABS_TOT"/>
    <tableColumn id="67" xr3:uid="{00000000-0010-0000-0000-000043000000}" name="T0_CGI_1"/>
    <tableColumn id="68" xr3:uid="{00000000-0010-0000-0000-000044000000}" name="T0_CGI_2"/>
    <tableColumn id="69" xr3:uid="{00000000-0010-0000-0000-000045000000}" name="T0_CGI_3"/>
    <tableColumn id="70" xr3:uid="{00000000-0010-0000-0000-000046000000}" name="T0_SOFAS"/>
    <tableColumn id="71" xr3:uid="{00000000-0010-0000-0000-000047000000}" name="T0_PANSS_p1"/>
    <tableColumn id="72" xr3:uid="{00000000-0010-0000-0000-000048000000}" name="T0_PANSS_p2"/>
    <tableColumn id="73" xr3:uid="{00000000-0010-0000-0000-000049000000}" name="T0_PANSS_p3"/>
    <tableColumn id="74" xr3:uid="{00000000-0010-0000-0000-00004A000000}" name="T0_PANSS_p4"/>
    <tableColumn id="75" xr3:uid="{00000000-0010-0000-0000-00004B000000}" name="T0_PANSS_p5"/>
    <tableColumn id="76" xr3:uid="{00000000-0010-0000-0000-00004C000000}" name="T0_PANSS_p6"/>
    <tableColumn id="77" xr3:uid="{00000000-0010-0000-0000-00004D000000}" name="T0_PANSS_p7"/>
    <tableColumn id="78" xr3:uid="{00000000-0010-0000-0000-00004E000000}" name="T0_PANSS_n1"/>
    <tableColumn id="79" xr3:uid="{00000000-0010-0000-0000-00004F000000}" name="T0_PANSS_n2"/>
    <tableColumn id="80" xr3:uid="{00000000-0010-0000-0000-000050000000}" name="T0_PANSS_n3"/>
    <tableColumn id="81" xr3:uid="{00000000-0010-0000-0000-000051000000}" name="T0_PANSS_n4"/>
    <tableColumn id="82" xr3:uid="{00000000-0010-0000-0000-000052000000}" name="T0_PANSS_n5"/>
    <tableColumn id="83" xr3:uid="{00000000-0010-0000-0000-000053000000}" name="T0_PANSS_n6"/>
    <tableColumn id="84" xr3:uid="{00000000-0010-0000-0000-000054000000}" name="T0_PANSS_n7"/>
    <tableColumn id="85" xr3:uid="{00000000-0010-0000-0000-000055000000}" name="T0_PANSS_g1"/>
    <tableColumn id="86" xr3:uid="{00000000-0010-0000-0000-000056000000}" name="T0_PANSS_g2"/>
    <tableColumn id="87" xr3:uid="{00000000-0010-0000-0000-000057000000}" name="T0_PANSS_g3"/>
    <tableColumn id="88" xr3:uid="{00000000-0010-0000-0000-000058000000}" name="T0_PANSS_g4"/>
    <tableColumn id="89" xr3:uid="{00000000-0010-0000-0000-000059000000}" name="T0_PANSS_g5"/>
    <tableColumn id="90" xr3:uid="{00000000-0010-0000-0000-00005A000000}" name="T0_PANSS_g6"/>
    <tableColumn id="91" xr3:uid="{00000000-0010-0000-0000-00005B000000}" name="T0_PANSS_g7"/>
    <tableColumn id="92" xr3:uid="{00000000-0010-0000-0000-00005C000000}" name="T0_PANSS_g8"/>
    <tableColumn id="93" xr3:uid="{00000000-0010-0000-0000-00005D000000}" name="T0_PANSS_g9"/>
    <tableColumn id="94" xr3:uid="{00000000-0010-0000-0000-00005E000000}" name="T0_PANSS_g10"/>
    <tableColumn id="95" xr3:uid="{00000000-0010-0000-0000-00005F000000}" name="T0_PANSS_g11"/>
    <tableColumn id="96" xr3:uid="{00000000-0010-0000-0000-000060000000}" name="T0_PANSS_g12"/>
    <tableColumn id="97" xr3:uid="{00000000-0010-0000-0000-000061000000}" name="T0_PANSS_g13"/>
    <tableColumn id="98" xr3:uid="{00000000-0010-0000-0000-000062000000}" name="T0_PANSS_g14"/>
    <tableColumn id="99" xr3:uid="{00000000-0010-0000-0000-000063000000}" name="T0_PANSS_g15"/>
    <tableColumn id="100" xr3:uid="{00000000-0010-0000-0000-000064000000}" name="T0_PANSS_g16"/>
    <tableColumn id="101" xr3:uid="{00000000-0010-0000-0000-000065000000}" name="T0_TOT_PANSS"/>
    <tableColumn id="102" xr3:uid="{00000000-0010-0000-0000-000066000000}" name="T0_POS_PANSS"/>
    <tableColumn id="103" xr3:uid="{00000000-0010-0000-0000-000067000000}" name="T0_NEG_PANSS"/>
    <tableColumn id="104" xr3:uid="{00000000-0010-0000-0000-000068000000}" name="T0_DIS_PANSS"/>
    <tableColumn id="105" xr3:uid="{00000000-0010-0000-0000-000069000000}" name="T0_EXC_PANSS"/>
    <tableColumn id="106" xr3:uid="{00000000-0010-0000-0000-00006A000000}" name="T0_EMO_PANSS"/>
    <tableColumn id="107" xr3:uid="{00000000-0010-0000-0000-00006B000000}" name="T0_TALD_CIRCOSTANZIALITà"/>
    <tableColumn id="108" xr3:uid="{00000000-0010-0000-0000-00006C000000}" name="T0_TALD_DERAGLIAMENTO"/>
    <tableColumn id="109" xr3:uid="{00000000-0010-0000-0000-00006D000000}" name="T0_TALD_TANGENZIALITà"/>
    <tableColumn id="110" xr3:uid="{00000000-0010-0000-0000-00006E000000}" name="T0_TALD_DISSOCIAZIONE DEL PENSIERO (INCOERENZA/DISTRAZIONE)"/>
    <tableColumn id="111" xr3:uid="{00000000-0010-0000-0000-00006F000000}" name="T0_TALD DIALOGO INTERFERENTE"/>
    <tableColumn id="112" xr3:uid="{00000000-0010-0000-0000-000070000000}" name="T0_TALD_PERSEVERAZIONE"/>
    <tableColumn id="113" xr3:uid="{00000000-0010-0000-0000-000071000000}" name="T0_TALD_VERBIGERAZIONE"/>
    <tableColumn id="114" xr3:uid="{00000000-0010-0000-0000-000072000000}" name="T0_TALD_INTERRUZIONE DEL PENSIERO"/>
    <tableColumn id="115" xr3:uid="{00000000-0010-0000-0000-000073000000}" name="T0_TALD_ACCELERAZIONE DELL'ELOQUIO"/>
    <tableColumn id="116" xr3:uid="{00000000-0010-0000-0000-000074000000}" name="T0_TALD_LOGORREA"/>
    <tableColumn id="117" xr3:uid="{00000000-0010-0000-0000-000075000000}" name="T0_TALD_ELOQUIO MANIERISTICO"/>
    <tableColumn id="118" xr3:uid="{00000000-0010-0000-0000-000076000000}" name="T0_TALD_PARAFASIA SEMANTICA"/>
    <tableColumn id="119" xr3:uid="{00000000-0010-0000-0000-000077000000}" name="T0_TALD_PARAFASIA FONEMICA"/>
    <tableColumn id="120" xr3:uid="{00000000-0010-0000-0000-000078000000}" name="T0_TALD_NEOLOGISMI"/>
    <tableColumn id="121" xr3:uid="{00000000-0010-0000-0000-000079000000}" name="T0_TALD_ASSONANZA"/>
    <tableColumn id="122" xr3:uid="{00000000-0010-0000-0000-00007A000000}" name="T0_TALD_ECOLALIA"/>
    <tableColumn id="123" xr3:uid="{00000000-0010-0000-0000-00007B000000}" name="T0_TALD_POVERTÀ DEL CONTENUTO DELL'ELOQUIO"/>
    <tableColumn id="124" xr3:uid="{00000000-0010-0000-0000-00007C000000}" name="T0_TALD_PENSIERO POLARIZZATO"/>
    <tableColumn id="125" xr3:uid="{00000000-0010-0000-0000-00007D000000}" name="T0_TALD_PENSIERO RALLENTATO"/>
    <tableColumn id="126" xr3:uid="{00000000-0010-0000-0000-00007E000000}" name="T0_TALD_POVERTà DELL'ELOQUIO"/>
    <tableColumn id="127" xr3:uid="{00000000-0010-0000-0000-00007F000000}" name="T0_TALD_CONCRETISMO"/>
    <tableColumn id="128" xr3:uid="{00000000-0010-0000-0000-000080000000}" name="T0_TALD_BLOCCO"/>
    <tableColumn id="129" xr3:uid="{00000000-0010-0000-0000-000081000000}" name="T0_TALD_RUMINAZIONE"/>
    <tableColumn id="130" xr3:uid="{00000000-0010-0000-0000-000082000000}" name="T0_TALD_POVERTà DEL PENSIERO"/>
    <tableColumn id="131" xr3:uid="{00000000-0010-0000-0000-000083000000}" name="T0_TALD_PENSIERO INIBITO"/>
    <tableColumn id="132" xr3:uid="{00000000-0010-0000-0000-000084000000}" name="T0_TALD_DISTURBO RECETTIVO DEL LINGUAGGIO"/>
    <tableColumn id="133" xr3:uid="{00000000-0010-0000-0000-000085000000}" name="T0_TALD_DISTURBO_ESPRESSIVO DEL LINGUAGGIO"/>
    <tableColumn id="134" xr3:uid="{00000000-0010-0000-0000-000086000000}" name="T0_TALD_DISFUNZIONE DELL'INIZIATIVA E DELL'INTENZIONALITà DEL PENSIERO"/>
    <tableColumn id="135" xr3:uid="{00000000-0010-0000-0000-000087000000}" name="T0_TALD_INTERFERENZA DEL PENSIERO"/>
    <tableColumn id="136" xr3:uid="{00000000-0010-0000-0000-000088000000}" name="T0_TALD_PRESSIONE/ACCELERAZIONE DEI PENSIERI"/>
    <tableColumn id="137" xr3:uid="{00000000-0010-0000-0000-000089000000}" name="T0_OBJECTIVE_POSITIVE_TALD"/>
    <tableColumn id="138" xr3:uid="{00000000-0010-0000-0000-00008A000000}" name="T0_SUBJECTIVE_NEGATIVE_TALD"/>
    <tableColumn id="139" xr3:uid="{00000000-0010-0000-0000-00008B000000}" name="T0_OBJECTIVE_NEGATIVE_TALD"/>
    <tableColumn id="140" xr3:uid="{00000000-0010-0000-0000-00008C000000}" name="T0_SUBJECTIVE_POSITIVE_TALD"/>
    <tableColumn id="141" xr3:uid="{00000000-0010-0000-0000-00008D000000}" name="T0_INTERVIEW"/>
    <tableColumn id="142" xr3:uid="{00000000-0010-0000-0000-00008E000000}" name="T0_TAT_1"/>
    <tableColumn id="143" xr3:uid="{00000000-0010-0000-0000-00008F000000}" name="T0_TAT_2"/>
    <tableColumn id="144" xr3:uid="{00000000-0010-0000-0000-000090000000}" name="T0_TAT_3"/>
    <tableColumn id="145" xr3:uid="{00000000-0010-0000-0000-000091000000}" name="T0_APACS_BRIEF_A_SOVRAINF"/>
    <tableColumn id="146" xr3:uid="{00000000-0010-0000-0000-000092000000}" name="T0_APACS_BRIEF_A_SOTTOINF"/>
    <tableColumn id="147" xr3:uid="{00000000-0010-0000-0000-000093000000}" name="T0_APACS_BRIEF_A_ASSENZA_REFERENTI"/>
    <tableColumn id="148" xr3:uid="{00000000-0010-0000-0000-000094000000}" name="T0_APACS_BRIEF_A_CAMBIO_ARGOM"/>
    <tableColumn id="149" xr3:uid="{00000000-0010-0000-0000-000095000000}" name="T0_APACS_BRIEF_A_INTERVISTA_PROP"/>
    <tableColumn id="150" xr3:uid="{00000000-0010-0000-0000-000096000000}" name="T0_APACS_BRIEF_A_MS"/>
    <tableColumn id="151" xr3:uid="{00000000-0010-0000-0000-000097000000}" name="T0_APACS_BRIEF_A_DS"/>
    <tableColumn id="152" xr3:uid="{00000000-0010-0000-0000-000098000000}" name="T0_APACS_BRIEF_A_MI"/>
    <tableColumn id="153" xr3:uid="{00000000-0010-0000-0000-000099000000}" name="T0_APACS_BRIEF_A_DI"/>
    <tableColumn id="154" xr3:uid="{00000000-0010-0000-0000-00009A000000}" name="T0_APACS_BRIEF_A_Trascr_Fig1_Ironia"/>
    <tableColumn id="155" xr3:uid="{00000000-0010-0000-0000-00009B000000}" name="T0_APACS_BRIEF_A_Fig1_Ironia"/>
    <tableColumn id="156" xr3:uid="{00000000-0010-0000-0000-00009C000000}" name="T0_APACS_BRIEF_A_Trascr_Fig1_Idioma"/>
    <tableColumn id="157" xr3:uid="{00000000-0010-0000-0000-00009D000000}" name="T0_APACS_BRIEF_A_Fig1_Idioma"/>
    <tableColumn id="158" xr3:uid="{00000000-0010-0000-0000-00009E000000}" name="T0_APACS_BRIEF_A_BRANO_PROP"/>
    <tableColumn id="159" xr3:uid="{00000000-0010-0000-0000-00009F000000}" name="T0_APACS_BRIEF_A_LING_FIG_1"/>
    <tableColumn id="160" xr3:uid="{00000000-0010-0000-0000-0000A0000000}" name="T0_APACS_BRIEF_A_LING_FIG_2"/>
    <tableColumn id="161" xr3:uid="{00000000-0010-0000-0000-0000A1000000}" name="T0_APACS_BRIEF_A_LING_FIG_3"/>
    <tableColumn id="162" xr3:uid="{00000000-0010-0000-0000-0000A2000000}" name="T0_APACS_BRIEF_A_LING_FIG_1_PROP"/>
    <tableColumn id="163" xr3:uid="{00000000-0010-0000-0000-0000A3000000}" name="T0_APACS_BRIEF_A_UMORISMO_1"/>
    <tableColumn id="164" xr3:uid="{00000000-0010-0000-0000-0000A4000000}" name="T0_APACS_BRIEF_A_UMORISMO_2"/>
    <tableColumn id="165" xr3:uid="{00000000-0010-0000-0000-0000A5000000}" name="T0_APACS_BRIEF_A_UMORISMO_PROP"/>
    <tableColumn id="166" xr3:uid="{00000000-0010-0000-0000-0000A6000000}" name="T0_APACS_BRIEF_A_Trascr_Fig2_ITEM_1"/>
    <tableColumn id="167" xr3:uid="{00000000-0010-0000-0000-0000A7000000}" name="T0_APACS_BRIEF_A_Fig2_ITEM_1"/>
    <tableColumn id="168" xr3:uid="{00000000-0010-0000-0000-0000A8000000}" name="T0_APACS_BRIEF_A_Trascr_Fig2_ITEM_2"/>
    <tableColumn id="169" xr3:uid="{00000000-0010-0000-0000-0000A9000000}" name="T0_APACS_BRIEF_A_Fig2_ITEM_2"/>
    <tableColumn id="170" xr3:uid="{00000000-0010-0000-0000-0000AA000000}" name="T0_APACS_BRIEF_A_Trascr_Fig2_ITEM_3"/>
    <tableColumn id="171" xr3:uid="{00000000-0010-0000-0000-0000AB000000}" name="T0_APACS_BRIEF_A_Fig2_ITEM_3"/>
    <tableColumn id="172" xr3:uid="{00000000-0010-0000-0000-0000AC000000}" name="T0_APACS_BRIEF_A_Fig2_PROP"/>
    <tableColumn id="173" xr3:uid="{00000000-0010-0000-0000-0000AD000000}" name="T0_APACS_BRIEF_A_PROD_PROP"/>
    <tableColumn id="174" xr3:uid="{00000000-0010-0000-0000-0000AE000000}" name="T0_APACS_BRIEF_A_COMP_PROP"/>
    <tableColumn id="175" xr3:uid="{00000000-0010-0000-0000-0000AF000000}" name="T0_APACS_BRIEF_A_TOTAL"/>
  </tableColumns>
  <tableStyleInfo name="READM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google.com/search?q=Positive+and+Negative+Syndrome+Scale+%28PANSS%29&amp;sca_esv=d7358c9ad4b11281&amp;biw=1536&amp;bih=730&amp;sxsrf=ANbL-n7NtKs65Ej1WNJK_7LqIikK0l1wug%3A1771076731727&amp;ei=e3yQaab_K-mF9u8P2fiYsQw&amp;ved=2ahUKEwiZmbaij9mSAxWygf0HHTKtD9UQgK4QegYIAQgAEAM&amp;uact=5&amp;oq=PANSS&amp;gs_lp=Egxnd3Mtd2l6LXNlcnAiBVBBTlNTMgUQABiABDIFEAAYgAQyBRAAGIAEMgUQABiABDIFEAAYgAQyBRAAGIAEMgUQABiABDIHEAAYgAQYCjIFEAAYgAQyBRAAGIAESIsJUABYpAdwAXgBkAEAmAGKAaAB3QSqAQMwLjW4AQPIAQD4AQGYAgagAoAFqAIKwgIQEAAYAxi0AhjqAhiPAdgBAcICEBAuGAMYtAIY6gIYjwHYAQHCAg4QABiABBixAxiDARiKBcICDhAuGIAEGLEDGNEDGMcBwgILEAAYgAQYsQMYgwHCAgoQABiABBhDGIoFwgIOEC4YgAQYsQMYgwEYigXCAhAQLhiABBhDGMcBGIoFGK8BwgILEC4YgAQYsQMYgwHCAgUQLhiABMICCBAAGIAEGLEDwgIIEC4YgAQYsQOYAwXxBe9fbuCNueTUugYECAEYCpIHAzEuNaAHpVCyBwMwLjW4B_sEwgcDMi02yAcagAgA&amp;sclient=gws-wiz-se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I1001"/>
  <sheetViews>
    <sheetView tabSelected="1" workbookViewId="0">
      <pane xSplit="1" ySplit="1" topLeftCell="B2" activePane="bottomRight" state="frozen"/>
      <selection pane="topRight" activeCell="D1" sqref="D1"/>
      <selection pane="bottomLeft" activeCell="A2" sqref="A2"/>
      <selection pane="bottomRight" activeCell="C8" sqref="C8"/>
    </sheetView>
  </sheetViews>
  <sheetFormatPr baseColWidth="10" defaultColWidth="11.1640625" defaultRowHeight="15" customHeight="1" x14ac:dyDescent="0.2"/>
  <cols>
    <col min="1" max="1" width="23.33203125" customWidth="1"/>
    <col min="2" max="3" width="8.5" customWidth="1"/>
    <col min="4" max="4" width="13.5" customWidth="1"/>
    <col min="5" max="5" width="12" customWidth="1"/>
    <col min="6" max="6" width="14" customWidth="1"/>
    <col min="7" max="7" width="22.6640625" customWidth="1"/>
    <col min="8" max="8" width="90.83203125" customWidth="1"/>
    <col min="9" max="9" width="64.83203125" hidden="1" customWidth="1"/>
    <col min="10" max="11" width="37.6640625" hidden="1" customWidth="1"/>
    <col min="12" max="13" width="37.83203125" customWidth="1"/>
    <col min="14" max="14" width="45.5" customWidth="1"/>
    <col min="15" max="15" width="14.83203125" customWidth="1"/>
    <col min="16" max="16" width="14" customWidth="1"/>
    <col min="17" max="19" width="37.6640625" hidden="1" customWidth="1"/>
    <col min="20" max="33" width="31.83203125" hidden="1" customWidth="1"/>
    <col min="34" max="38" width="37.6640625" customWidth="1"/>
    <col min="39" max="39" width="44.5" customWidth="1"/>
    <col min="40" max="51" width="37.6640625" customWidth="1"/>
    <col min="52" max="53" width="31.83203125" customWidth="1"/>
    <col min="54" max="55" width="31.83203125" hidden="1" customWidth="1"/>
    <col min="56" max="56" width="46.5" hidden="1" customWidth="1"/>
    <col min="57" max="58" width="41.83203125" hidden="1" customWidth="1"/>
    <col min="59" max="59" width="15.83203125" hidden="1" customWidth="1"/>
    <col min="60" max="64" width="10.5" customWidth="1"/>
    <col min="65" max="65" width="10.33203125" customWidth="1"/>
    <col min="66" max="67" width="16.5" customWidth="1"/>
    <col min="68" max="68" width="14" customWidth="1"/>
    <col min="69" max="69" width="13.83203125" customWidth="1"/>
    <col min="70" max="70" width="17.33203125" customWidth="1"/>
    <col min="71" max="71" width="18.6640625" customWidth="1"/>
    <col min="72" max="72" width="15" customWidth="1"/>
    <col min="73" max="85" width="12.33203125" customWidth="1"/>
    <col min="86" max="94" width="12.1640625" customWidth="1"/>
    <col min="95" max="101" width="13.1640625" customWidth="1"/>
    <col min="102" max="102" width="23" customWidth="1"/>
    <col min="103" max="104" width="14.83203125" customWidth="1"/>
    <col min="105" max="105" width="14.1640625" customWidth="1"/>
    <col min="106" max="106" width="14.6640625" customWidth="1"/>
    <col min="107" max="107" width="14.83203125" customWidth="1"/>
    <col min="108" max="108" width="28.83203125" customWidth="1"/>
    <col min="109" max="109" width="27.5" customWidth="1"/>
    <col min="110" max="110" width="25.6640625" customWidth="1"/>
    <col min="111" max="111" width="65.5" customWidth="1"/>
    <col min="112" max="112" width="33.6640625" customWidth="1"/>
    <col min="113" max="113" width="28.1640625" customWidth="1"/>
    <col min="114" max="114" width="27.83203125" customWidth="1"/>
    <col min="115" max="115" width="38.83203125" customWidth="1"/>
    <col min="116" max="116" width="40.83203125" customWidth="1"/>
    <col min="117" max="117" width="22" customWidth="1"/>
    <col min="118" max="118" width="33.5" customWidth="1"/>
    <col min="119" max="119" width="33" customWidth="1"/>
    <col min="120" max="120" width="31.83203125" customWidth="1"/>
    <col min="121" max="121" width="23.1640625" customWidth="1"/>
    <col min="122" max="122" width="23" customWidth="1"/>
    <col min="123" max="123" width="20.83203125" customWidth="1"/>
    <col min="124" max="124" width="49.83203125" customWidth="1"/>
    <col min="125" max="125" width="33.83203125" customWidth="1"/>
    <col min="126" max="126" width="33.1640625" customWidth="1"/>
    <col min="127" max="127" width="33.83203125" customWidth="1"/>
    <col min="128" max="128" width="25.1640625" customWidth="1"/>
    <col min="129" max="129" width="19.5" customWidth="1"/>
    <col min="130" max="130" width="24.33203125" customWidth="1"/>
    <col min="131" max="131" width="33.83203125" customWidth="1"/>
    <col min="132" max="132" width="27.83203125" customWidth="1"/>
    <col min="133" max="133" width="47.83203125" customWidth="1"/>
    <col min="134" max="134" width="49.5" customWidth="1"/>
    <col min="135" max="135" width="73.83203125" customWidth="1"/>
    <col min="136" max="136" width="39.1640625" customWidth="1"/>
    <col min="137" max="137" width="50.1640625" customWidth="1"/>
    <col min="138" max="138" width="28.83203125" customWidth="1"/>
    <col min="139" max="139" width="30.6640625" customWidth="1"/>
    <col min="140" max="140" width="29.5" customWidth="1"/>
    <col min="141" max="141" width="29.83203125" customWidth="1"/>
    <col min="142" max="142" width="23.1640625" customWidth="1"/>
    <col min="143" max="143" width="22.83203125" customWidth="1"/>
    <col min="144" max="144" width="30.1640625" customWidth="1"/>
    <col min="145" max="145" width="27.83203125" customWidth="1"/>
    <col min="146" max="146" width="28.33203125" customWidth="1"/>
    <col min="147" max="147" width="18.1640625" customWidth="1"/>
    <col min="148" max="148" width="18" customWidth="1"/>
    <col min="149" max="149" width="17.83203125" customWidth="1"/>
    <col min="150" max="150" width="17.6640625" customWidth="1"/>
    <col min="151" max="151" width="94.83203125" customWidth="1"/>
    <col min="152" max="152" width="33.6640625" customWidth="1"/>
    <col min="153" max="153" width="59" customWidth="1"/>
    <col min="154" max="155" width="34.5" customWidth="1"/>
    <col min="156" max="158" width="24.5" customWidth="1"/>
    <col min="159" max="159" width="28.5" customWidth="1"/>
    <col min="160" max="161" width="25.1640625" customWidth="1"/>
    <col min="162" max="162" width="27" customWidth="1"/>
    <col min="163" max="163" width="75.83203125" customWidth="1"/>
    <col min="164" max="164" width="28" customWidth="1"/>
    <col min="165" max="165" width="96.5" customWidth="1"/>
    <col min="166" max="166" width="28.83203125" customWidth="1"/>
    <col min="167" max="167" width="126.1640625" customWidth="1"/>
    <col min="168" max="172" width="28" customWidth="1"/>
    <col min="173" max="173" width="13.1640625" hidden="1" customWidth="1"/>
    <col min="174" max="180" width="16.33203125" customWidth="1"/>
    <col min="181" max="183" width="9.5" customWidth="1"/>
    <col min="184" max="184" width="10.1640625" customWidth="1"/>
    <col min="185" max="185" width="12.33203125" customWidth="1"/>
    <col min="186" max="186" width="11.1640625" customWidth="1"/>
    <col min="187" max="188" width="12.33203125" customWidth="1"/>
    <col min="189" max="192" width="12.1640625" customWidth="1"/>
    <col min="193" max="193" width="12.33203125" customWidth="1"/>
    <col min="194" max="198" width="12.1640625" customWidth="1"/>
    <col min="199" max="200" width="12.33203125" customWidth="1"/>
    <col min="201" max="202" width="12" customWidth="1"/>
    <col min="203" max="204" width="12.33203125" customWidth="1"/>
    <col min="205" max="205" width="12" customWidth="1"/>
    <col min="206" max="206" width="12.33203125" customWidth="1"/>
    <col min="207" max="207" width="12" customWidth="1"/>
    <col min="208" max="214" width="13" customWidth="1"/>
    <col min="215" max="215" width="14.1640625" customWidth="1"/>
    <col min="216" max="216" width="14.83203125" customWidth="1"/>
    <col min="217" max="217" width="15.6640625" customWidth="1"/>
    <col min="218" max="218" width="15.1640625" customWidth="1"/>
    <col min="219" max="219" width="14.6640625" customWidth="1"/>
    <col min="220" max="220" width="11.83203125" customWidth="1"/>
    <col min="221" max="221" width="22.33203125" customWidth="1"/>
    <col min="222" max="222" width="20.5" customWidth="1"/>
    <col min="223" max="223" width="19.1640625" customWidth="1"/>
    <col min="224" max="224" width="49.33203125" customWidth="1"/>
    <col min="225" max="225" width="24.83203125" customWidth="1"/>
    <col min="226" max="227" width="20.83203125" customWidth="1"/>
    <col min="228" max="228" width="28.83203125" customWidth="1"/>
    <col min="229" max="229" width="32.1640625" customWidth="1"/>
    <col min="230" max="230" width="16.5" customWidth="1"/>
    <col min="231" max="231" width="26.6640625" customWidth="1"/>
    <col min="232" max="232" width="24.6640625" customWidth="1"/>
    <col min="233" max="233" width="25.6640625" customWidth="1"/>
    <col min="234" max="234" width="17.5" customWidth="1"/>
    <col min="235" max="235" width="18.83203125" customWidth="1"/>
    <col min="236" max="236" width="15.6640625" customWidth="1"/>
    <col min="237" max="237" width="38.1640625" customWidth="1"/>
    <col min="238" max="238" width="25.1640625" customWidth="1"/>
    <col min="239" max="239" width="26.1640625" customWidth="1"/>
    <col min="240" max="240" width="24.83203125" customWidth="1"/>
    <col min="241" max="241" width="20.5" customWidth="1"/>
    <col min="242" max="242" width="19" customWidth="1"/>
    <col min="243" max="243" width="20.1640625" customWidth="1"/>
    <col min="244" max="244" width="24.83203125" customWidth="1"/>
    <col min="245" max="245" width="22.5" customWidth="1"/>
    <col min="246" max="246" width="35.33203125" customWidth="1"/>
    <col min="247" max="247" width="38.1640625" customWidth="1"/>
    <col min="248" max="248" width="55" customWidth="1"/>
    <col min="249" max="249" width="28.83203125" customWidth="1"/>
    <col min="250" max="250" width="37.5" customWidth="1"/>
    <col min="251" max="251" width="22.83203125" customWidth="1"/>
    <col min="252" max="252" width="25.6640625" customWidth="1"/>
    <col min="253" max="253" width="23.5" customWidth="1"/>
    <col min="254" max="255" width="25" customWidth="1"/>
    <col min="256" max="258" width="10" customWidth="1"/>
    <col min="259" max="259" width="23.1640625" customWidth="1"/>
    <col min="260" max="260" width="22.83203125" customWidth="1"/>
    <col min="261" max="262" width="30.1640625" customWidth="1"/>
    <col min="263" max="263" width="28.33203125" customWidth="1"/>
    <col min="264" max="264" width="18.1640625" customWidth="1"/>
    <col min="265" max="265" width="18" customWidth="1"/>
    <col min="266" max="266" width="17.83203125" customWidth="1"/>
    <col min="267" max="267" width="17.6640625" customWidth="1"/>
    <col min="268" max="268" width="92.83203125" customWidth="1"/>
    <col min="269" max="269" width="23.5" customWidth="1"/>
    <col min="270" max="270" width="29" customWidth="1"/>
    <col min="271" max="271" width="24.1640625" customWidth="1"/>
    <col min="272" max="272" width="25.6640625" customWidth="1"/>
    <col min="273" max="273" width="23.83203125" customWidth="1"/>
    <col min="274" max="275" width="24" customWidth="1"/>
    <col min="276" max="276" width="28.5" customWidth="1"/>
    <col min="277" max="278" width="25.1640625" customWidth="1"/>
    <col min="279" max="279" width="28.33203125" customWidth="1"/>
    <col min="280" max="280" width="78.1640625" customWidth="1"/>
    <col min="281" max="281" width="24.1640625" customWidth="1"/>
    <col min="282" max="282" width="40.33203125" customWidth="1"/>
    <col min="283" max="283" width="24.1640625" customWidth="1"/>
    <col min="284" max="284" width="90.83203125" customWidth="1"/>
    <col min="285" max="285" width="24.1640625" customWidth="1"/>
    <col min="286" max="286" width="23.6640625" customWidth="1"/>
    <col min="287" max="287" width="29.33203125" customWidth="1"/>
    <col min="288" max="288" width="29.5" customWidth="1"/>
    <col min="289" max="289" width="24.1640625" customWidth="1"/>
    <col min="290" max="290" width="50" customWidth="1"/>
    <col min="291" max="291" width="14.1640625" customWidth="1"/>
    <col min="292" max="292" width="10.83203125" customWidth="1"/>
    <col min="293" max="293" width="19.6640625" customWidth="1"/>
    <col min="294" max="294" width="12.1640625" customWidth="1"/>
    <col min="295" max="295" width="10.83203125" customWidth="1"/>
    <col min="296" max="296" width="109.1640625" customWidth="1"/>
    <col min="297" max="297" width="12.1640625" customWidth="1"/>
    <col min="298" max="298" width="11.6640625" customWidth="1"/>
    <col min="299" max="299" width="28.33203125" customWidth="1"/>
    <col min="300" max="300" width="12.1640625" customWidth="1"/>
    <col min="301" max="301" width="10.83203125" customWidth="1"/>
    <col min="302" max="302" width="64" customWidth="1"/>
    <col min="303" max="303" width="12.1640625" customWidth="1"/>
    <col min="304" max="304" width="10.83203125" customWidth="1"/>
    <col min="305" max="305" width="38.83203125" customWidth="1"/>
    <col min="306" max="306" width="12.1640625" customWidth="1"/>
    <col min="307" max="307" width="10.83203125" customWidth="1"/>
    <col min="308" max="308" width="105.1640625" customWidth="1"/>
    <col min="309" max="309" width="12.1640625" customWidth="1"/>
    <col min="310" max="310" width="10.83203125" customWidth="1"/>
    <col min="311" max="311" width="29" customWidth="1"/>
    <col min="312" max="312" width="12.1640625" customWidth="1"/>
    <col min="313" max="313" width="10.83203125" customWidth="1"/>
    <col min="314" max="314" width="32.1640625" customWidth="1"/>
    <col min="315" max="315" width="19.83203125" customWidth="1"/>
    <col min="316" max="316" width="12.1640625" customWidth="1"/>
    <col min="317" max="317" width="45.1640625" customWidth="1"/>
    <col min="318" max="318" width="12.1640625" customWidth="1"/>
    <col min="319" max="319" width="10.83203125" customWidth="1"/>
    <col min="320" max="320" width="35.1640625" customWidth="1"/>
    <col min="321" max="321" width="12.1640625" customWidth="1"/>
    <col min="322" max="322" width="10.83203125" customWidth="1"/>
    <col min="323" max="323" width="46.1640625" customWidth="1"/>
    <col min="324" max="324" width="12.1640625" customWidth="1"/>
    <col min="325" max="325" width="10.83203125" customWidth="1"/>
    <col min="326" max="326" width="19" customWidth="1"/>
    <col min="327" max="327" width="12.1640625" customWidth="1"/>
    <col min="328" max="328" width="10.83203125" customWidth="1"/>
    <col min="329" max="329" width="66.6640625" customWidth="1"/>
    <col min="330" max="330" width="12.1640625" customWidth="1"/>
    <col min="331" max="331" width="11.6640625" customWidth="1"/>
    <col min="332" max="332" width="16.1640625" customWidth="1"/>
    <col min="333" max="333" width="14.5" customWidth="1"/>
    <col min="334" max="334" width="11.1640625" customWidth="1"/>
    <col min="335" max="335" width="17.6640625" customWidth="1"/>
    <col min="336" max="336" width="13.1640625" customWidth="1"/>
    <col min="337" max="337" width="16.5" customWidth="1"/>
    <col min="338" max="347" width="11.1640625" customWidth="1"/>
  </cols>
  <sheetData>
    <row r="1" spans="1:347" ht="15.75" customHeight="1" x14ac:dyDescent="0.25">
      <c r="A1" s="1" t="s">
        <v>1656</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c r="AY1" s="1" t="s">
        <v>52</v>
      </c>
      <c r="AZ1" s="1" t="s">
        <v>53</v>
      </c>
      <c r="BA1" s="1" t="s">
        <v>54</v>
      </c>
      <c r="BB1" s="1" t="s">
        <v>55</v>
      </c>
      <c r="BC1" s="1" t="s">
        <v>56</v>
      </c>
      <c r="BD1" s="1" t="s">
        <v>57</v>
      </c>
      <c r="BE1" s="1" t="s">
        <v>58</v>
      </c>
      <c r="BF1" s="1" t="s">
        <v>59</v>
      </c>
      <c r="BG1" s="1" t="s">
        <v>60</v>
      </c>
      <c r="BH1" s="1" t="s">
        <v>61</v>
      </c>
      <c r="BI1" s="1" t="s">
        <v>62</v>
      </c>
      <c r="BJ1" s="1" t="s">
        <v>63</v>
      </c>
      <c r="BK1" s="1" t="s">
        <v>64</v>
      </c>
      <c r="BL1" s="1" t="s">
        <v>65</v>
      </c>
      <c r="BM1" s="1" t="s">
        <v>66</v>
      </c>
      <c r="BN1" s="1" t="s">
        <v>67</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84</v>
      </c>
      <c r="CG1" s="1" t="s">
        <v>85</v>
      </c>
      <c r="CH1" s="1" t="s">
        <v>86</v>
      </c>
      <c r="CI1" s="1" t="s">
        <v>87</v>
      </c>
      <c r="CJ1" s="1" t="s">
        <v>88</v>
      </c>
      <c r="CK1" s="1" t="s">
        <v>89</v>
      </c>
      <c r="CL1" s="1" t="s">
        <v>90</v>
      </c>
      <c r="CM1" s="1" t="s">
        <v>91</v>
      </c>
      <c r="CN1" s="1" t="s">
        <v>92</v>
      </c>
      <c r="CO1" s="1" t="s">
        <v>93</v>
      </c>
      <c r="CP1" s="1" t="s">
        <v>94</v>
      </c>
      <c r="CQ1" s="1" t="s">
        <v>95</v>
      </c>
      <c r="CR1" s="1" t="s">
        <v>96</v>
      </c>
      <c r="CS1" s="1" t="s">
        <v>97</v>
      </c>
      <c r="CT1" s="1" t="s">
        <v>98</v>
      </c>
      <c r="CU1" s="1" t="s">
        <v>99</v>
      </c>
      <c r="CV1" s="1" t="s">
        <v>100</v>
      </c>
      <c r="CW1" s="1" t="s">
        <v>101</v>
      </c>
      <c r="CX1" s="1" t="s">
        <v>102</v>
      </c>
      <c r="CY1" s="1" t="s">
        <v>103</v>
      </c>
      <c r="CZ1" s="1" t="s">
        <v>104</v>
      </c>
      <c r="DA1" s="1" t="s">
        <v>105</v>
      </c>
      <c r="DB1" s="1" t="s">
        <v>106</v>
      </c>
      <c r="DC1" s="1" t="s">
        <v>107</v>
      </c>
      <c r="DD1" s="1" t="s">
        <v>108</v>
      </c>
      <c r="DE1" s="1" t="s">
        <v>109</v>
      </c>
      <c r="DF1" s="1" t="s">
        <v>110</v>
      </c>
      <c r="DG1" s="1" t="s">
        <v>111</v>
      </c>
      <c r="DH1" s="1" t="s">
        <v>112</v>
      </c>
      <c r="DI1" s="1" t="s">
        <v>113</v>
      </c>
      <c r="DJ1" s="1" t="s">
        <v>114</v>
      </c>
      <c r="DK1" s="1" t="s">
        <v>115</v>
      </c>
      <c r="DL1" s="1" t="s">
        <v>116</v>
      </c>
      <c r="DM1" s="1" t="s">
        <v>117</v>
      </c>
      <c r="DN1" s="1" t="s">
        <v>118</v>
      </c>
      <c r="DO1" s="1" t="s">
        <v>119</v>
      </c>
      <c r="DP1" s="1" t="s">
        <v>120</v>
      </c>
      <c r="DQ1" s="1" t="s">
        <v>121</v>
      </c>
      <c r="DR1" s="1" t="s">
        <v>122</v>
      </c>
      <c r="DS1" s="1" t="s">
        <v>123</v>
      </c>
      <c r="DT1" s="1" t="s">
        <v>124</v>
      </c>
      <c r="DU1" s="1" t="s">
        <v>125</v>
      </c>
      <c r="DV1" s="1" t="s">
        <v>126</v>
      </c>
      <c r="DW1" s="1" t="s">
        <v>127</v>
      </c>
      <c r="DX1" s="1" t="s">
        <v>128</v>
      </c>
      <c r="DY1" s="1" t="s">
        <v>129</v>
      </c>
      <c r="DZ1" s="1" t="s">
        <v>130</v>
      </c>
      <c r="EA1" s="1" t="s">
        <v>131</v>
      </c>
      <c r="EB1" s="1" t="s">
        <v>132</v>
      </c>
      <c r="EC1" s="1" t="s">
        <v>133</v>
      </c>
      <c r="ED1" s="1" t="s">
        <v>134</v>
      </c>
      <c r="EE1" s="1" t="s">
        <v>135</v>
      </c>
      <c r="EF1" s="1" t="s">
        <v>136</v>
      </c>
      <c r="EG1" s="1" t="s">
        <v>137</v>
      </c>
      <c r="EH1" s="1" t="s">
        <v>138</v>
      </c>
      <c r="EI1" s="1" t="s">
        <v>139</v>
      </c>
      <c r="EJ1" s="1" t="s">
        <v>140</v>
      </c>
      <c r="EK1" s="1" t="s">
        <v>141</v>
      </c>
      <c r="EL1" s="1" t="s">
        <v>142</v>
      </c>
      <c r="EM1" s="1" t="s">
        <v>143</v>
      </c>
      <c r="EN1" s="1" t="s">
        <v>144</v>
      </c>
      <c r="EO1" s="1" t="s">
        <v>145</v>
      </c>
      <c r="EP1" s="1" t="s">
        <v>146</v>
      </c>
      <c r="EQ1" s="1" t="s">
        <v>147</v>
      </c>
      <c r="ER1" s="1" t="s">
        <v>148</v>
      </c>
      <c r="ES1" s="1" t="s">
        <v>149</v>
      </c>
      <c r="ET1" s="2" t="s">
        <v>150</v>
      </c>
      <c r="EU1" s="1" t="s">
        <v>151</v>
      </c>
      <c r="EV1" s="1" t="s">
        <v>152</v>
      </c>
      <c r="EW1" s="1" t="s">
        <v>153</v>
      </c>
      <c r="EX1" s="1" t="s">
        <v>154</v>
      </c>
      <c r="EY1" s="1" t="s">
        <v>155</v>
      </c>
      <c r="EZ1" s="1" t="s">
        <v>156</v>
      </c>
      <c r="FA1" s="1" t="s">
        <v>157</v>
      </c>
      <c r="FB1" s="1" t="s">
        <v>158</v>
      </c>
      <c r="FC1" s="1" t="s">
        <v>159</v>
      </c>
      <c r="FD1" s="1" t="s">
        <v>160</v>
      </c>
      <c r="FE1" s="1" t="s">
        <v>161</v>
      </c>
      <c r="FF1" s="1" t="s">
        <v>162</v>
      </c>
      <c r="FG1" s="1" t="s">
        <v>163</v>
      </c>
      <c r="FH1" s="1" t="s">
        <v>164</v>
      </c>
      <c r="FI1" s="1" t="s">
        <v>165</v>
      </c>
      <c r="FJ1" s="1" t="s">
        <v>166</v>
      </c>
      <c r="FK1" s="1" t="s">
        <v>167</v>
      </c>
      <c r="FL1" s="1" t="s">
        <v>168</v>
      </c>
      <c r="FM1" s="1" t="s">
        <v>169</v>
      </c>
      <c r="FN1" s="1" t="s">
        <v>170</v>
      </c>
      <c r="FO1" s="1" t="s">
        <v>171</v>
      </c>
      <c r="FP1" s="1" t="s">
        <v>172</v>
      </c>
      <c r="FQ1" s="1" t="s">
        <v>173</v>
      </c>
      <c r="FR1" s="1" t="s">
        <v>174</v>
      </c>
      <c r="FS1" s="1" t="s">
        <v>175</v>
      </c>
      <c r="FT1" s="1" t="s">
        <v>176</v>
      </c>
      <c r="FU1" s="1" t="s">
        <v>177</v>
      </c>
      <c r="FV1" s="1" t="s">
        <v>178</v>
      </c>
      <c r="FW1" s="1" t="s">
        <v>179</v>
      </c>
      <c r="FX1" s="1" t="s">
        <v>180</v>
      </c>
      <c r="FY1" s="1" t="s">
        <v>181</v>
      </c>
      <c r="FZ1" s="1" t="s">
        <v>182</v>
      </c>
      <c r="GA1" s="1" t="s">
        <v>183</v>
      </c>
      <c r="GB1" s="1" t="s">
        <v>184</v>
      </c>
      <c r="GC1" s="1" t="s">
        <v>185</v>
      </c>
      <c r="GD1" s="1" t="s">
        <v>186</v>
      </c>
      <c r="GE1" s="1" t="s">
        <v>187</v>
      </c>
      <c r="GF1" s="1" t="s">
        <v>188</v>
      </c>
      <c r="GG1" s="1" t="s">
        <v>189</v>
      </c>
      <c r="GH1" s="1" t="s">
        <v>190</v>
      </c>
      <c r="GI1" s="1" t="s">
        <v>191</v>
      </c>
      <c r="GJ1" s="1" t="s">
        <v>192</v>
      </c>
      <c r="GK1" s="1" t="s">
        <v>193</v>
      </c>
      <c r="GL1" s="1" t="s">
        <v>194</v>
      </c>
      <c r="GM1" s="1" t="s">
        <v>195</v>
      </c>
      <c r="GN1" s="1" t="s">
        <v>196</v>
      </c>
      <c r="GO1" s="1" t="s">
        <v>197</v>
      </c>
      <c r="GP1" s="1" t="s">
        <v>198</v>
      </c>
      <c r="GQ1" s="1" t="s">
        <v>199</v>
      </c>
      <c r="GR1" s="1" t="s">
        <v>200</v>
      </c>
      <c r="GS1" s="1" t="s">
        <v>201</v>
      </c>
      <c r="GT1" s="1" t="s">
        <v>202</v>
      </c>
      <c r="GU1" s="1" t="s">
        <v>203</v>
      </c>
      <c r="GV1" s="1" t="s">
        <v>204</v>
      </c>
      <c r="GW1" s="1" t="s">
        <v>205</v>
      </c>
      <c r="GX1" s="1" t="s">
        <v>206</v>
      </c>
      <c r="GY1" s="1" t="s">
        <v>207</v>
      </c>
      <c r="GZ1" s="1" t="s">
        <v>208</v>
      </c>
      <c r="HA1" s="1" t="s">
        <v>209</v>
      </c>
      <c r="HB1" s="1" t="s">
        <v>210</v>
      </c>
      <c r="HC1" s="1" t="s">
        <v>211</v>
      </c>
      <c r="HD1" s="1" t="s">
        <v>212</v>
      </c>
      <c r="HE1" s="1" t="s">
        <v>213</v>
      </c>
      <c r="HF1" s="1" t="s">
        <v>214</v>
      </c>
      <c r="HG1" s="1" t="s">
        <v>215</v>
      </c>
      <c r="HH1" s="1" t="s">
        <v>216</v>
      </c>
      <c r="HI1" s="1" t="s">
        <v>217</v>
      </c>
      <c r="HJ1" s="1" t="s">
        <v>218</v>
      </c>
      <c r="HK1" s="1" t="s">
        <v>219</v>
      </c>
      <c r="HL1" s="1" t="s">
        <v>220</v>
      </c>
      <c r="HM1" s="1" t="s">
        <v>221</v>
      </c>
      <c r="HN1" s="1" t="s">
        <v>222</v>
      </c>
      <c r="HO1" s="1" t="s">
        <v>223</v>
      </c>
      <c r="HP1" s="1" t="s">
        <v>224</v>
      </c>
      <c r="HQ1" s="1" t="s">
        <v>225</v>
      </c>
      <c r="HR1" s="1" t="s">
        <v>226</v>
      </c>
      <c r="HS1" s="1" t="s">
        <v>227</v>
      </c>
      <c r="HT1" s="1" t="s">
        <v>228</v>
      </c>
      <c r="HU1" s="1" t="s">
        <v>229</v>
      </c>
      <c r="HV1" s="1" t="s">
        <v>230</v>
      </c>
      <c r="HW1" s="1" t="s">
        <v>231</v>
      </c>
      <c r="HX1" s="1" t="s">
        <v>232</v>
      </c>
      <c r="HY1" s="1" t="s">
        <v>233</v>
      </c>
      <c r="HZ1" s="1" t="s">
        <v>234</v>
      </c>
      <c r="IA1" s="1" t="s">
        <v>235</v>
      </c>
      <c r="IB1" s="1" t="s">
        <v>236</v>
      </c>
      <c r="IC1" s="1" t="s">
        <v>237</v>
      </c>
      <c r="ID1" s="1" t="s">
        <v>238</v>
      </c>
      <c r="IE1" s="1" t="s">
        <v>239</v>
      </c>
      <c r="IF1" s="1" t="s">
        <v>240</v>
      </c>
      <c r="IG1" s="1" t="s">
        <v>241</v>
      </c>
      <c r="IH1" s="1" t="s">
        <v>242</v>
      </c>
      <c r="II1" s="1" t="s">
        <v>243</v>
      </c>
      <c r="IJ1" s="1" t="s">
        <v>244</v>
      </c>
      <c r="IK1" s="1" t="s">
        <v>245</v>
      </c>
      <c r="IL1" s="1" t="s">
        <v>246</v>
      </c>
      <c r="IM1" s="1" t="s">
        <v>247</v>
      </c>
      <c r="IN1" s="1" t="s">
        <v>248</v>
      </c>
      <c r="IO1" s="1" t="s">
        <v>249</v>
      </c>
      <c r="IP1" s="1" t="s">
        <v>250</v>
      </c>
      <c r="IQ1" s="1" t="s">
        <v>251</v>
      </c>
      <c r="IR1" s="1" t="s">
        <v>252</v>
      </c>
      <c r="IS1" s="1" t="s">
        <v>253</v>
      </c>
      <c r="IT1" s="1" t="s">
        <v>254</v>
      </c>
      <c r="IU1" s="1" t="s">
        <v>255</v>
      </c>
      <c r="IV1" s="1" t="s">
        <v>256</v>
      </c>
      <c r="IW1" s="1" t="s">
        <v>257</v>
      </c>
      <c r="IX1" s="1" t="s">
        <v>258</v>
      </c>
      <c r="IY1" s="1" t="s">
        <v>259</v>
      </c>
      <c r="IZ1" s="1" t="s">
        <v>260</v>
      </c>
      <c r="JA1" s="1" t="s">
        <v>261</v>
      </c>
      <c r="JB1" s="1" t="s">
        <v>262</v>
      </c>
      <c r="JC1" s="1" t="s">
        <v>263</v>
      </c>
      <c r="JD1" s="1" t="s">
        <v>264</v>
      </c>
      <c r="JE1" s="1" t="s">
        <v>265</v>
      </c>
      <c r="JF1" s="1" t="s">
        <v>266</v>
      </c>
      <c r="JG1" s="1" t="s">
        <v>267</v>
      </c>
      <c r="JH1" s="1" t="s">
        <v>268</v>
      </c>
      <c r="JI1" s="1" t="s">
        <v>269</v>
      </c>
      <c r="JJ1" s="1" t="s">
        <v>270</v>
      </c>
      <c r="JK1" s="1" t="s">
        <v>271</v>
      </c>
      <c r="JL1" s="1" t="s">
        <v>272</v>
      </c>
      <c r="JM1" s="1" t="s">
        <v>273</v>
      </c>
      <c r="JN1" s="1" t="s">
        <v>274</v>
      </c>
      <c r="JO1" s="1" t="s">
        <v>275</v>
      </c>
      <c r="JP1" s="1" t="s">
        <v>276</v>
      </c>
      <c r="JQ1" s="1" t="s">
        <v>277</v>
      </c>
      <c r="JR1" s="1" t="s">
        <v>278</v>
      </c>
      <c r="JS1" s="1" t="s">
        <v>279</v>
      </c>
      <c r="JT1" s="1" t="s">
        <v>280</v>
      </c>
      <c r="JU1" s="1" t="s">
        <v>281</v>
      </c>
      <c r="JV1" s="1" t="s">
        <v>282</v>
      </c>
      <c r="JW1" s="1" t="s">
        <v>283</v>
      </c>
      <c r="JX1" s="1" t="s">
        <v>284</v>
      </c>
      <c r="JY1" s="1" t="s">
        <v>285</v>
      </c>
      <c r="JZ1" s="1" t="s">
        <v>286</v>
      </c>
      <c r="KA1" s="1" t="s">
        <v>287</v>
      </c>
      <c r="KB1" s="1" t="s">
        <v>288</v>
      </c>
      <c r="KC1" s="1" t="s">
        <v>289</v>
      </c>
      <c r="KD1" s="1" t="s">
        <v>290</v>
      </c>
      <c r="KE1" s="1" t="s">
        <v>291</v>
      </c>
      <c r="KF1" s="1" t="s">
        <v>292</v>
      </c>
      <c r="KG1" s="1" t="s">
        <v>293</v>
      </c>
      <c r="KH1" s="1" t="s">
        <v>294</v>
      </c>
      <c r="KI1" s="1" t="s">
        <v>295</v>
      </c>
      <c r="KJ1" s="1" t="s">
        <v>296</v>
      </c>
      <c r="KK1" s="1" t="s">
        <v>297</v>
      </c>
      <c r="KL1" s="1" t="s">
        <v>298</v>
      </c>
      <c r="KM1" s="1" t="s">
        <v>299</v>
      </c>
      <c r="KN1" s="1" t="s">
        <v>300</v>
      </c>
      <c r="KO1" s="1" t="s">
        <v>301</v>
      </c>
      <c r="KP1" s="1" t="s">
        <v>302</v>
      </c>
      <c r="KQ1" s="1" t="s">
        <v>303</v>
      </c>
      <c r="KR1" s="1" t="s">
        <v>304</v>
      </c>
      <c r="KS1" s="1" t="s">
        <v>305</v>
      </c>
      <c r="KT1" s="1" t="s">
        <v>306</v>
      </c>
      <c r="KU1" s="1" t="s">
        <v>307</v>
      </c>
      <c r="KV1" s="1" t="s">
        <v>308</v>
      </c>
      <c r="KW1" s="1" t="s">
        <v>309</v>
      </c>
      <c r="KX1" s="1" t="s">
        <v>310</v>
      </c>
      <c r="KY1" s="1" t="s">
        <v>311</v>
      </c>
      <c r="KZ1" s="1" t="s">
        <v>312</v>
      </c>
      <c r="LA1" s="1" t="s">
        <v>313</v>
      </c>
      <c r="LB1" s="1" t="s">
        <v>314</v>
      </c>
      <c r="LC1" s="1" t="s">
        <v>315</v>
      </c>
      <c r="LD1" s="1" t="s">
        <v>316</v>
      </c>
      <c r="LE1" s="1" t="s">
        <v>317</v>
      </c>
      <c r="LF1" s="1" t="s">
        <v>318</v>
      </c>
      <c r="LG1" s="1" t="s">
        <v>319</v>
      </c>
      <c r="LH1" s="1" t="s">
        <v>320</v>
      </c>
      <c r="LI1" s="1" t="s">
        <v>321</v>
      </c>
      <c r="LJ1" s="1" t="s">
        <v>322</v>
      </c>
      <c r="LK1" s="1" t="s">
        <v>323</v>
      </c>
      <c r="LL1" s="1" t="s">
        <v>324</v>
      </c>
      <c r="LM1" s="1" t="s">
        <v>325</v>
      </c>
      <c r="LN1" s="1" t="s">
        <v>326</v>
      </c>
      <c r="LO1" s="1" t="s">
        <v>327</v>
      </c>
      <c r="LP1" s="1" t="s">
        <v>328</v>
      </c>
      <c r="LQ1" s="1" t="s">
        <v>329</v>
      </c>
      <c r="LR1" s="1" t="s">
        <v>330</v>
      </c>
      <c r="LS1" s="1" t="s">
        <v>331</v>
      </c>
      <c r="LT1" s="1" t="s">
        <v>332</v>
      </c>
      <c r="LU1" s="1" t="s">
        <v>333</v>
      </c>
      <c r="LV1" s="1" t="s">
        <v>334</v>
      </c>
      <c r="LW1" s="1" t="s">
        <v>335</v>
      </c>
      <c r="LX1" s="1" t="s">
        <v>336</v>
      </c>
      <c r="LY1" s="1" t="s">
        <v>337</v>
      </c>
      <c r="LZ1" s="3" t="s">
        <v>338</v>
      </c>
      <c r="MA1" s="3" t="s">
        <v>339</v>
      </c>
      <c r="MB1" s="3" t="s">
        <v>340</v>
      </c>
      <c r="MC1" s="3" t="s">
        <v>341</v>
      </c>
      <c r="MD1" s="3" t="s">
        <v>342</v>
      </c>
      <c r="ME1" s="3" t="s">
        <v>343</v>
      </c>
      <c r="MF1" s="3" t="s">
        <v>344</v>
      </c>
      <c r="MG1" s="3" t="s">
        <v>345</v>
      </c>
      <c r="MH1" s="3" t="s">
        <v>346</v>
      </c>
      <c r="MI1" s="3" t="s">
        <v>347</v>
      </c>
    </row>
    <row r="2" spans="1:347" ht="15.75" customHeight="1" x14ac:dyDescent="0.25">
      <c r="A2" s="4" t="s">
        <v>348</v>
      </c>
      <c r="B2" s="4">
        <v>67</v>
      </c>
      <c r="C2" s="4" t="s">
        <v>349</v>
      </c>
      <c r="D2" s="4">
        <v>8</v>
      </c>
      <c r="E2" s="4">
        <v>1</v>
      </c>
      <c r="F2" s="4" t="s">
        <v>350</v>
      </c>
      <c r="G2" s="4" t="s">
        <v>351</v>
      </c>
      <c r="H2" s="4" t="s">
        <v>352</v>
      </c>
      <c r="I2" s="4" t="s">
        <v>353</v>
      </c>
      <c r="J2" s="4" t="s">
        <v>354</v>
      </c>
      <c r="K2" s="4" t="s">
        <v>355</v>
      </c>
      <c r="L2" s="5" t="s">
        <v>356</v>
      </c>
      <c r="M2" s="4" t="s">
        <v>357</v>
      </c>
      <c r="N2" s="4" t="s">
        <v>358</v>
      </c>
      <c r="O2" s="6">
        <v>45460</v>
      </c>
      <c r="P2" s="6">
        <v>45479</v>
      </c>
      <c r="Q2" s="4" t="s">
        <v>359</v>
      </c>
      <c r="R2" s="4" t="s">
        <v>355</v>
      </c>
      <c r="S2" s="4" t="s">
        <v>355</v>
      </c>
      <c r="T2" s="4" t="s">
        <v>360</v>
      </c>
      <c r="U2" s="4" t="s">
        <v>355</v>
      </c>
      <c r="V2" s="4" t="s">
        <v>361</v>
      </c>
      <c r="W2" s="4" t="s">
        <v>362</v>
      </c>
      <c r="X2" s="4" t="s">
        <v>363</v>
      </c>
      <c r="Y2" s="4" t="s">
        <v>364</v>
      </c>
      <c r="Z2" s="4" t="s">
        <v>365</v>
      </c>
      <c r="AA2" s="4" t="s">
        <v>366</v>
      </c>
      <c r="AB2" s="4" t="s">
        <v>367</v>
      </c>
      <c r="AC2" s="4" t="s">
        <v>368</v>
      </c>
      <c r="AD2" s="4" t="s">
        <v>369</v>
      </c>
      <c r="AE2" s="4" t="s">
        <v>370</v>
      </c>
      <c r="AF2" s="4" t="s">
        <v>371</v>
      </c>
      <c r="AG2" s="4" t="s">
        <v>372</v>
      </c>
      <c r="AH2" s="4" t="s">
        <v>361</v>
      </c>
      <c r="AI2" s="4" t="s">
        <v>373</v>
      </c>
      <c r="AJ2" s="4" t="s">
        <v>362</v>
      </c>
      <c r="AK2" s="4" t="s">
        <v>374</v>
      </c>
      <c r="AL2" s="4" t="s">
        <v>375</v>
      </c>
      <c r="AM2" s="4" t="s">
        <v>376</v>
      </c>
      <c r="AN2" s="5" t="s">
        <v>356</v>
      </c>
      <c r="AO2" s="5" t="s">
        <v>356</v>
      </c>
      <c r="AP2" s="5" t="s">
        <v>356</v>
      </c>
      <c r="AQ2" s="5" t="s">
        <v>356</v>
      </c>
      <c r="AR2" s="5" t="s">
        <v>356</v>
      </c>
      <c r="AS2" s="5" t="s">
        <v>356</v>
      </c>
      <c r="AT2" s="5" t="s">
        <v>356</v>
      </c>
      <c r="AU2" s="5" t="s">
        <v>356</v>
      </c>
      <c r="AV2" s="5" t="s">
        <v>356</v>
      </c>
      <c r="AW2" s="5" t="s">
        <v>356</v>
      </c>
      <c r="AX2" s="4">
        <v>4</v>
      </c>
      <c r="AY2" s="4"/>
      <c r="AZ2" s="4" t="s">
        <v>360</v>
      </c>
      <c r="BA2" s="4">
        <f t="shared" ref="BA2:BA3" si="0">(P2-O2)</f>
        <v>19</v>
      </c>
      <c r="BB2" s="4">
        <v>0</v>
      </c>
      <c r="BC2" s="4" t="s">
        <v>360</v>
      </c>
      <c r="BD2" s="4" t="s">
        <v>377</v>
      </c>
      <c r="BE2" s="4"/>
      <c r="BF2" s="4"/>
      <c r="BG2" s="6">
        <v>45462</v>
      </c>
      <c r="BH2" s="4">
        <v>3</v>
      </c>
      <c r="BI2" s="4">
        <v>1</v>
      </c>
      <c r="BJ2" s="4">
        <v>3</v>
      </c>
      <c r="BK2" s="4">
        <v>3</v>
      </c>
      <c r="BL2" s="4">
        <v>2</v>
      </c>
      <c r="BM2" s="4">
        <v>1</v>
      </c>
      <c r="BN2" s="4">
        <v>1</v>
      </c>
      <c r="BO2" s="4">
        <f>SUM(Foglio1!$BH2:$BM2)</f>
        <v>13</v>
      </c>
      <c r="BP2" s="4">
        <v>4</v>
      </c>
      <c r="BQ2" s="4">
        <v>2</v>
      </c>
      <c r="BR2" s="4">
        <v>5</v>
      </c>
      <c r="BS2" s="4">
        <v>61</v>
      </c>
      <c r="BT2" s="4">
        <v>3</v>
      </c>
      <c r="BU2" s="4">
        <v>1</v>
      </c>
      <c r="BV2" s="4">
        <v>4</v>
      </c>
      <c r="BW2" s="4">
        <v>1</v>
      </c>
      <c r="BX2" s="4">
        <v>1</v>
      </c>
      <c r="BY2" s="4">
        <v>1</v>
      </c>
      <c r="BZ2" s="4">
        <v>1</v>
      </c>
      <c r="CA2" s="4">
        <v>2</v>
      </c>
      <c r="CB2" s="4">
        <v>3</v>
      </c>
      <c r="CC2" s="4">
        <v>3</v>
      </c>
      <c r="CD2" s="4">
        <v>3</v>
      </c>
      <c r="CE2" s="4">
        <v>3</v>
      </c>
      <c r="CF2" s="4">
        <v>2</v>
      </c>
      <c r="CG2" s="4">
        <v>2</v>
      </c>
      <c r="CH2" s="4">
        <v>1</v>
      </c>
      <c r="CI2" s="4">
        <v>3</v>
      </c>
      <c r="CJ2" s="4">
        <v>4</v>
      </c>
      <c r="CK2" s="4">
        <v>3</v>
      </c>
      <c r="CL2" s="4">
        <v>1</v>
      </c>
      <c r="CM2" s="4">
        <v>2</v>
      </c>
      <c r="CN2" s="4">
        <v>2</v>
      </c>
      <c r="CO2" s="4">
        <v>1</v>
      </c>
      <c r="CP2" s="4">
        <v>3</v>
      </c>
      <c r="CQ2" s="4">
        <v>1</v>
      </c>
      <c r="CR2" s="4">
        <v>1</v>
      </c>
      <c r="CS2" s="4">
        <v>1</v>
      </c>
      <c r="CT2" s="4">
        <v>1</v>
      </c>
      <c r="CU2" s="4">
        <v>1</v>
      </c>
      <c r="CV2" s="4">
        <v>3</v>
      </c>
      <c r="CW2" s="4">
        <v>3</v>
      </c>
      <c r="CX2" s="4">
        <f>SUM(Foglio1!$BT2:$CW2)</f>
        <v>61</v>
      </c>
      <c r="CY2" s="4">
        <f>SUM(Foglio1!$BT2+Foglio1!$BV2+Foglio1!$CP2+Foglio1!$BY2+Foglio1!$BX2+Foglio1!$CH2+Foglio1!$CS2+Foglio1!$CW2-Foglio1!$CE2)</f>
        <v>14</v>
      </c>
      <c r="CZ2" s="4">
        <f>SUM(Foglio1!$CF2+Foglio1!$CA2+Foglio1!$CB2+Foglio1!$CD2+Foglio1!$CN2+Foglio1!$CC2+Foglio1!$CW2+Foglio1!$CO2+Foglio1!$CT2-Foglio1!$BU2)</f>
        <v>19</v>
      </c>
      <c r="DA2" s="4">
        <f>SUM(Foglio1!$CG2+Foglio1!$CR2+Foglio1!$CQ2+Foglio1!$BU2+Foglio1!$CE2+Foglio1!$CL2+Foglio1!$CS2+Foglio1!$CT2+Foglio1!$CV2+Foglio1!$CP2)</f>
        <v>17</v>
      </c>
      <c r="DB2" s="4">
        <f>SUM(Foglio1!$CU2+Foglio1!$BW2+Foglio1!$BZ2+Foglio1!$CO2+Foglio1!$BX2+Foglio1!$CC2+Foglio1!$CK2+Foglio1!$CW2)</f>
        <v>14</v>
      </c>
      <c r="DC2" s="4">
        <f>SUM(Foglio1!$CI2+Foglio1!$CM2+Foglio1!$CJ2+Foglio1!$CK2+Foglio1!$BY2+Foglio1!$CH2+Foglio1!$CV2+Foglio1!$CW2)</f>
        <v>20</v>
      </c>
      <c r="DD2" s="4">
        <v>1</v>
      </c>
      <c r="DE2" s="4">
        <v>0</v>
      </c>
      <c r="DF2" s="4">
        <v>0</v>
      </c>
      <c r="DG2" s="4">
        <v>0</v>
      </c>
      <c r="DH2" s="4">
        <v>0</v>
      </c>
      <c r="DI2" s="4">
        <v>1</v>
      </c>
      <c r="DJ2" s="4">
        <v>0</v>
      </c>
      <c r="DK2" s="4">
        <v>0</v>
      </c>
      <c r="DL2" s="4">
        <v>0</v>
      </c>
      <c r="DM2" s="4">
        <v>0</v>
      </c>
      <c r="DN2" s="4">
        <v>1</v>
      </c>
      <c r="DO2" s="4">
        <v>0</v>
      </c>
      <c r="DP2" s="4">
        <v>0</v>
      </c>
      <c r="DQ2" s="4">
        <v>0</v>
      </c>
      <c r="DR2" s="4">
        <v>0</v>
      </c>
      <c r="DS2" s="4">
        <v>0</v>
      </c>
      <c r="DT2" s="4">
        <v>2</v>
      </c>
      <c r="DU2" s="4">
        <v>0</v>
      </c>
      <c r="DV2" s="4">
        <v>2</v>
      </c>
      <c r="DW2" s="4">
        <v>0</v>
      </c>
      <c r="DX2" s="4">
        <v>3</v>
      </c>
      <c r="DY2" s="4" t="s">
        <v>359</v>
      </c>
      <c r="DZ2" s="4" t="s">
        <v>359</v>
      </c>
      <c r="EA2" s="4" t="s">
        <v>359</v>
      </c>
      <c r="EB2" s="4" t="s">
        <v>359</v>
      </c>
      <c r="EC2" s="4" t="s">
        <v>359</v>
      </c>
      <c r="ED2" s="4" t="s">
        <v>359</v>
      </c>
      <c r="EE2" s="4" t="s">
        <v>359</v>
      </c>
      <c r="EF2" s="4" t="s">
        <v>359</v>
      </c>
      <c r="EG2" s="4" t="s">
        <v>359</v>
      </c>
      <c r="EH2" s="4">
        <f>(Foglio1!$DE2+Foglio1!$DH2+Foglio1!$DG2+Foglio1!$DF2+Foglio1!$DM2+Foglio1!$DD2+Foglio1!$DO2+Foglio1!$DL2+Foglio1!$DN2+Foglio1!$DQ2+Foglio1!$DP2+Foglio1!$DT2+Foglio1!$DI2+Foglio1!$DK2+Foglio1!$DU2)</f>
        <v>5</v>
      </c>
      <c r="EI2" s="4" t="e">
        <f>(Foglio1!$EA2+Foglio1!$EB2+Foglio1!$EE2+Foglio1!$EC2+Foglio1!$ED2+Foglio1!$DZ2+Foglio1!$DY2)</f>
        <v>#VALUE!</v>
      </c>
      <c r="EJ2" s="4">
        <f>(Foglio1!$DW2+Foglio1!$DV2+Foglio1!$DX2)</f>
        <v>5</v>
      </c>
      <c r="EK2" s="4" t="e">
        <f>(Foglio1!$EG2+Foglio1!$EF2)</f>
        <v>#VALUE!</v>
      </c>
      <c r="EL2" s="4">
        <v>1</v>
      </c>
      <c r="EM2" s="4">
        <v>0</v>
      </c>
      <c r="EN2" s="4">
        <v>1</v>
      </c>
      <c r="EO2" s="4">
        <v>0</v>
      </c>
      <c r="EP2" s="4">
        <f t="array" ref="EP2">SUM(EL2:EO2/4)</f>
        <v>0.5</v>
      </c>
      <c r="EQ2" s="4">
        <v>1</v>
      </c>
      <c r="ER2" s="4">
        <v>1</v>
      </c>
      <c r="ES2" s="4">
        <v>1</v>
      </c>
      <c r="ET2" s="4">
        <v>1</v>
      </c>
      <c r="EU2" s="4" t="s">
        <v>378</v>
      </c>
      <c r="EV2" s="4">
        <v>0</v>
      </c>
      <c r="EW2" s="4" t="s">
        <v>379</v>
      </c>
      <c r="EX2" s="4">
        <v>1</v>
      </c>
      <c r="EY2" s="4">
        <f>(Foglio1!$EQ2+Foglio1!$ER2+Foglio1!$ES2+Foglio1!$ET2+Foglio1!$EV2+Foglio1!$EX2)/6</f>
        <v>0.83333333333333337</v>
      </c>
      <c r="EZ2" s="4">
        <v>0</v>
      </c>
      <c r="FA2" s="4">
        <v>0</v>
      </c>
      <c r="FB2" s="4">
        <v>0</v>
      </c>
      <c r="FC2" s="4">
        <f>(Foglio1!$EZ2+Foglio1!$FA2+Foglio1!$FB2)/3</f>
        <v>0</v>
      </c>
      <c r="FD2" s="4">
        <v>1</v>
      </c>
      <c r="FE2" s="4">
        <v>1</v>
      </c>
      <c r="FF2" s="4">
        <f>(Foglio1!$FD2+Foglio1!$FE2)/2</f>
        <v>1</v>
      </c>
      <c r="FG2" s="4" t="s">
        <v>380</v>
      </c>
      <c r="FH2" s="4">
        <v>0</v>
      </c>
      <c r="FI2" s="4" t="s">
        <v>381</v>
      </c>
      <c r="FJ2" s="4">
        <v>0</v>
      </c>
      <c r="FK2" s="4" t="s">
        <v>382</v>
      </c>
      <c r="FL2" s="4">
        <v>0</v>
      </c>
      <c r="FM2" s="4">
        <f>(Foglio1!$FH2+Foglio1!$FJ2+Foglio1!$FL2)/3</f>
        <v>0</v>
      </c>
      <c r="FN2" s="4">
        <f>(Foglio1!$EP2)</f>
        <v>0.5</v>
      </c>
      <c r="FO2" s="4">
        <f>(Foglio1!$EY2+Foglio1!$FC2+Foglio1!$FF2+Foglio1!$FM2)/4</f>
        <v>0.45833333333333337</v>
      </c>
      <c r="FP2" s="4">
        <f>(Foglio1!$EP2+Foglio1!$EY2+Foglio1!$FC2+Foglio1!$FF2+Foglio1!$FM2)/5</f>
        <v>0.46666666666666667</v>
      </c>
      <c r="FQ2" s="6">
        <v>45475</v>
      </c>
      <c r="FR2" s="4">
        <v>1</v>
      </c>
      <c r="FS2" s="4">
        <v>1</v>
      </c>
      <c r="FT2" s="4">
        <v>0</v>
      </c>
      <c r="FU2" s="4">
        <v>1</v>
      </c>
      <c r="FV2" s="4">
        <v>0</v>
      </c>
      <c r="FW2" s="4">
        <v>0</v>
      </c>
      <c r="FX2" s="4">
        <v>2</v>
      </c>
      <c r="FY2" s="4">
        <v>3</v>
      </c>
      <c r="FZ2" s="4">
        <v>2</v>
      </c>
      <c r="GA2" s="4">
        <v>6</v>
      </c>
      <c r="GB2" s="4">
        <v>61</v>
      </c>
      <c r="GC2" s="4">
        <v>2</v>
      </c>
      <c r="GD2" s="4">
        <v>0</v>
      </c>
      <c r="GE2" s="4">
        <v>3</v>
      </c>
      <c r="GF2" s="4">
        <v>0</v>
      </c>
      <c r="GG2" s="4">
        <v>0</v>
      </c>
      <c r="GH2" s="4">
        <v>2</v>
      </c>
      <c r="GI2" s="4">
        <v>0</v>
      </c>
      <c r="GJ2" s="4">
        <v>3</v>
      </c>
      <c r="GK2" s="4">
        <v>2</v>
      </c>
      <c r="GL2" s="4">
        <v>3</v>
      </c>
      <c r="GM2" s="4">
        <v>3</v>
      </c>
      <c r="GN2" s="4">
        <v>2</v>
      </c>
      <c r="GO2" s="4">
        <v>3</v>
      </c>
      <c r="GP2" s="4">
        <v>0</v>
      </c>
      <c r="GQ2" s="4">
        <v>3</v>
      </c>
      <c r="GR2" s="4">
        <v>2</v>
      </c>
      <c r="GS2" s="4">
        <v>3</v>
      </c>
      <c r="GT2" s="4">
        <v>2</v>
      </c>
      <c r="GU2" s="4">
        <v>0</v>
      </c>
      <c r="GV2" s="4">
        <v>2</v>
      </c>
      <c r="GW2" s="4">
        <v>2</v>
      </c>
      <c r="GX2" s="4">
        <v>0</v>
      </c>
      <c r="GY2" s="4">
        <v>2</v>
      </c>
      <c r="GZ2" s="4">
        <v>0</v>
      </c>
      <c r="HA2" s="4">
        <v>0</v>
      </c>
      <c r="HB2" s="4">
        <v>0</v>
      </c>
      <c r="HC2" s="4">
        <v>2</v>
      </c>
      <c r="HD2" s="4">
        <v>0</v>
      </c>
      <c r="HE2" s="4">
        <v>3</v>
      </c>
      <c r="HF2" s="4">
        <v>2</v>
      </c>
      <c r="HG2" s="4">
        <f t="shared" ref="HG2:HG3" si="1">SUM(GC2:HF2)</f>
        <v>46</v>
      </c>
      <c r="HH2" s="4">
        <f t="shared" ref="HH2:HH3" si="2">SUM(GC2+GE2+GY2+GH2+GG2+GQ2+HB2+HF2-GN2)</f>
        <v>12</v>
      </c>
      <c r="HI2" s="4">
        <f t="shared" ref="HI2:HI3" si="3">SUM(GO2+GJ2+GK2+GM2+GW2+GL2+HF2+GX2+HC2-GD2)</f>
        <v>20</v>
      </c>
      <c r="HJ2" s="4">
        <f t="shared" ref="HJ2:HJ3" si="4">SUM(GP2+HA2+GZ2+GD2+GN2+GU2+HB2+HC2+HE2+GY2)</f>
        <v>9</v>
      </c>
      <c r="HK2" s="4">
        <f t="shared" ref="HK2:HK3" si="5">SUM(HD2+GF2+GI2+GX2+GG2+GL2+GT2+HF2)</f>
        <v>7</v>
      </c>
      <c r="HL2" s="4">
        <f t="shared" ref="HL2:HL3" si="6">SUM(GR2+GV2+GS2+GT2+GH2+GQ2+HE2+HF2)</f>
        <v>19</v>
      </c>
      <c r="HM2" s="4">
        <v>0</v>
      </c>
      <c r="HN2" s="4">
        <v>0</v>
      </c>
      <c r="HO2" s="4">
        <v>0</v>
      </c>
      <c r="HP2" s="4">
        <v>0</v>
      </c>
      <c r="HQ2" s="4">
        <v>0</v>
      </c>
      <c r="HR2" s="4">
        <v>0</v>
      </c>
      <c r="HS2" s="4">
        <v>0</v>
      </c>
      <c r="HT2" s="4">
        <v>1</v>
      </c>
      <c r="HU2" s="4">
        <v>0</v>
      </c>
      <c r="HV2" s="4">
        <v>0</v>
      </c>
      <c r="HW2" s="4">
        <v>0</v>
      </c>
      <c r="HX2" s="4">
        <v>0</v>
      </c>
      <c r="HY2" s="4">
        <v>0</v>
      </c>
      <c r="HZ2" s="4">
        <v>0</v>
      </c>
      <c r="IA2" s="4">
        <v>0</v>
      </c>
      <c r="IB2" s="4">
        <v>0</v>
      </c>
      <c r="IC2" s="4">
        <v>0</v>
      </c>
      <c r="ID2" s="4">
        <v>0</v>
      </c>
      <c r="IE2" s="4">
        <v>3</v>
      </c>
      <c r="IF2" s="4">
        <v>0</v>
      </c>
      <c r="IG2" s="4">
        <v>2</v>
      </c>
      <c r="IH2" s="7" t="s">
        <v>359</v>
      </c>
      <c r="II2" s="7" t="s">
        <v>359</v>
      </c>
      <c r="IJ2" s="7" t="s">
        <v>359</v>
      </c>
      <c r="IK2" s="7" t="s">
        <v>359</v>
      </c>
      <c r="IL2" s="7" t="s">
        <v>359</v>
      </c>
      <c r="IM2" s="7" t="s">
        <v>359</v>
      </c>
      <c r="IN2" s="7" t="s">
        <v>359</v>
      </c>
      <c r="IO2" s="7" t="s">
        <v>359</v>
      </c>
      <c r="IP2" s="7" t="s">
        <v>359</v>
      </c>
      <c r="IQ2" s="7" t="s">
        <v>359</v>
      </c>
      <c r="IR2" s="7" t="s">
        <v>359</v>
      </c>
      <c r="IS2" s="7" t="s">
        <v>359</v>
      </c>
      <c r="IT2" s="7" t="s">
        <v>359</v>
      </c>
      <c r="IU2" s="4" t="s">
        <v>383</v>
      </c>
      <c r="IV2" s="4" t="s">
        <v>383</v>
      </c>
      <c r="IW2" s="4" t="s">
        <v>383</v>
      </c>
      <c r="IX2" s="4" t="s">
        <v>383</v>
      </c>
      <c r="IY2" s="4">
        <v>1</v>
      </c>
      <c r="IZ2" s="4">
        <v>0</v>
      </c>
      <c r="JA2" s="4">
        <v>1</v>
      </c>
      <c r="JB2" s="4">
        <v>1</v>
      </c>
      <c r="JC2" s="4">
        <f>(Foglio1!$IY2+Foglio1!$IZ2+Foglio1!$JA2+Foglio1!$JB2)/4</f>
        <v>0.75</v>
      </c>
      <c r="JD2" s="4">
        <v>0</v>
      </c>
      <c r="JE2" s="4">
        <v>0</v>
      </c>
      <c r="JF2" s="4">
        <v>0</v>
      </c>
      <c r="JG2" s="4">
        <v>0</v>
      </c>
      <c r="JH2" s="4" t="s">
        <v>384</v>
      </c>
      <c r="JI2" s="4">
        <v>0</v>
      </c>
      <c r="JJ2" s="4" t="s">
        <v>385</v>
      </c>
      <c r="JK2" s="4">
        <v>0</v>
      </c>
      <c r="JL2" s="4">
        <f>(Foglio1!$JD2+Foglio1!$JE2+Foglio1!$JF2+Foglio1!$JG2+Foglio1!$JI2+Foglio1!$JK2)/6</f>
        <v>0</v>
      </c>
      <c r="JM2" s="4">
        <v>1</v>
      </c>
      <c r="JN2" s="4">
        <v>0</v>
      </c>
      <c r="JO2" s="4">
        <v>1</v>
      </c>
      <c r="JP2" s="4">
        <f>(Foglio1!$JM2+Foglio1!$JN2+Foglio1!$JO2)/3</f>
        <v>0.66666666666666663</v>
      </c>
      <c r="JQ2" s="4">
        <v>0</v>
      </c>
      <c r="JR2" s="4">
        <v>0</v>
      </c>
      <c r="JS2" s="4">
        <f>(Foglio1!$JQ2+Foglio1!$JR2)/2</f>
        <v>0</v>
      </c>
      <c r="JT2" s="4" t="s">
        <v>386</v>
      </c>
      <c r="JU2" s="4">
        <v>0</v>
      </c>
      <c r="JV2" s="4" t="s">
        <v>387</v>
      </c>
      <c r="JW2" s="4">
        <v>0</v>
      </c>
      <c r="JX2" s="4" t="s">
        <v>388</v>
      </c>
      <c r="JY2" s="4">
        <v>0</v>
      </c>
      <c r="JZ2" s="4">
        <f>(Foglio1!$JU2+Foglio1!$JW2+Foglio1!$JY2)/3</f>
        <v>0</v>
      </c>
      <c r="KA2" s="4">
        <f>(Foglio1!$JC2)</f>
        <v>0.75</v>
      </c>
      <c r="KB2" s="4">
        <f>(Foglio1!$JL2+Foglio1!$JP2+Foglio1!$JS2+Foglio1!$JZ2)/4</f>
        <v>0.16666666666666666</v>
      </c>
      <c r="KC2" s="4">
        <f>(Foglio1!$JC2+Foglio1!$JL2+Foglio1!$JP2+Foglio1!$JS2+Foglio1!$JZ2)/5</f>
        <v>0.28333333333333333</v>
      </c>
      <c r="KD2" s="4" t="s">
        <v>389</v>
      </c>
      <c r="KE2" s="4">
        <v>0</v>
      </c>
      <c r="KF2" s="4">
        <v>1</v>
      </c>
      <c r="KG2" s="4" t="s">
        <v>390</v>
      </c>
      <c r="KH2" s="4">
        <v>0</v>
      </c>
      <c r="KI2" s="4">
        <v>1</v>
      </c>
      <c r="KJ2" s="4" t="s">
        <v>391</v>
      </c>
      <c r="KK2" s="4">
        <v>1</v>
      </c>
      <c r="KL2" s="4">
        <v>2</v>
      </c>
      <c r="KM2" s="4"/>
      <c r="KN2" s="4"/>
      <c r="KO2" s="4"/>
      <c r="KP2" s="4" t="s">
        <v>392</v>
      </c>
      <c r="KQ2" s="4">
        <v>2</v>
      </c>
      <c r="KR2" s="4">
        <v>3</v>
      </c>
      <c r="KS2" s="4" t="s">
        <v>393</v>
      </c>
      <c r="KT2" s="4">
        <v>2</v>
      </c>
      <c r="KU2" s="4">
        <v>1</v>
      </c>
      <c r="KV2" s="4" t="s">
        <v>394</v>
      </c>
      <c r="KW2" s="4">
        <v>1</v>
      </c>
      <c r="KX2" s="4">
        <v>1</v>
      </c>
      <c r="KY2" s="4" t="s">
        <v>395</v>
      </c>
      <c r="KZ2" s="4">
        <v>1</v>
      </c>
      <c r="LA2" s="4">
        <v>2</v>
      </c>
      <c r="LB2" s="4" t="s">
        <v>396</v>
      </c>
      <c r="LC2" s="4">
        <v>2</v>
      </c>
      <c r="LD2" s="4">
        <v>1</v>
      </c>
      <c r="LE2" s="4" t="s">
        <v>397</v>
      </c>
      <c r="LF2" s="4">
        <v>0</v>
      </c>
      <c r="LG2" s="4">
        <v>2</v>
      </c>
      <c r="LH2" s="4" t="s">
        <v>398</v>
      </c>
      <c r="LI2" s="4">
        <v>2</v>
      </c>
      <c r="LJ2" s="4">
        <v>1</v>
      </c>
      <c r="LK2" s="4" t="s">
        <v>399</v>
      </c>
      <c r="LL2" s="4">
        <v>2</v>
      </c>
      <c r="LM2" s="4">
        <v>3</v>
      </c>
      <c r="LN2" s="4" t="s">
        <v>400</v>
      </c>
      <c r="LO2" s="4">
        <v>1</v>
      </c>
      <c r="LP2" s="4">
        <v>1</v>
      </c>
      <c r="LQ2" s="4" t="s">
        <v>401</v>
      </c>
      <c r="LR2" s="4">
        <v>1</v>
      </c>
      <c r="LS2" s="4">
        <v>2</v>
      </c>
      <c r="LT2" s="4">
        <f>(Foglio1!$KE2+Foglio1!$KH2+Foglio1!$KK2+Foglio1!$KN2+Foglio1!$KQ2+Foglio1!$KT2+Foglio1!$KW2+Foglio1!$KZ2+Foglio1!$LC2+Foglio1!$LF2+Foglio1!$LI2+Foglio1!$LL2+Foglio1!$LO2+Foglio1!$LR2)</f>
        <v>15</v>
      </c>
      <c r="LU2" s="4">
        <f>(Foglio1!$KI2+Foglio1!$KF2+Foglio1!$KL2+Foglio1!$KO2+Foglio1!$KR2+Foglio1!$KU2+Foglio1!$KX2+Foglio1!$LA2+Foglio1!$LD2+Foglio1!$LG2+Foglio1!$LJ2+Foglio1!$LM2+Foglio1!$LP2+Foglio1!$LS2)</f>
        <v>21</v>
      </c>
      <c r="LV2" s="4">
        <v>6</v>
      </c>
      <c r="LW2" s="4">
        <v>27</v>
      </c>
      <c r="LX2" s="4">
        <v>7</v>
      </c>
      <c r="LY2" s="4">
        <v>19</v>
      </c>
      <c r="LZ2" s="3">
        <v>1</v>
      </c>
      <c r="MA2" s="3">
        <v>2</v>
      </c>
      <c r="MB2" s="3">
        <v>3</v>
      </c>
      <c r="MC2" s="3">
        <v>0</v>
      </c>
      <c r="MD2" s="3">
        <f t="shared" ref="MD2:MD55" si="7">SUM(LZ2:MC2)</f>
        <v>6</v>
      </c>
      <c r="ME2" s="3">
        <v>0</v>
      </c>
      <c r="MF2" s="3">
        <v>2</v>
      </c>
      <c r="MG2" s="3">
        <v>2</v>
      </c>
      <c r="MH2" s="3">
        <v>0</v>
      </c>
      <c r="MI2" s="3">
        <f t="shared" ref="MI2:MI55" si="8">SUM(ME2:MH2)</f>
        <v>4</v>
      </c>
    </row>
    <row r="3" spans="1:347" ht="15.75" customHeight="1" x14ac:dyDescent="0.25">
      <c r="A3" s="4" t="s">
        <v>402</v>
      </c>
      <c r="B3" s="4">
        <v>58</v>
      </c>
      <c r="C3" s="4" t="s">
        <v>403</v>
      </c>
      <c r="D3" s="4">
        <v>8</v>
      </c>
      <c r="E3" s="4">
        <v>1</v>
      </c>
      <c r="F3" s="4" t="s">
        <v>350</v>
      </c>
      <c r="G3" s="4" t="s">
        <v>404</v>
      </c>
      <c r="H3" s="4" t="s">
        <v>352</v>
      </c>
      <c r="I3" s="4" t="s">
        <v>405</v>
      </c>
      <c r="J3" s="4" t="s">
        <v>356</v>
      </c>
      <c r="K3" s="4" t="s">
        <v>355</v>
      </c>
      <c r="L3" s="5" t="s">
        <v>356</v>
      </c>
      <c r="M3" s="4" t="s">
        <v>357</v>
      </c>
      <c r="N3" s="4" t="s">
        <v>406</v>
      </c>
      <c r="O3" s="6">
        <v>45460</v>
      </c>
      <c r="P3" s="6">
        <v>45475</v>
      </c>
      <c r="Q3" s="4" t="s">
        <v>407</v>
      </c>
      <c r="R3" s="4" t="s">
        <v>355</v>
      </c>
      <c r="S3" s="4" t="s">
        <v>408</v>
      </c>
      <c r="T3" s="4" t="s">
        <v>409</v>
      </c>
      <c r="U3" s="4" t="s">
        <v>410</v>
      </c>
      <c r="V3" s="4" t="s">
        <v>408</v>
      </c>
      <c r="W3" s="4" t="s">
        <v>411</v>
      </c>
      <c r="X3" s="4" t="s">
        <v>412</v>
      </c>
      <c r="Y3" s="4" t="s">
        <v>413</v>
      </c>
      <c r="Z3" s="4" t="s">
        <v>364</v>
      </c>
      <c r="AA3" s="4" t="s">
        <v>414</v>
      </c>
      <c r="AB3" s="4"/>
      <c r="AC3" s="4"/>
      <c r="AD3" s="4"/>
      <c r="AE3" s="4"/>
      <c r="AF3" s="4"/>
      <c r="AG3" s="4"/>
      <c r="AH3" s="4" t="s">
        <v>411</v>
      </c>
      <c r="AI3" s="4" t="s">
        <v>415</v>
      </c>
      <c r="AJ3" s="5" t="s">
        <v>356</v>
      </c>
      <c r="AK3" s="5" t="s">
        <v>356</v>
      </c>
      <c r="AL3" s="5" t="s">
        <v>356</v>
      </c>
      <c r="AM3" s="5" t="s">
        <v>356</v>
      </c>
      <c r="AN3" s="5" t="s">
        <v>356</v>
      </c>
      <c r="AO3" s="5" t="s">
        <v>356</v>
      </c>
      <c r="AP3" s="5" t="s">
        <v>356</v>
      </c>
      <c r="AQ3" s="5" t="s">
        <v>356</v>
      </c>
      <c r="AR3" s="5" t="s">
        <v>356</v>
      </c>
      <c r="AS3" s="5" t="s">
        <v>356</v>
      </c>
      <c r="AT3" s="5" t="s">
        <v>356</v>
      </c>
      <c r="AU3" s="5" t="s">
        <v>356</v>
      </c>
      <c r="AV3" s="5" t="s">
        <v>356</v>
      </c>
      <c r="AW3" s="5" t="s">
        <v>356</v>
      </c>
      <c r="AX3" s="4">
        <v>1</v>
      </c>
      <c r="AY3" s="4"/>
      <c r="AZ3" s="4" t="s">
        <v>409</v>
      </c>
      <c r="BA3" s="4">
        <f t="shared" si="0"/>
        <v>15</v>
      </c>
      <c r="BB3" s="4">
        <v>0</v>
      </c>
      <c r="BC3" s="4" t="s">
        <v>360</v>
      </c>
      <c r="BD3" s="4" t="s">
        <v>416</v>
      </c>
      <c r="BE3" s="4" t="s">
        <v>360</v>
      </c>
      <c r="BF3" s="4" t="s">
        <v>355</v>
      </c>
      <c r="BG3" s="6">
        <v>45460</v>
      </c>
      <c r="BH3" s="4">
        <v>3</v>
      </c>
      <c r="BI3" s="4">
        <v>1</v>
      </c>
      <c r="BJ3" s="4">
        <v>3</v>
      </c>
      <c r="BK3" s="4">
        <v>3</v>
      </c>
      <c r="BL3" s="4">
        <v>2</v>
      </c>
      <c r="BM3" s="4">
        <v>4</v>
      </c>
      <c r="BN3" s="4">
        <v>3</v>
      </c>
      <c r="BO3" s="4">
        <f>SUM(Foglio1!$BH3:$BM3)</f>
        <v>16</v>
      </c>
      <c r="BP3" s="4">
        <v>5</v>
      </c>
      <c r="BQ3" s="4">
        <v>3</v>
      </c>
      <c r="BR3" s="4">
        <v>9</v>
      </c>
      <c r="BS3" s="4">
        <v>51</v>
      </c>
      <c r="BT3" s="4">
        <v>4</v>
      </c>
      <c r="BU3" s="4">
        <v>3</v>
      </c>
      <c r="BV3" s="4">
        <v>3</v>
      </c>
      <c r="BW3" s="4">
        <v>2</v>
      </c>
      <c r="BX3" s="4">
        <v>1</v>
      </c>
      <c r="BY3" s="4">
        <v>5</v>
      </c>
      <c r="BZ3" s="4">
        <v>3</v>
      </c>
      <c r="CA3" s="4">
        <v>1</v>
      </c>
      <c r="CB3" s="4">
        <v>1</v>
      </c>
      <c r="CC3" s="4">
        <v>1</v>
      </c>
      <c r="CD3" s="4">
        <v>2</v>
      </c>
      <c r="CE3" s="4">
        <v>3</v>
      </c>
      <c r="CF3" s="4">
        <v>4</v>
      </c>
      <c r="CG3" s="4">
        <v>5</v>
      </c>
      <c r="CH3" s="4">
        <v>2</v>
      </c>
      <c r="CI3" s="4">
        <v>1</v>
      </c>
      <c r="CJ3" s="4">
        <v>2</v>
      </c>
      <c r="CK3" s="4">
        <v>2</v>
      </c>
      <c r="CL3" s="4">
        <v>4</v>
      </c>
      <c r="CM3" s="4">
        <v>2</v>
      </c>
      <c r="CN3" s="4">
        <v>1</v>
      </c>
      <c r="CO3" s="4">
        <v>3</v>
      </c>
      <c r="CP3" s="4">
        <v>4</v>
      </c>
      <c r="CQ3" s="4">
        <v>1</v>
      </c>
      <c r="CR3" s="4">
        <v>1</v>
      </c>
      <c r="CS3" s="4">
        <v>3</v>
      </c>
      <c r="CT3" s="4">
        <v>1</v>
      </c>
      <c r="CU3" s="4">
        <v>4</v>
      </c>
      <c r="CV3" s="4">
        <v>3</v>
      </c>
      <c r="CW3" s="4">
        <v>3</v>
      </c>
      <c r="CX3" s="4">
        <f>SUM(Foglio1!$BT3:$CW3)</f>
        <v>75</v>
      </c>
      <c r="CY3" s="4">
        <f>SUM(Foglio1!$BT3+Foglio1!$BV3+Foglio1!$CP3+Foglio1!$BY3+Foglio1!$BX3+Foglio1!$CH3+Foglio1!$CS3+Foglio1!$CW3-Foglio1!$CE3)</f>
        <v>22</v>
      </c>
      <c r="CZ3" s="4">
        <f>SUM(Foglio1!$CF3+Foglio1!$CA3+Foglio1!$CB3+Foglio1!$CD3+Foglio1!$CN3+Foglio1!$CC3+Foglio1!$CW3+Foglio1!$CO3+Foglio1!$CT3-Foglio1!$BU3)</f>
        <v>14</v>
      </c>
      <c r="DA3" s="4">
        <f>SUM(Foglio1!$CG3+Foglio1!$CR3+Foglio1!$CQ3+Foglio1!$BU3+Foglio1!$CE3+Foglio1!$CL3+Foglio1!$CS3+Foglio1!$CT3+Foglio1!$CV3+Foglio1!$CP3)</f>
        <v>28</v>
      </c>
      <c r="DB3" s="4">
        <f>SUM(Foglio1!$CU3+Foglio1!$BW3+Foglio1!$BZ3+Foglio1!$CO3+Foglio1!$BX3+Foglio1!$CC3+Foglio1!$CK3+Foglio1!$CW3)</f>
        <v>19</v>
      </c>
      <c r="DC3" s="4">
        <f>SUM(Foglio1!$CI3+Foglio1!$CM3+Foglio1!$CJ3+Foglio1!$CK3+Foglio1!$BY3+Foglio1!$CH3+Foglio1!$CV3+Foglio1!$CW3)</f>
        <v>20</v>
      </c>
      <c r="DD3" s="4">
        <v>0</v>
      </c>
      <c r="DE3" s="4">
        <v>0</v>
      </c>
      <c r="DF3" s="4">
        <v>0</v>
      </c>
      <c r="DG3" s="4">
        <v>0</v>
      </c>
      <c r="DH3" s="4">
        <v>0</v>
      </c>
      <c r="DI3" s="4">
        <v>0</v>
      </c>
      <c r="DJ3" s="4">
        <v>0</v>
      </c>
      <c r="DK3" s="4">
        <v>0</v>
      </c>
      <c r="DL3" s="4">
        <v>0</v>
      </c>
      <c r="DM3" s="4">
        <v>0</v>
      </c>
      <c r="DN3" s="4">
        <v>0</v>
      </c>
      <c r="DO3" s="4">
        <v>0</v>
      </c>
      <c r="DP3" s="4">
        <v>0</v>
      </c>
      <c r="DQ3" s="4">
        <v>0</v>
      </c>
      <c r="DR3" s="4">
        <v>0</v>
      </c>
      <c r="DS3" s="4">
        <v>0</v>
      </c>
      <c r="DT3" s="4">
        <v>1</v>
      </c>
      <c r="DU3" s="4">
        <v>0</v>
      </c>
      <c r="DV3" s="4">
        <v>0</v>
      </c>
      <c r="DW3" s="4">
        <v>0</v>
      </c>
      <c r="DX3" s="4">
        <v>2</v>
      </c>
      <c r="DY3" s="4" t="s">
        <v>359</v>
      </c>
      <c r="DZ3" s="4" t="s">
        <v>359</v>
      </c>
      <c r="EA3" s="4" t="s">
        <v>359</v>
      </c>
      <c r="EB3" s="4" t="s">
        <v>359</v>
      </c>
      <c r="EC3" s="4" t="s">
        <v>359</v>
      </c>
      <c r="ED3" s="4" t="s">
        <v>359</v>
      </c>
      <c r="EE3" s="4" t="s">
        <v>359</v>
      </c>
      <c r="EF3" s="4" t="s">
        <v>359</v>
      </c>
      <c r="EG3" s="4" t="s">
        <v>359</v>
      </c>
      <c r="EH3" s="4">
        <f>(Foglio1!$DE3+Foglio1!$DH3+Foglio1!$DG3+Foglio1!$DF3+Foglio1!$DM3+Foglio1!$DD3+Foglio1!$DO3+Foglio1!$DL3+Foglio1!$DN3+Foglio1!$DQ3+Foglio1!$DP3+Foglio1!$DT3+Foglio1!$DI3+Foglio1!$DK3+Foglio1!$DU3)</f>
        <v>1</v>
      </c>
      <c r="EI3" s="4" t="e">
        <f>(Foglio1!$EA3+Foglio1!$EB3+Foglio1!$EE3+Foglio1!$EC3+Foglio1!$ED3+Foglio1!$DZ3+Foglio1!$DY3)</f>
        <v>#VALUE!</v>
      </c>
      <c r="EJ3" s="4">
        <f>(Foglio1!$DW3+Foglio1!$DV3+Foglio1!$DX3)</f>
        <v>2</v>
      </c>
      <c r="EK3" s="4" t="e">
        <f>(Foglio1!$EG3+Foglio1!$EF3)</f>
        <v>#VALUE!</v>
      </c>
      <c r="EL3" s="4">
        <v>1</v>
      </c>
      <c r="EM3" s="4">
        <v>0</v>
      </c>
      <c r="EN3" s="4">
        <v>1</v>
      </c>
      <c r="EO3" s="4">
        <v>1</v>
      </c>
      <c r="EP3" s="4">
        <f t="array" ref="EP3">SUM(EL3:EO3/4)</f>
        <v>0.75</v>
      </c>
      <c r="EQ3" s="4">
        <v>0</v>
      </c>
      <c r="ER3" s="4">
        <v>0</v>
      </c>
      <c r="ES3" s="4">
        <v>1</v>
      </c>
      <c r="ET3" s="4">
        <v>0</v>
      </c>
      <c r="EU3" s="4" t="s">
        <v>417</v>
      </c>
      <c r="EV3" s="4">
        <v>0</v>
      </c>
      <c r="EW3" s="4" t="s">
        <v>418</v>
      </c>
      <c r="EX3" s="4">
        <v>0</v>
      </c>
      <c r="EY3" s="4">
        <f>(Foglio1!$EQ3+Foglio1!$ER3+Foglio1!$ES3+Foglio1!$ET3+Foglio1!$EV3+Foglio1!$EX3)/6</f>
        <v>0.16666666666666666</v>
      </c>
      <c r="EZ3" s="4">
        <v>1</v>
      </c>
      <c r="FA3" s="4">
        <v>1</v>
      </c>
      <c r="FB3" s="4">
        <v>1</v>
      </c>
      <c r="FC3" s="4">
        <f>(Foglio1!$EZ3+Foglio1!$FA3+Foglio1!$FB3)/3</f>
        <v>1</v>
      </c>
      <c r="FD3" s="4">
        <v>0</v>
      </c>
      <c r="FE3" s="4">
        <v>1</v>
      </c>
      <c r="FF3" s="4">
        <f>(Foglio1!$FD3+Foglio1!$FE3)/2</f>
        <v>0.5</v>
      </c>
      <c r="FG3" s="4" t="s">
        <v>419</v>
      </c>
      <c r="FH3" s="4">
        <v>0</v>
      </c>
      <c r="FI3" s="4" t="s">
        <v>420</v>
      </c>
      <c r="FJ3" s="4">
        <v>0</v>
      </c>
      <c r="FK3" s="4" t="s">
        <v>421</v>
      </c>
      <c r="FL3" s="4">
        <v>0</v>
      </c>
      <c r="FM3" s="4">
        <f>(Foglio1!$FH3+Foglio1!$FJ3+Foglio1!$FL3)/3</f>
        <v>0</v>
      </c>
      <c r="FN3" s="4">
        <f>(Foglio1!$EP3)</f>
        <v>0.75</v>
      </c>
      <c r="FO3" s="4">
        <f>(Foglio1!$EY3+Foglio1!$FC3+Foglio1!$FF3+Foglio1!$FM3)/4</f>
        <v>0.41666666666666669</v>
      </c>
      <c r="FP3" s="4">
        <f>(Foglio1!$EP3+Foglio1!$EY3+Foglio1!$FC3+Foglio1!$FF3+Foglio1!$FM3)/5</f>
        <v>0.48333333333333328</v>
      </c>
      <c r="FQ3" s="6">
        <v>45474</v>
      </c>
      <c r="FR3" s="4">
        <v>2</v>
      </c>
      <c r="FS3" s="4">
        <v>2</v>
      </c>
      <c r="FT3" s="4">
        <v>1</v>
      </c>
      <c r="FU3" s="4">
        <v>2</v>
      </c>
      <c r="FV3" s="4">
        <v>1</v>
      </c>
      <c r="FW3" s="4">
        <v>3</v>
      </c>
      <c r="FX3" s="4">
        <v>3</v>
      </c>
      <c r="FY3" s="4">
        <v>3</v>
      </c>
      <c r="FZ3" s="4">
        <v>2</v>
      </c>
      <c r="GA3" s="4">
        <v>6</v>
      </c>
      <c r="GB3" s="4">
        <v>61</v>
      </c>
      <c r="GC3" s="4">
        <v>2</v>
      </c>
      <c r="GD3" s="4">
        <v>0</v>
      </c>
      <c r="GE3" s="4">
        <v>0</v>
      </c>
      <c r="GF3" s="4">
        <v>1</v>
      </c>
      <c r="GG3" s="4">
        <v>0</v>
      </c>
      <c r="GH3" s="4">
        <v>3</v>
      </c>
      <c r="GI3" s="4">
        <v>2</v>
      </c>
      <c r="GJ3" s="4">
        <v>2</v>
      </c>
      <c r="GK3" s="4">
        <v>0</v>
      </c>
      <c r="GL3" s="4">
        <v>2</v>
      </c>
      <c r="GM3" s="4">
        <v>3</v>
      </c>
      <c r="GN3" s="4">
        <v>3</v>
      </c>
      <c r="GO3" s="4">
        <v>0</v>
      </c>
      <c r="GP3" s="4">
        <v>0</v>
      </c>
      <c r="GQ3" s="4">
        <v>0</v>
      </c>
      <c r="GR3" s="4">
        <v>2</v>
      </c>
      <c r="GS3" s="4">
        <v>2</v>
      </c>
      <c r="GT3" s="4">
        <v>3</v>
      </c>
      <c r="GU3" s="4">
        <v>0</v>
      </c>
      <c r="GV3" s="4">
        <v>2</v>
      </c>
      <c r="GW3" s="4">
        <v>0</v>
      </c>
      <c r="GX3" s="4">
        <v>0</v>
      </c>
      <c r="GY3" s="4">
        <v>2</v>
      </c>
      <c r="GZ3" s="4">
        <v>0</v>
      </c>
      <c r="HA3" s="4">
        <v>2</v>
      </c>
      <c r="HB3" s="4">
        <v>2</v>
      </c>
      <c r="HC3" s="4">
        <v>0</v>
      </c>
      <c r="HD3" s="4">
        <v>0</v>
      </c>
      <c r="HE3" s="4">
        <v>2</v>
      </c>
      <c r="HF3" s="4">
        <v>2</v>
      </c>
      <c r="HG3" s="4">
        <f t="shared" si="1"/>
        <v>37</v>
      </c>
      <c r="HH3" s="4">
        <f t="shared" si="2"/>
        <v>8</v>
      </c>
      <c r="HI3" s="4">
        <f t="shared" si="3"/>
        <v>9</v>
      </c>
      <c r="HJ3" s="4">
        <f t="shared" si="4"/>
        <v>11</v>
      </c>
      <c r="HK3" s="4">
        <f t="shared" si="5"/>
        <v>10</v>
      </c>
      <c r="HL3" s="4">
        <f t="shared" si="6"/>
        <v>16</v>
      </c>
      <c r="HM3" s="4">
        <v>2</v>
      </c>
      <c r="HN3" s="4">
        <v>0</v>
      </c>
      <c r="HO3" s="4">
        <v>1</v>
      </c>
      <c r="HP3" s="4">
        <v>0</v>
      </c>
      <c r="HQ3" s="4">
        <v>0</v>
      </c>
      <c r="HR3" s="4">
        <v>0</v>
      </c>
      <c r="HS3" s="4">
        <v>0</v>
      </c>
      <c r="HT3" s="4">
        <v>0</v>
      </c>
      <c r="HU3" s="4">
        <v>0</v>
      </c>
      <c r="HV3" s="4">
        <v>0</v>
      </c>
      <c r="HW3" s="4">
        <v>0</v>
      </c>
      <c r="HX3" s="4">
        <v>0</v>
      </c>
      <c r="HY3" s="4">
        <v>0</v>
      </c>
      <c r="HZ3" s="4">
        <v>0</v>
      </c>
      <c r="IA3" s="4">
        <v>0</v>
      </c>
      <c r="IB3" s="4">
        <v>0</v>
      </c>
      <c r="IC3" s="4">
        <v>0</v>
      </c>
      <c r="ID3" s="4">
        <v>0</v>
      </c>
      <c r="IE3" s="4">
        <v>0</v>
      </c>
      <c r="IF3" s="4">
        <v>0</v>
      </c>
      <c r="IG3" s="4">
        <v>2</v>
      </c>
      <c r="IH3" s="7" t="s">
        <v>359</v>
      </c>
      <c r="II3" s="7" t="s">
        <v>359</v>
      </c>
      <c r="IJ3" s="7" t="s">
        <v>359</v>
      </c>
      <c r="IK3" s="7" t="s">
        <v>359</v>
      </c>
      <c r="IL3" s="7" t="s">
        <v>359</v>
      </c>
      <c r="IM3" s="7" t="s">
        <v>359</v>
      </c>
      <c r="IN3" s="7" t="s">
        <v>359</v>
      </c>
      <c r="IO3" s="7" t="s">
        <v>359</v>
      </c>
      <c r="IP3" s="7" t="s">
        <v>359</v>
      </c>
      <c r="IQ3" s="7" t="s">
        <v>359</v>
      </c>
      <c r="IR3" s="7" t="s">
        <v>359</v>
      </c>
      <c r="IS3" s="7" t="s">
        <v>359</v>
      </c>
      <c r="IT3" s="7" t="s">
        <v>359</v>
      </c>
      <c r="IU3" s="4" t="s">
        <v>383</v>
      </c>
      <c r="IV3" s="4" t="s">
        <v>383</v>
      </c>
      <c r="IW3" s="4" t="s">
        <v>383</v>
      </c>
      <c r="IX3" s="4" t="s">
        <v>383</v>
      </c>
      <c r="IY3" s="4">
        <v>1</v>
      </c>
      <c r="IZ3" s="4">
        <v>1</v>
      </c>
      <c r="JA3" s="4">
        <v>0</v>
      </c>
      <c r="JB3" s="4">
        <v>1</v>
      </c>
      <c r="JC3" s="4">
        <f>(Foglio1!$IY3+Foglio1!$IZ3+Foglio1!$JA3+Foglio1!$JB3)/4</f>
        <v>0.75</v>
      </c>
      <c r="JD3" s="4">
        <v>1</v>
      </c>
      <c r="JE3" s="4">
        <v>1</v>
      </c>
      <c r="JF3" s="4">
        <v>1</v>
      </c>
      <c r="JG3" s="4">
        <v>1</v>
      </c>
      <c r="JH3" s="4" t="s">
        <v>422</v>
      </c>
      <c r="JI3" s="4">
        <v>0</v>
      </c>
      <c r="JJ3" s="4" t="s">
        <v>423</v>
      </c>
      <c r="JK3" s="4">
        <v>0</v>
      </c>
      <c r="JL3" s="4">
        <f>(Foglio1!$JD3+Foglio1!$JE3+Foglio1!$JF3+Foglio1!$JG3+Foglio1!$JI3+Foglio1!$JK3)/6</f>
        <v>0.66666666666666663</v>
      </c>
      <c r="JM3" s="4">
        <v>0</v>
      </c>
      <c r="JN3" s="4">
        <v>1</v>
      </c>
      <c r="JO3" s="4">
        <v>0</v>
      </c>
      <c r="JP3" s="4">
        <f>(Foglio1!$JM3+Foglio1!$JN3+Foglio1!$JO3)/3</f>
        <v>0.33333333333333331</v>
      </c>
      <c r="JQ3" s="4">
        <v>0</v>
      </c>
      <c r="JR3" s="4">
        <v>0</v>
      </c>
      <c r="JS3" s="4">
        <f>(Foglio1!$JQ3+Foglio1!$JR3)/2</f>
        <v>0</v>
      </c>
      <c r="JT3" s="4" t="s">
        <v>424</v>
      </c>
      <c r="JU3" s="4">
        <v>0</v>
      </c>
      <c r="JV3" s="4" t="s">
        <v>425</v>
      </c>
      <c r="JW3" s="4">
        <v>0</v>
      </c>
      <c r="JX3" s="4" t="s">
        <v>426</v>
      </c>
      <c r="JY3" s="4">
        <v>0</v>
      </c>
      <c r="JZ3" s="4">
        <f>(Foglio1!$JU3+Foglio1!$JW3+Foglio1!$JY3)/3</f>
        <v>0</v>
      </c>
      <c r="KA3" s="4">
        <f>(Foglio1!$JC3)</f>
        <v>0.75</v>
      </c>
      <c r="KB3" s="4">
        <f>(Foglio1!$JL3+Foglio1!$JP3+Foglio1!$JS3+Foglio1!$JZ3)/4</f>
        <v>0.25</v>
      </c>
      <c r="KC3" s="4">
        <f>(Foglio1!$JC3+Foglio1!$JL3+Foglio1!$JP3+Foglio1!$JS3+Foglio1!$JZ3)/5</f>
        <v>0.35</v>
      </c>
      <c r="KD3" s="4" t="s">
        <v>427</v>
      </c>
      <c r="KE3" s="4">
        <v>2</v>
      </c>
      <c r="KF3" s="4">
        <v>2</v>
      </c>
      <c r="KG3" s="4" t="s">
        <v>428</v>
      </c>
      <c r="KH3" s="4">
        <v>1</v>
      </c>
      <c r="KI3" s="4">
        <v>3</v>
      </c>
      <c r="KJ3" s="4" t="s">
        <v>429</v>
      </c>
      <c r="KK3" s="4">
        <v>2</v>
      </c>
      <c r="KL3" s="4">
        <v>2</v>
      </c>
      <c r="KM3" s="4" t="s">
        <v>430</v>
      </c>
      <c r="KN3" s="4">
        <v>0</v>
      </c>
      <c r="KO3" s="4">
        <v>0</v>
      </c>
      <c r="KP3" s="4" t="s">
        <v>431</v>
      </c>
      <c r="KQ3" s="4">
        <v>2</v>
      </c>
      <c r="KR3" s="4">
        <v>3</v>
      </c>
      <c r="KS3" s="4" t="s">
        <v>432</v>
      </c>
      <c r="KT3" s="4">
        <v>2</v>
      </c>
      <c r="KU3" s="4">
        <v>2</v>
      </c>
      <c r="KV3" s="4" t="s">
        <v>433</v>
      </c>
      <c r="KW3" s="4">
        <v>2</v>
      </c>
      <c r="KX3" s="4">
        <v>1</v>
      </c>
      <c r="KY3" s="4" t="s">
        <v>434</v>
      </c>
      <c r="KZ3" s="4">
        <v>2</v>
      </c>
      <c r="LA3" s="4">
        <v>3</v>
      </c>
      <c r="LB3" s="4" t="s">
        <v>435</v>
      </c>
      <c r="LC3" s="4">
        <v>2</v>
      </c>
      <c r="LD3" s="4">
        <v>1</v>
      </c>
      <c r="LE3" s="4" t="s">
        <v>436</v>
      </c>
      <c r="LF3" s="4">
        <v>0</v>
      </c>
      <c r="LG3" s="4">
        <v>0</v>
      </c>
      <c r="LH3" s="4" t="s">
        <v>437</v>
      </c>
      <c r="LI3" s="4">
        <v>0</v>
      </c>
      <c r="LJ3" s="4">
        <v>1</v>
      </c>
      <c r="LK3" s="4" t="s">
        <v>438</v>
      </c>
      <c r="LL3" s="4">
        <v>0</v>
      </c>
      <c r="LM3" s="4">
        <v>2</v>
      </c>
      <c r="LN3" s="4" t="s">
        <v>439</v>
      </c>
      <c r="LO3" s="4">
        <v>2</v>
      </c>
      <c r="LP3" s="4">
        <v>1</v>
      </c>
      <c r="LQ3" s="4" t="s">
        <v>440</v>
      </c>
      <c r="LR3" s="4">
        <v>1</v>
      </c>
      <c r="LS3" s="4">
        <v>2</v>
      </c>
      <c r="LT3" s="4">
        <f>(Foglio1!$KE3+Foglio1!$KH3+Foglio1!$KK3+Foglio1!$KN3+Foglio1!$KQ3+Foglio1!$KT3+Foglio1!$KW3+Foglio1!$KZ3+Foglio1!$LC3+Foglio1!$LF3+Foglio1!$LI3+Foglio1!$LL3+Foglio1!$LO3+Foglio1!$LR3)</f>
        <v>18</v>
      </c>
      <c r="LU3" s="4">
        <f>(Foglio1!$KI3+Foglio1!$KF3+Foglio1!$KL3+Foglio1!$KO3+Foglio1!$KR3+Foglio1!$KU3+Foglio1!$KX3+Foglio1!$LA3+Foglio1!$LD3+Foglio1!$LG3+Foglio1!$LJ3+Foglio1!$LM3+Foglio1!$LP3+Foglio1!$LS3)</f>
        <v>23</v>
      </c>
      <c r="LV3" s="4">
        <v>14</v>
      </c>
      <c r="LW3" s="4">
        <v>21</v>
      </c>
      <c r="LX3" s="4">
        <v>8</v>
      </c>
      <c r="LY3" s="4">
        <v>22</v>
      </c>
      <c r="LZ3" s="3">
        <v>0</v>
      </c>
      <c r="MA3" s="3">
        <v>0</v>
      </c>
      <c r="MB3" s="3">
        <v>2</v>
      </c>
      <c r="MC3" s="3">
        <v>0</v>
      </c>
      <c r="MD3" s="3">
        <f t="shared" si="7"/>
        <v>2</v>
      </c>
      <c r="ME3" s="3">
        <v>0</v>
      </c>
      <c r="MF3" s="3">
        <v>0</v>
      </c>
      <c r="MG3" s="3">
        <v>0</v>
      </c>
      <c r="MH3" s="3">
        <v>0</v>
      </c>
      <c r="MI3" s="3">
        <f t="shared" si="8"/>
        <v>0</v>
      </c>
    </row>
    <row r="4" spans="1:347" ht="15.75" customHeight="1" x14ac:dyDescent="0.25">
      <c r="A4" s="4" t="s">
        <v>441</v>
      </c>
      <c r="B4" s="4">
        <v>36</v>
      </c>
      <c r="C4" s="4" t="s">
        <v>403</v>
      </c>
      <c r="D4" s="4">
        <v>5</v>
      </c>
      <c r="E4" s="4">
        <v>0</v>
      </c>
      <c r="F4" s="4" t="s">
        <v>360</v>
      </c>
      <c r="G4" s="4" t="s">
        <v>356</v>
      </c>
      <c r="H4" s="5" t="s">
        <v>383</v>
      </c>
      <c r="I4" s="4"/>
      <c r="J4" s="4"/>
      <c r="K4" s="4"/>
      <c r="L4" s="5" t="s">
        <v>356</v>
      </c>
      <c r="M4" s="5" t="s">
        <v>383</v>
      </c>
      <c r="N4" s="5" t="s">
        <v>383</v>
      </c>
      <c r="O4" s="5" t="s">
        <v>383</v>
      </c>
      <c r="P4" s="5" t="s">
        <v>383</v>
      </c>
      <c r="Q4" s="4" t="s">
        <v>359</v>
      </c>
      <c r="R4" s="4"/>
      <c r="S4" s="4"/>
      <c r="T4" s="4"/>
      <c r="U4" s="4"/>
      <c r="V4" s="4"/>
      <c r="W4" s="4"/>
      <c r="X4" s="4"/>
      <c r="Y4" s="4"/>
      <c r="Z4" s="4"/>
      <c r="AA4" s="4"/>
      <c r="AB4" s="4"/>
      <c r="AC4" s="4"/>
      <c r="AD4" s="4"/>
      <c r="AE4" s="4"/>
      <c r="AF4" s="4"/>
      <c r="AG4" s="4"/>
      <c r="AH4" s="5" t="s">
        <v>383</v>
      </c>
      <c r="AI4" s="5" t="s">
        <v>383</v>
      </c>
      <c r="AJ4" s="5" t="s">
        <v>383</v>
      </c>
      <c r="AK4" s="5" t="s">
        <v>383</v>
      </c>
      <c r="AL4" s="5" t="s">
        <v>383</v>
      </c>
      <c r="AM4" s="5" t="s">
        <v>383</v>
      </c>
      <c r="AN4" s="5" t="s">
        <v>383</v>
      </c>
      <c r="AO4" s="5" t="s">
        <v>383</v>
      </c>
      <c r="AP4" s="5" t="s">
        <v>383</v>
      </c>
      <c r="AQ4" s="5" t="s">
        <v>383</v>
      </c>
      <c r="AR4" s="5" t="s">
        <v>383</v>
      </c>
      <c r="AS4" s="5" t="s">
        <v>383</v>
      </c>
      <c r="AT4" s="5" t="s">
        <v>383</v>
      </c>
      <c r="AU4" s="5" t="s">
        <v>383</v>
      </c>
      <c r="AV4" s="5" t="s">
        <v>383</v>
      </c>
      <c r="AW4" s="5" t="s">
        <v>383</v>
      </c>
      <c r="AX4" s="5" t="s">
        <v>383</v>
      </c>
      <c r="AY4" s="4"/>
      <c r="AZ4" s="5" t="s">
        <v>383</v>
      </c>
      <c r="BA4" s="5" t="s">
        <v>383</v>
      </c>
      <c r="BB4" s="4"/>
      <c r="BC4" s="4"/>
      <c r="BD4" s="4"/>
      <c r="BE4" s="4"/>
      <c r="BF4" s="4"/>
      <c r="BG4" s="4" t="s">
        <v>383</v>
      </c>
      <c r="BH4" s="4" t="s">
        <v>356</v>
      </c>
      <c r="BI4" s="4" t="s">
        <v>356</v>
      </c>
      <c r="BJ4" s="4" t="s">
        <v>356</v>
      </c>
      <c r="BK4" s="4" t="s">
        <v>356</v>
      </c>
      <c r="BL4" s="4" t="s">
        <v>356</v>
      </c>
      <c r="BM4" s="4" t="s">
        <v>356</v>
      </c>
      <c r="BN4" s="4" t="s">
        <v>356</v>
      </c>
      <c r="BO4" s="4" t="s">
        <v>356</v>
      </c>
      <c r="BP4" s="4">
        <v>0</v>
      </c>
      <c r="BQ4" s="4">
        <v>0</v>
      </c>
      <c r="BR4" s="4">
        <v>0</v>
      </c>
      <c r="BS4" s="5" t="s">
        <v>383</v>
      </c>
      <c r="BT4" s="5" t="s">
        <v>383</v>
      </c>
      <c r="BU4" s="5" t="s">
        <v>383</v>
      </c>
      <c r="BV4" s="5" t="s">
        <v>383</v>
      </c>
      <c r="BW4" s="5" t="s">
        <v>383</v>
      </c>
      <c r="BX4" s="5" t="s">
        <v>383</v>
      </c>
      <c r="BY4" s="5" t="s">
        <v>383</v>
      </c>
      <c r="BZ4" s="5" t="s">
        <v>383</v>
      </c>
      <c r="CA4" s="5" t="s">
        <v>383</v>
      </c>
      <c r="CB4" s="5" t="s">
        <v>383</v>
      </c>
      <c r="CC4" s="5" t="s">
        <v>383</v>
      </c>
      <c r="CD4" s="5" t="s">
        <v>383</v>
      </c>
      <c r="CE4" s="5" t="s">
        <v>383</v>
      </c>
      <c r="CF4" s="5" t="s">
        <v>383</v>
      </c>
      <c r="CG4" s="5" t="s">
        <v>383</v>
      </c>
      <c r="CH4" s="5" t="s">
        <v>383</v>
      </c>
      <c r="CI4" s="5" t="s">
        <v>383</v>
      </c>
      <c r="CJ4" s="5" t="s">
        <v>383</v>
      </c>
      <c r="CK4" s="5" t="s">
        <v>383</v>
      </c>
      <c r="CL4" s="5" t="s">
        <v>383</v>
      </c>
      <c r="CM4" s="5" t="s">
        <v>383</v>
      </c>
      <c r="CN4" s="5" t="s">
        <v>383</v>
      </c>
      <c r="CO4" s="5" t="s">
        <v>383</v>
      </c>
      <c r="CP4" s="5" t="s">
        <v>383</v>
      </c>
      <c r="CQ4" s="5" t="s">
        <v>383</v>
      </c>
      <c r="CR4" s="5" t="s">
        <v>383</v>
      </c>
      <c r="CS4" s="5" t="s">
        <v>383</v>
      </c>
      <c r="CT4" s="5" t="s">
        <v>383</v>
      </c>
      <c r="CU4" s="5" t="s">
        <v>383</v>
      </c>
      <c r="CV4" s="5" t="s">
        <v>383</v>
      </c>
      <c r="CW4" s="5" t="s">
        <v>383</v>
      </c>
      <c r="CX4" s="4">
        <f>SUM(Foglio1!$BT4:$CW4)</f>
        <v>0</v>
      </c>
      <c r="CY4" s="4" t="e">
        <f>SUM(Foglio1!$BT4+Foglio1!$BV4+Foglio1!$CP4+Foglio1!$BY4+Foglio1!$BX4+Foglio1!$CH4+Foglio1!$CS4+Foglio1!$CW4-Foglio1!$CE4)</f>
        <v>#VALUE!</v>
      </c>
      <c r="CZ4" s="4" t="e">
        <f>SUM(Foglio1!$CF4+Foglio1!$CA4+Foglio1!$CB4+Foglio1!$CD4+Foglio1!$CN4+Foglio1!$CC4+Foglio1!$CW4+Foglio1!$CO4+Foglio1!$CT4-Foglio1!$BU4)</f>
        <v>#VALUE!</v>
      </c>
      <c r="DA4" s="4" t="e">
        <f>SUM(Foglio1!$CG4+Foglio1!$CR4+Foglio1!$CQ4+Foglio1!$BU4+Foglio1!$CE4+Foglio1!$CL4+Foglio1!$CS4+Foglio1!$CT4+Foglio1!$CV4+Foglio1!$CP4)</f>
        <v>#VALUE!</v>
      </c>
      <c r="DB4" s="4" t="e">
        <f>SUM(Foglio1!$CU4+Foglio1!$BW4+Foglio1!$BZ4+Foglio1!$CO4+Foglio1!$BX4+Foglio1!$CC4+Foglio1!$CK4+Foglio1!$CW4)</f>
        <v>#VALUE!</v>
      </c>
      <c r="DC4" s="4" t="e">
        <f>SUM(Foglio1!$CI4+Foglio1!$CM4+Foglio1!$CJ4+Foglio1!$CK4+Foglio1!$BY4+Foglio1!$CH4+Foglio1!$CV4+Foglio1!$CW4)</f>
        <v>#VALUE!</v>
      </c>
      <c r="DD4" s="4">
        <v>3</v>
      </c>
      <c r="DE4" s="4">
        <v>3</v>
      </c>
      <c r="DF4" s="4">
        <v>3</v>
      </c>
      <c r="DG4" s="4">
        <v>1</v>
      </c>
      <c r="DH4" s="4">
        <v>0</v>
      </c>
      <c r="DI4" s="4">
        <v>0</v>
      </c>
      <c r="DJ4" s="4">
        <v>2</v>
      </c>
      <c r="DK4" s="4">
        <v>0</v>
      </c>
      <c r="DL4" s="4">
        <v>0</v>
      </c>
      <c r="DM4" s="4">
        <v>0</v>
      </c>
      <c r="DN4" s="4">
        <v>0</v>
      </c>
      <c r="DO4" s="4">
        <v>0</v>
      </c>
      <c r="DP4" s="4">
        <v>0</v>
      </c>
      <c r="DQ4" s="4">
        <v>0</v>
      </c>
      <c r="DR4" s="4">
        <v>0</v>
      </c>
      <c r="DS4" s="4">
        <v>0</v>
      </c>
      <c r="DT4" s="4">
        <v>3</v>
      </c>
      <c r="DU4" s="4">
        <v>0</v>
      </c>
      <c r="DV4" s="4">
        <v>0</v>
      </c>
      <c r="DW4" s="4">
        <v>0</v>
      </c>
      <c r="DX4" s="4">
        <v>1</v>
      </c>
      <c r="DY4" s="4">
        <v>0</v>
      </c>
      <c r="DZ4" s="4">
        <v>0</v>
      </c>
      <c r="EA4" s="4">
        <v>0</v>
      </c>
      <c r="EB4" s="4">
        <v>0</v>
      </c>
      <c r="EC4" s="4">
        <v>0</v>
      </c>
      <c r="ED4" s="4">
        <v>0</v>
      </c>
      <c r="EE4" s="4">
        <v>0</v>
      </c>
      <c r="EF4" s="4">
        <v>0</v>
      </c>
      <c r="EG4" s="4">
        <v>0</v>
      </c>
      <c r="EH4" s="4">
        <f>(Foglio1!$DE4+Foglio1!$DH4+Foglio1!$DG4+Foglio1!$DF4+Foglio1!$DM4+Foglio1!$DD4+Foglio1!$DO4+Foglio1!$DL4+Foglio1!$DN4+Foglio1!$DQ4+Foglio1!$DP4+Foglio1!$DT4+Foglio1!$DI4+Foglio1!$DK4+Foglio1!$DU4)</f>
        <v>13</v>
      </c>
      <c r="EI4" s="4">
        <f>(Foglio1!$EA4+Foglio1!$EB4+Foglio1!$EE4+Foglio1!$EC4+Foglio1!$ED4+Foglio1!$DZ4+Foglio1!$DY4)</f>
        <v>0</v>
      </c>
      <c r="EJ4" s="4">
        <f>(Foglio1!$DW4+Foglio1!$DV4+Foglio1!$DX4)</f>
        <v>1</v>
      </c>
      <c r="EK4" s="4">
        <f>(Foglio1!$EG4+Foglio1!$EF4)</f>
        <v>0</v>
      </c>
      <c r="EL4" s="4">
        <v>1</v>
      </c>
      <c r="EM4" s="4">
        <v>1</v>
      </c>
      <c r="EN4" s="4">
        <v>0</v>
      </c>
      <c r="EO4" s="4">
        <v>1</v>
      </c>
      <c r="EP4" s="4">
        <f t="array" ref="EP4">SUM(EL4:EO4/4)</f>
        <v>0.75</v>
      </c>
      <c r="EQ4" s="4">
        <v>1</v>
      </c>
      <c r="ER4" s="4">
        <v>0</v>
      </c>
      <c r="ES4" s="4">
        <v>0</v>
      </c>
      <c r="ET4" s="4">
        <v>0</v>
      </c>
      <c r="EU4" s="4" t="s">
        <v>383</v>
      </c>
      <c r="EV4" s="4">
        <v>0</v>
      </c>
      <c r="EW4" s="4" t="s">
        <v>383</v>
      </c>
      <c r="EX4" s="4">
        <v>0</v>
      </c>
      <c r="EY4" s="4">
        <f>(Foglio1!$EQ4+Foglio1!$ER4+Foglio1!$ES4+Foglio1!$ET4+Foglio1!$EV4+Foglio1!$EX4)/6</f>
        <v>0.16666666666666666</v>
      </c>
      <c r="EZ4" s="4">
        <v>0</v>
      </c>
      <c r="FA4" s="4">
        <v>0</v>
      </c>
      <c r="FB4" s="4">
        <v>0</v>
      </c>
      <c r="FC4" s="4">
        <f>(Foglio1!$EZ4+Foglio1!$FA4+Foglio1!$FB4)/3</f>
        <v>0</v>
      </c>
      <c r="FD4" s="4">
        <v>0</v>
      </c>
      <c r="FE4" s="4">
        <v>0</v>
      </c>
      <c r="FF4" s="4">
        <f>(Foglio1!$FD4+Foglio1!$FE4)/2</f>
        <v>0</v>
      </c>
      <c r="FG4" s="4" t="s">
        <v>383</v>
      </c>
      <c r="FH4" s="4">
        <v>0</v>
      </c>
      <c r="FI4" s="4" t="s">
        <v>383</v>
      </c>
      <c r="FJ4" s="4">
        <v>0</v>
      </c>
      <c r="FK4" s="4" t="s">
        <v>383</v>
      </c>
      <c r="FL4" s="4">
        <v>0</v>
      </c>
      <c r="FM4" s="4">
        <f>(Foglio1!$FH4+Foglio1!$FJ4+Foglio1!$FL4)/3</f>
        <v>0</v>
      </c>
      <c r="FN4" s="4">
        <f>(Foglio1!$EP4)</f>
        <v>0.75</v>
      </c>
      <c r="FO4" s="4">
        <f>(Foglio1!$EY4+Foglio1!$FC4+Foglio1!$FF4+Foglio1!$FM4)/4</f>
        <v>4.1666666666666664E-2</v>
      </c>
      <c r="FP4" s="4">
        <f>(Foglio1!$EP4+Foglio1!$EY4+Foglio1!$FC4+Foglio1!$FF4+Foglio1!$FM4)/5</f>
        <v>0.18333333333333332</v>
      </c>
      <c r="FQ4" s="4"/>
      <c r="FR4" s="5" t="s">
        <v>383</v>
      </c>
      <c r="FS4" s="5" t="s">
        <v>383</v>
      </c>
      <c r="FT4" s="5" t="s">
        <v>383</v>
      </c>
      <c r="FU4" s="5" t="s">
        <v>383</v>
      </c>
      <c r="FV4" s="5" t="s">
        <v>383</v>
      </c>
      <c r="FW4" s="5" t="s">
        <v>383</v>
      </c>
      <c r="FX4" s="5" t="s">
        <v>383</v>
      </c>
      <c r="FY4" s="5" t="s">
        <v>383</v>
      </c>
      <c r="FZ4" s="5" t="s">
        <v>383</v>
      </c>
      <c r="GA4" s="5" t="s">
        <v>383</v>
      </c>
      <c r="GB4" s="5" t="s">
        <v>383</v>
      </c>
      <c r="GC4" s="5" t="s">
        <v>383</v>
      </c>
      <c r="GD4" s="5" t="s">
        <v>383</v>
      </c>
      <c r="GE4" s="5" t="s">
        <v>383</v>
      </c>
      <c r="GF4" s="5" t="s">
        <v>383</v>
      </c>
      <c r="GG4" s="5" t="s">
        <v>383</v>
      </c>
      <c r="GH4" s="5" t="s">
        <v>383</v>
      </c>
      <c r="GI4" s="5" t="s">
        <v>383</v>
      </c>
      <c r="GJ4" s="5" t="s">
        <v>383</v>
      </c>
      <c r="GK4" s="5" t="s">
        <v>383</v>
      </c>
      <c r="GL4" s="5" t="s">
        <v>383</v>
      </c>
      <c r="GM4" s="5" t="s">
        <v>383</v>
      </c>
      <c r="GN4" s="5" t="s">
        <v>383</v>
      </c>
      <c r="GO4" s="5" t="s">
        <v>383</v>
      </c>
      <c r="GP4" s="5" t="s">
        <v>383</v>
      </c>
      <c r="GQ4" s="5" t="s">
        <v>383</v>
      </c>
      <c r="GR4" s="5" t="s">
        <v>383</v>
      </c>
      <c r="GS4" s="5" t="s">
        <v>383</v>
      </c>
      <c r="GT4" s="5" t="s">
        <v>383</v>
      </c>
      <c r="GU4" s="5" t="s">
        <v>383</v>
      </c>
      <c r="GV4" s="5" t="s">
        <v>383</v>
      </c>
      <c r="GW4" s="5" t="s">
        <v>383</v>
      </c>
      <c r="GX4" s="5" t="s">
        <v>383</v>
      </c>
      <c r="GY4" s="5" t="s">
        <v>383</v>
      </c>
      <c r="GZ4" s="5" t="s">
        <v>383</v>
      </c>
      <c r="HA4" s="5" t="s">
        <v>383</v>
      </c>
      <c r="HB4" s="5" t="s">
        <v>383</v>
      </c>
      <c r="HC4" s="5" t="s">
        <v>383</v>
      </c>
      <c r="HD4" s="5" t="s">
        <v>383</v>
      </c>
      <c r="HE4" s="5" t="s">
        <v>383</v>
      </c>
      <c r="HF4" s="5" t="s">
        <v>383</v>
      </c>
      <c r="HG4" s="4" t="s">
        <v>383</v>
      </c>
      <c r="HH4" s="4" t="s">
        <v>383</v>
      </c>
      <c r="HI4" s="4" t="s">
        <v>383</v>
      </c>
      <c r="HJ4" s="4" t="s">
        <v>383</v>
      </c>
      <c r="HK4" s="4" t="s">
        <v>383</v>
      </c>
      <c r="HL4" s="4" t="s">
        <v>383</v>
      </c>
      <c r="HM4" s="7" t="s">
        <v>356</v>
      </c>
      <c r="HN4" s="7" t="s">
        <v>356</v>
      </c>
      <c r="HO4" s="7" t="s">
        <v>356</v>
      </c>
      <c r="HP4" s="7" t="s">
        <v>356</v>
      </c>
      <c r="HQ4" s="7" t="s">
        <v>356</v>
      </c>
      <c r="HR4" s="7" t="s">
        <v>356</v>
      </c>
      <c r="HS4" s="7" t="s">
        <v>356</v>
      </c>
      <c r="HT4" s="7" t="s">
        <v>356</v>
      </c>
      <c r="HU4" s="7" t="s">
        <v>356</v>
      </c>
      <c r="HV4" s="7" t="s">
        <v>356</v>
      </c>
      <c r="HW4" s="7" t="s">
        <v>356</v>
      </c>
      <c r="HX4" s="7" t="s">
        <v>356</v>
      </c>
      <c r="HY4" s="7" t="s">
        <v>356</v>
      </c>
      <c r="HZ4" s="7" t="s">
        <v>356</v>
      </c>
      <c r="IA4" s="7" t="s">
        <v>356</v>
      </c>
      <c r="IB4" s="7" t="s">
        <v>356</v>
      </c>
      <c r="IC4" s="7" t="s">
        <v>356</v>
      </c>
      <c r="ID4" s="7" t="s">
        <v>356</v>
      </c>
      <c r="IE4" s="7" t="s">
        <v>356</v>
      </c>
      <c r="IF4" s="7" t="s">
        <v>356</v>
      </c>
      <c r="IG4" s="7" t="s">
        <v>356</v>
      </c>
      <c r="IH4" s="7" t="s">
        <v>356</v>
      </c>
      <c r="II4" s="7" t="s">
        <v>356</v>
      </c>
      <c r="IJ4" s="7" t="s">
        <v>356</v>
      </c>
      <c r="IK4" s="7" t="s">
        <v>356</v>
      </c>
      <c r="IL4" s="7" t="s">
        <v>356</v>
      </c>
      <c r="IM4" s="7" t="s">
        <v>356</v>
      </c>
      <c r="IN4" s="7" t="s">
        <v>356</v>
      </c>
      <c r="IO4" s="7" t="s">
        <v>356</v>
      </c>
      <c r="IP4" s="7" t="s">
        <v>356</v>
      </c>
      <c r="IQ4" s="7" t="s">
        <v>356</v>
      </c>
      <c r="IR4" s="7" t="s">
        <v>356</v>
      </c>
      <c r="IS4" s="7" t="s">
        <v>356</v>
      </c>
      <c r="IT4" s="7" t="s">
        <v>356</v>
      </c>
      <c r="IU4" s="7" t="s">
        <v>356</v>
      </c>
      <c r="IV4" s="7" t="s">
        <v>356</v>
      </c>
      <c r="IW4" s="7" t="s">
        <v>356</v>
      </c>
      <c r="IX4" s="7" t="s">
        <v>356</v>
      </c>
      <c r="IY4" s="7" t="s">
        <v>356</v>
      </c>
      <c r="IZ4" s="7" t="s">
        <v>356</v>
      </c>
      <c r="JA4" s="7" t="s">
        <v>356</v>
      </c>
      <c r="JB4" s="7" t="s">
        <v>356</v>
      </c>
      <c r="JC4" s="7" t="s">
        <v>356</v>
      </c>
      <c r="JD4" s="7" t="s">
        <v>356</v>
      </c>
      <c r="JE4" s="7" t="s">
        <v>356</v>
      </c>
      <c r="JF4" s="7" t="s">
        <v>356</v>
      </c>
      <c r="JG4" s="7" t="s">
        <v>356</v>
      </c>
      <c r="JH4" s="7" t="s">
        <v>356</v>
      </c>
      <c r="JI4" s="7" t="s">
        <v>356</v>
      </c>
      <c r="JJ4" s="7" t="s">
        <v>356</v>
      </c>
      <c r="JK4" s="7" t="s">
        <v>356</v>
      </c>
      <c r="JL4" s="7" t="s">
        <v>356</v>
      </c>
      <c r="JM4" s="7" t="s">
        <v>356</v>
      </c>
      <c r="JN4" s="7" t="s">
        <v>356</v>
      </c>
      <c r="JO4" s="7" t="s">
        <v>356</v>
      </c>
      <c r="JP4" s="7" t="s">
        <v>356</v>
      </c>
      <c r="JQ4" s="7" t="s">
        <v>356</v>
      </c>
      <c r="JR4" s="7" t="s">
        <v>356</v>
      </c>
      <c r="JS4" s="4" t="s">
        <v>356</v>
      </c>
      <c r="JT4" s="7" t="s">
        <v>356</v>
      </c>
      <c r="JU4" s="7" t="s">
        <v>356</v>
      </c>
      <c r="JV4" s="7" t="s">
        <v>356</v>
      </c>
      <c r="JW4" s="7" t="s">
        <v>356</v>
      </c>
      <c r="JX4" s="7" t="s">
        <v>356</v>
      </c>
      <c r="JY4" s="7" t="s">
        <v>356</v>
      </c>
      <c r="JZ4" s="7" t="s">
        <v>356</v>
      </c>
      <c r="KA4" s="7" t="s">
        <v>356</v>
      </c>
      <c r="KB4" s="7" t="s">
        <v>356</v>
      </c>
      <c r="KC4" s="7" t="s">
        <v>356</v>
      </c>
      <c r="KD4" s="7" t="s">
        <v>356</v>
      </c>
      <c r="KE4" s="7" t="s">
        <v>356</v>
      </c>
      <c r="KF4" s="7" t="s">
        <v>356</v>
      </c>
      <c r="KG4" s="7" t="s">
        <v>356</v>
      </c>
      <c r="KH4" s="7" t="s">
        <v>356</v>
      </c>
      <c r="KI4" s="7" t="s">
        <v>356</v>
      </c>
      <c r="KJ4" s="7" t="s">
        <v>356</v>
      </c>
      <c r="KK4" s="7" t="s">
        <v>356</v>
      </c>
      <c r="KL4" s="7" t="s">
        <v>356</v>
      </c>
      <c r="KM4" s="7" t="s">
        <v>356</v>
      </c>
      <c r="KN4" s="7" t="s">
        <v>356</v>
      </c>
      <c r="KO4" s="7" t="s">
        <v>356</v>
      </c>
      <c r="KP4" s="7" t="s">
        <v>356</v>
      </c>
      <c r="KQ4" s="7" t="s">
        <v>356</v>
      </c>
      <c r="KR4" s="7" t="s">
        <v>356</v>
      </c>
      <c r="KS4" s="7" t="s">
        <v>356</v>
      </c>
      <c r="KT4" s="7" t="s">
        <v>356</v>
      </c>
      <c r="KU4" s="7" t="s">
        <v>356</v>
      </c>
      <c r="KV4" s="7" t="s">
        <v>356</v>
      </c>
      <c r="KW4" s="7" t="s">
        <v>356</v>
      </c>
      <c r="KX4" s="7" t="s">
        <v>356</v>
      </c>
      <c r="KY4" s="7" t="s">
        <v>356</v>
      </c>
      <c r="KZ4" s="7" t="s">
        <v>356</v>
      </c>
      <c r="LA4" s="7" t="s">
        <v>356</v>
      </c>
      <c r="LB4" s="7" t="s">
        <v>356</v>
      </c>
      <c r="LC4" s="7" t="s">
        <v>356</v>
      </c>
      <c r="LD4" s="7" t="s">
        <v>356</v>
      </c>
      <c r="LE4" s="7" t="s">
        <v>356</v>
      </c>
      <c r="LF4" s="7" t="s">
        <v>356</v>
      </c>
      <c r="LG4" s="7" t="s">
        <v>356</v>
      </c>
      <c r="LH4" s="7" t="s">
        <v>356</v>
      </c>
      <c r="LI4" s="7" t="s">
        <v>356</v>
      </c>
      <c r="LJ4" s="7" t="s">
        <v>356</v>
      </c>
      <c r="LK4" s="7" t="s">
        <v>356</v>
      </c>
      <c r="LL4" s="7" t="s">
        <v>356</v>
      </c>
      <c r="LM4" s="7" t="s">
        <v>356</v>
      </c>
      <c r="LN4" s="7" t="s">
        <v>356</v>
      </c>
      <c r="LO4" s="7" t="s">
        <v>356</v>
      </c>
      <c r="LP4" s="7" t="s">
        <v>356</v>
      </c>
      <c r="LQ4" s="7" t="s">
        <v>356</v>
      </c>
      <c r="LR4" s="7" t="s">
        <v>356</v>
      </c>
      <c r="LS4" s="7" t="s">
        <v>356</v>
      </c>
      <c r="LT4" s="7" t="s">
        <v>356</v>
      </c>
      <c r="LU4" s="7" t="s">
        <v>356</v>
      </c>
      <c r="LV4" s="7" t="s">
        <v>356</v>
      </c>
      <c r="LW4" s="7" t="s">
        <v>356</v>
      </c>
      <c r="LX4" s="7" t="s">
        <v>356</v>
      </c>
      <c r="LY4" s="7" t="s">
        <v>356</v>
      </c>
      <c r="LZ4" s="3">
        <v>0</v>
      </c>
      <c r="MA4" s="3">
        <v>1</v>
      </c>
      <c r="MB4" s="3">
        <v>1</v>
      </c>
      <c r="MC4" s="3">
        <v>0</v>
      </c>
      <c r="MD4" s="3">
        <f t="shared" si="7"/>
        <v>2</v>
      </c>
      <c r="ME4" s="3">
        <v>0</v>
      </c>
      <c r="MF4" s="3">
        <v>2</v>
      </c>
      <c r="MG4" s="3">
        <v>0</v>
      </c>
      <c r="MH4" s="3">
        <v>0</v>
      </c>
      <c r="MI4" s="3">
        <f t="shared" si="8"/>
        <v>2</v>
      </c>
    </row>
    <row r="5" spans="1:347" ht="15.75" customHeight="1" x14ac:dyDescent="0.25">
      <c r="A5" s="4" t="s">
        <v>442</v>
      </c>
      <c r="B5" s="4">
        <v>41</v>
      </c>
      <c r="C5" s="4" t="s">
        <v>349</v>
      </c>
      <c r="D5" s="4">
        <v>13</v>
      </c>
      <c r="E5" s="4">
        <v>1</v>
      </c>
      <c r="F5" s="4" t="s">
        <v>350</v>
      </c>
      <c r="G5" s="4" t="s">
        <v>443</v>
      </c>
      <c r="H5" s="4" t="s">
        <v>444</v>
      </c>
      <c r="I5" s="4" t="s">
        <v>445</v>
      </c>
      <c r="J5" s="4" t="s">
        <v>446</v>
      </c>
      <c r="K5" s="4" t="s">
        <v>447</v>
      </c>
      <c r="L5" s="4" t="s">
        <v>448</v>
      </c>
      <c r="M5" s="4" t="s">
        <v>449</v>
      </c>
      <c r="N5" s="4" t="s">
        <v>450</v>
      </c>
      <c r="O5" s="6">
        <v>45451</v>
      </c>
      <c r="P5" s="6">
        <v>45470</v>
      </c>
      <c r="Q5" s="4" t="s">
        <v>451</v>
      </c>
      <c r="R5" s="4" t="s">
        <v>355</v>
      </c>
      <c r="S5" s="4" t="s">
        <v>355</v>
      </c>
      <c r="T5" s="4" t="s">
        <v>409</v>
      </c>
      <c r="U5" s="4" t="s">
        <v>410</v>
      </c>
      <c r="V5" s="4" t="s">
        <v>452</v>
      </c>
      <c r="W5" s="4" t="s">
        <v>453</v>
      </c>
      <c r="X5" s="4" t="s">
        <v>454</v>
      </c>
      <c r="Y5" s="4" t="s">
        <v>364</v>
      </c>
      <c r="Z5" s="4" t="s">
        <v>363</v>
      </c>
      <c r="AA5" s="4" t="s">
        <v>455</v>
      </c>
      <c r="AB5" s="4" t="s">
        <v>456</v>
      </c>
      <c r="AC5" s="4" t="s">
        <v>457</v>
      </c>
      <c r="AD5" s="4" t="s">
        <v>458</v>
      </c>
      <c r="AE5" s="4" t="s">
        <v>459</v>
      </c>
      <c r="AF5" s="4"/>
      <c r="AG5" s="4"/>
      <c r="AH5" s="4" t="s">
        <v>453</v>
      </c>
      <c r="AI5" s="4" t="s">
        <v>460</v>
      </c>
      <c r="AJ5" s="4" t="s">
        <v>452</v>
      </c>
      <c r="AK5" s="4" t="s">
        <v>461</v>
      </c>
      <c r="AL5" s="4" t="s">
        <v>456</v>
      </c>
      <c r="AM5" s="4" t="s">
        <v>462</v>
      </c>
      <c r="AN5" s="5" t="s">
        <v>356</v>
      </c>
      <c r="AO5" s="5" t="s">
        <v>356</v>
      </c>
      <c r="AP5" s="5" t="s">
        <v>356</v>
      </c>
      <c r="AQ5" s="5" t="s">
        <v>356</v>
      </c>
      <c r="AR5" s="5" t="s">
        <v>356</v>
      </c>
      <c r="AS5" s="5" t="s">
        <v>356</v>
      </c>
      <c r="AT5" s="5" t="s">
        <v>356</v>
      </c>
      <c r="AU5" s="5" t="s">
        <v>356</v>
      </c>
      <c r="AV5" s="5" t="s">
        <v>356</v>
      </c>
      <c r="AW5" s="5" t="s">
        <v>356</v>
      </c>
      <c r="AX5" s="4">
        <v>3</v>
      </c>
      <c r="AY5" s="4"/>
      <c r="AZ5" s="4" t="s">
        <v>360</v>
      </c>
      <c r="BA5" s="4">
        <f t="shared" ref="BA5:BA32" si="9">(P5-O5)</f>
        <v>19</v>
      </c>
      <c r="BB5" s="4">
        <v>0</v>
      </c>
      <c r="BC5" s="4" t="s">
        <v>360</v>
      </c>
      <c r="BD5" s="4" t="s">
        <v>463</v>
      </c>
      <c r="BE5" s="4" t="s">
        <v>360</v>
      </c>
      <c r="BF5" s="4" t="s">
        <v>355</v>
      </c>
      <c r="BG5" s="6">
        <v>45460</v>
      </c>
      <c r="BH5" s="4">
        <v>4</v>
      </c>
      <c r="BI5" s="4">
        <v>1</v>
      </c>
      <c r="BJ5" s="4">
        <v>3</v>
      </c>
      <c r="BK5" s="4">
        <v>3</v>
      </c>
      <c r="BL5" s="4">
        <v>4</v>
      </c>
      <c r="BM5" s="4">
        <v>4</v>
      </c>
      <c r="BN5" s="4">
        <v>0</v>
      </c>
      <c r="BO5" s="4">
        <f>SUM(Foglio1!$BH5:$BM5)</f>
        <v>19</v>
      </c>
      <c r="BP5" s="4">
        <v>4</v>
      </c>
      <c r="BQ5" s="4">
        <v>2</v>
      </c>
      <c r="BR5" s="4">
        <v>5</v>
      </c>
      <c r="BS5" s="4">
        <v>41</v>
      </c>
      <c r="BT5" s="4">
        <v>3</v>
      </c>
      <c r="BU5" s="4">
        <v>1</v>
      </c>
      <c r="BV5" s="4">
        <v>3</v>
      </c>
      <c r="BW5" s="4">
        <v>2</v>
      </c>
      <c r="BX5" s="4">
        <v>2</v>
      </c>
      <c r="BY5" s="4">
        <v>1</v>
      </c>
      <c r="BZ5" s="4">
        <v>1</v>
      </c>
      <c r="CA5" s="4">
        <v>1</v>
      </c>
      <c r="CB5" s="4">
        <v>1</v>
      </c>
      <c r="CC5" s="4">
        <v>2</v>
      </c>
      <c r="CD5" s="4">
        <v>3</v>
      </c>
      <c r="CE5" s="4">
        <v>3</v>
      </c>
      <c r="CF5" s="4">
        <v>2</v>
      </c>
      <c r="CG5" s="4">
        <v>3</v>
      </c>
      <c r="CH5" s="4">
        <v>6</v>
      </c>
      <c r="CI5" s="4">
        <v>4</v>
      </c>
      <c r="CJ5" s="4">
        <v>2</v>
      </c>
      <c r="CK5" s="4">
        <v>3</v>
      </c>
      <c r="CL5" s="4">
        <v>2</v>
      </c>
      <c r="CM5" s="4">
        <v>2</v>
      </c>
      <c r="CN5" s="4">
        <v>1</v>
      </c>
      <c r="CO5" s="4">
        <v>1</v>
      </c>
      <c r="CP5" s="4">
        <v>4</v>
      </c>
      <c r="CQ5" s="4">
        <v>1</v>
      </c>
      <c r="CR5" s="4">
        <v>3</v>
      </c>
      <c r="CS5" s="4">
        <v>3</v>
      </c>
      <c r="CT5" s="4">
        <v>2</v>
      </c>
      <c r="CU5" s="4">
        <v>1</v>
      </c>
      <c r="CV5" s="4">
        <v>5</v>
      </c>
      <c r="CW5" s="4">
        <v>3</v>
      </c>
      <c r="CX5" s="4">
        <f>SUM(Foglio1!$BT5:$CW5)</f>
        <v>71</v>
      </c>
      <c r="CY5" s="4">
        <f>SUM(Foglio1!$BT5+Foglio1!$BV5+Foglio1!$CP5+Foglio1!$BY5+Foglio1!$BX5+Foglio1!$CH5+Foglio1!$CS5+Foglio1!$CW5-Foglio1!$CE5)</f>
        <v>22</v>
      </c>
      <c r="CZ5" s="4">
        <f>SUM(Foglio1!$CF5+Foglio1!$CA5+Foglio1!$CB5+Foglio1!$CD5+Foglio1!$CN5+Foglio1!$CC5+Foglio1!$CW5+Foglio1!$CO5+Foglio1!$CT5-Foglio1!$BU5)</f>
        <v>15</v>
      </c>
      <c r="DA5" s="4">
        <f>SUM(Foglio1!$CG5+Foglio1!$CR5+Foglio1!$CQ5+Foglio1!$BU5+Foglio1!$CE5+Foglio1!$CL5+Foglio1!$CS5+Foglio1!$CT5+Foglio1!$CV5+Foglio1!$CP5)</f>
        <v>27</v>
      </c>
      <c r="DB5" s="4">
        <f>SUM(Foglio1!$CU5+Foglio1!$BW5+Foglio1!$BZ5+Foglio1!$CO5+Foglio1!$BX5+Foglio1!$CC5+Foglio1!$CK5+Foglio1!$CW5)</f>
        <v>15</v>
      </c>
      <c r="DC5" s="4">
        <f>SUM(Foglio1!$CI5+Foglio1!$CM5+Foglio1!$CJ5+Foglio1!$CK5+Foglio1!$BY5+Foglio1!$CH5+Foglio1!$CV5+Foglio1!$CW5)</f>
        <v>26</v>
      </c>
      <c r="DD5" s="4">
        <v>1</v>
      </c>
      <c r="DE5" s="4">
        <v>0</v>
      </c>
      <c r="DF5" s="4">
        <v>0</v>
      </c>
      <c r="DG5" s="4">
        <v>0</v>
      </c>
      <c r="DH5" s="4">
        <v>0</v>
      </c>
      <c r="DI5" s="4">
        <v>2</v>
      </c>
      <c r="DJ5" s="4">
        <v>0</v>
      </c>
      <c r="DK5" s="4">
        <v>0</v>
      </c>
      <c r="DL5" s="4">
        <v>0</v>
      </c>
      <c r="DM5" s="4">
        <v>0</v>
      </c>
      <c r="DN5" s="4">
        <v>0</v>
      </c>
      <c r="DO5" s="4">
        <v>0</v>
      </c>
      <c r="DP5" s="4">
        <v>0</v>
      </c>
      <c r="DQ5" s="4">
        <v>0</v>
      </c>
      <c r="DR5" s="4">
        <v>0</v>
      </c>
      <c r="DS5" s="4">
        <v>0</v>
      </c>
      <c r="DT5" s="4">
        <v>0</v>
      </c>
      <c r="DU5" s="4">
        <v>2</v>
      </c>
      <c r="DV5" s="4">
        <v>0</v>
      </c>
      <c r="DW5" s="4">
        <v>0</v>
      </c>
      <c r="DX5" s="4">
        <v>1</v>
      </c>
      <c r="DY5" s="4" t="s">
        <v>359</v>
      </c>
      <c r="DZ5" s="4" t="s">
        <v>359</v>
      </c>
      <c r="EA5" s="4" t="s">
        <v>359</v>
      </c>
      <c r="EB5" s="4" t="s">
        <v>359</v>
      </c>
      <c r="EC5" s="4" t="s">
        <v>359</v>
      </c>
      <c r="ED5" s="4" t="s">
        <v>359</v>
      </c>
      <c r="EE5" s="4" t="s">
        <v>359</v>
      </c>
      <c r="EF5" s="4" t="s">
        <v>359</v>
      </c>
      <c r="EG5" s="4" t="s">
        <v>359</v>
      </c>
      <c r="EH5" s="4">
        <f>(Foglio1!$DE5+Foglio1!$DH5+Foglio1!$DG5+Foglio1!$DF5+Foglio1!$DM5+Foglio1!$DD5+Foglio1!$DO5+Foglio1!$DL5+Foglio1!$DN5+Foglio1!$DQ5+Foglio1!$DP5+Foglio1!$DT5+Foglio1!$DI5+Foglio1!$DK5+Foglio1!$DU5)</f>
        <v>5</v>
      </c>
      <c r="EI5" s="4" t="e">
        <f>(Foglio1!$EA5+Foglio1!$EB5+Foglio1!$EE5+Foglio1!$EC5+Foglio1!$ED5+Foglio1!$DZ5+Foglio1!$DY5)</f>
        <v>#VALUE!</v>
      </c>
      <c r="EJ5" s="4">
        <f>(Foglio1!$DW5+Foglio1!$DV5+Foglio1!$DX5)</f>
        <v>1</v>
      </c>
      <c r="EK5" s="4" t="e">
        <f>(Foglio1!$EG5+Foglio1!$EF5)</f>
        <v>#VALUE!</v>
      </c>
      <c r="EL5" s="4">
        <v>1</v>
      </c>
      <c r="EM5" s="4">
        <v>0</v>
      </c>
      <c r="EN5" s="4">
        <v>1</v>
      </c>
      <c r="EO5" s="4">
        <v>0</v>
      </c>
      <c r="EP5" s="4">
        <f t="array" ref="EP5">SUM(EL5:EO5/4)</f>
        <v>0.5</v>
      </c>
      <c r="EQ5" s="4">
        <v>1</v>
      </c>
      <c r="ER5" s="4">
        <v>1</v>
      </c>
      <c r="ES5" s="4">
        <v>0</v>
      </c>
      <c r="ET5" s="4">
        <v>1</v>
      </c>
      <c r="EU5" s="4" t="s">
        <v>464</v>
      </c>
      <c r="EV5" s="4">
        <v>0</v>
      </c>
      <c r="EW5" s="4" t="s">
        <v>465</v>
      </c>
      <c r="EX5" s="4">
        <v>1</v>
      </c>
      <c r="EY5" s="4">
        <f>(Foglio1!$EQ5+Foglio1!$ER5+Foglio1!$ES5+Foglio1!$ET5+Foglio1!$EV5+Foglio1!$EX5)/6</f>
        <v>0.66666666666666663</v>
      </c>
      <c r="EZ5" s="4">
        <v>1</v>
      </c>
      <c r="FA5" s="4">
        <v>1</v>
      </c>
      <c r="FB5" s="4">
        <v>1</v>
      </c>
      <c r="FC5" s="4">
        <f>(Foglio1!$EZ5+Foglio1!$FA5+Foglio1!$FB5)/3</f>
        <v>1</v>
      </c>
      <c r="FD5" s="4">
        <v>1</v>
      </c>
      <c r="FE5" s="4">
        <v>0</v>
      </c>
      <c r="FF5" s="4">
        <f>(Foglio1!$FD5+Foglio1!$FE5)/2</f>
        <v>0.5</v>
      </c>
      <c r="FG5" s="4" t="s">
        <v>466</v>
      </c>
      <c r="FH5" s="4">
        <v>1</v>
      </c>
      <c r="FI5" s="4" t="s">
        <v>467</v>
      </c>
      <c r="FJ5" s="4">
        <v>0</v>
      </c>
      <c r="FK5" s="4" t="s">
        <v>468</v>
      </c>
      <c r="FL5" s="4">
        <v>0</v>
      </c>
      <c r="FM5" s="4">
        <f>(Foglio1!$FH5+Foglio1!$FJ5+Foglio1!$FL5)/3</f>
        <v>0.33333333333333331</v>
      </c>
      <c r="FN5" s="4">
        <f>(Foglio1!$EP5)</f>
        <v>0.5</v>
      </c>
      <c r="FO5" s="4">
        <f>(Foglio1!$EY5+Foglio1!$FC5+Foglio1!$FF5+Foglio1!$FM5)/4</f>
        <v>0.625</v>
      </c>
      <c r="FP5" s="4">
        <f>(Foglio1!$EP5+Foglio1!$EY5+Foglio1!$FC5+Foglio1!$FF5+Foglio1!$FM5)/5</f>
        <v>0.6</v>
      </c>
      <c r="FQ5" s="6">
        <v>45468</v>
      </c>
      <c r="FR5" s="4">
        <v>2</v>
      </c>
      <c r="FS5" s="4">
        <v>2</v>
      </c>
      <c r="FT5" s="4">
        <v>2</v>
      </c>
      <c r="FU5" s="4">
        <v>2</v>
      </c>
      <c r="FV5" s="4">
        <v>1</v>
      </c>
      <c r="FW5" s="4">
        <v>0</v>
      </c>
      <c r="FX5" s="4">
        <v>0</v>
      </c>
      <c r="FY5" s="4">
        <v>4</v>
      </c>
      <c r="FZ5" s="4">
        <v>2</v>
      </c>
      <c r="GA5" s="4">
        <v>5</v>
      </c>
      <c r="GB5" s="4">
        <v>51</v>
      </c>
      <c r="GC5" s="4">
        <v>1</v>
      </c>
      <c r="GD5" s="4">
        <v>0</v>
      </c>
      <c r="GE5" s="4">
        <v>0</v>
      </c>
      <c r="GF5" s="4">
        <v>2</v>
      </c>
      <c r="GG5" s="4">
        <v>0</v>
      </c>
      <c r="GH5" s="4">
        <v>0</v>
      </c>
      <c r="GI5" s="4">
        <v>0</v>
      </c>
      <c r="GJ5" s="4">
        <v>1</v>
      </c>
      <c r="GK5" s="4">
        <v>0</v>
      </c>
      <c r="GL5" s="4">
        <v>0</v>
      </c>
      <c r="GM5" s="4">
        <v>0</v>
      </c>
      <c r="GN5" s="4">
        <v>2</v>
      </c>
      <c r="GO5" s="4">
        <v>2</v>
      </c>
      <c r="GP5" s="4">
        <v>3</v>
      </c>
      <c r="GQ5" s="4">
        <v>2</v>
      </c>
      <c r="GR5" s="4">
        <v>1</v>
      </c>
      <c r="GS5" s="4">
        <v>0</v>
      </c>
      <c r="GT5" s="4">
        <v>2</v>
      </c>
      <c r="GU5" s="4">
        <v>2</v>
      </c>
      <c r="GV5" s="4">
        <v>2</v>
      </c>
      <c r="GW5" s="4">
        <v>0</v>
      </c>
      <c r="GX5" s="4">
        <v>0</v>
      </c>
      <c r="GY5" s="4">
        <v>1</v>
      </c>
      <c r="GZ5" s="4">
        <v>0</v>
      </c>
      <c r="HA5" s="4">
        <v>0</v>
      </c>
      <c r="HB5" s="4">
        <v>1</v>
      </c>
      <c r="HC5" s="4">
        <v>1</v>
      </c>
      <c r="HD5" s="4">
        <v>0</v>
      </c>
      <c r="HE5" s="4">
        <v>1</v>
      </c>
      <c r="HF5" s="4">
        <v>0</v>
      </c>
      <c r="HG5" s="4">
        <f t="shared" ref="HG5:HG16" si="10">SUM(GC5:HF5)</f>
        <v>24</v>
      </c>
      <c r="HH5" s="4">
        <f t="shared" ref="HH5:HH16" si="11">SUM(GC5+GE5+GY5+GH5+GG5+GQ5+HB5+HF5-GN5)</f>
        <v>3</v>
      </c>
      <c r="HI5" s="4">
        <f t="shared" ref="HI5:HI16" si="12">SUM(GO5+GJ5+GK5+GM5+GW5+GL5+HF5+GX5+HC5-GD5)</f>
        <v>4</v>
      </c>
      <c r="HJ5" s="4">
        <f t="shared" ref="HJ5:HJ16" si="13">SUM(GP5+HA5+GZ5+GD5+GN5+GU5+HB5+HC5+HE5+GY5)</f>
        <v>11</v>
      </c>
      <c r="HK5" s="4">
        <f t="shared" ref="HK5:HK16" si="14">SUM(HD5+GF5+GI5+GX5+GG5+GL5+GT5+HF5)</f>
        <v>4</v>
      </c>
      <c r="HL5" s="4">
        <f t="shared" ref="HL5:HL16" si="15">SUM(GR5+GV5+GS5+GT5+GH5+GQ5+HE5+HF5)</f>
        <v>8</v>
      </c>
      <c r="HM5" s="4">
        <v>0</v>
      </c>
      <c r="HN5" s="4">
        <v>0</v>
      </c>
      <c r="HO5" s="4">
        <v>0</v>
      </c>
      <c r="HP5" s="4">
        <v>0</v>
      </c>
      <c r="HQ5" s="4">
        <v>0</v>
      </c>
      <c r="HR5" s="4">
        <v>0</v>
      </c>
      <c r="HS5" s="4">
        <v>0</v>
      </c>
      <c r="HT5" s="4">
        <v>0</v>
      </c>
      <c r="HU5" s="4">
        <v>0</v>
      </c>
      <c r="HV5" s="4">
        <v>0</v>
      </c>
      <c r="HW5" s="4">
        <v>0</v>
      </c>
      <c r="HX5" s="4">
        <v>0</v>
      </c>
      <c r="HY5" s="4">
        <v>0</v>
      </c>
      <c r="HZ5" s="4">
        <v>0</v>
      </c>
      <c r="IA5" s="4">
        <v>0</v>
      </c>
      <c r="IB5" s="4">
        <v>0</v>
      </c>
      <c r="IC5" s="4">
        <v>0</v>
      </c>
      <c r="ID5" s="4">
        <v>0</v>
      </c>
      <c r="IE5" s="4">
        <v>0</v>
      </c>
      <c r="IF5" s="4">
        <v>0</v>
      </c>
      <c r="IG5" s="4">
        <v>2</v>
      </c>
      <c r="IH5" s="7" t="s">
        <v>359</v>
      </c>
      <c r="II5" s="7" t="s">
        <v>359</v>
      </c>
      <c r="IJ5" s="7" t="s">
        <v>359</v>
      </c>
      <c r="IK5" s="7" t="s">
        <v>359</v>
      </c>
      <c r="IL5" s="7" t="s">
        <v>359</v>
      </c>
      <c r="IM5" s="7" t="s">
        <v>359</v>
      </c>
      <c r="IN5" s="7" t="s">
        <v>359</v>
      </c>
      <c r="IO5" s="7" t="s">
        <v>359</v>
      </c>
      <c r="IP5" s="7" t="s">
        <v>359</v>
      </c>
      <c r="IQ5" s="7" t="s">
        <v>359</v>
      </c>
      <c r="IR5" s="7" t="s">
        <v>359</v>
      </c>
      <c r="IS5" s="7" t="s">
        <v>359</v>
      </c>
      <c r="IT5" s="7" t="s">
        <v>359</v>
      </c>
      <c r="IU5" s="4" t="s">
        <v>383</v>
      </c>
      <c r="IV5" s="4" t="s">
        <v>383</v>
      </c>
      <c r="IW5" s="4" t="s">
        <v>383</v>
      </c>
      <c r="IX5" s="4" t="s">
        <v>383</v>
      </c>
      <c r="IY5" s="4">
        <v>1</v>
      </c>
      <c r="IZ5" s="4">
        <v>0</v>
      </c>
      <c r="JA5" s="4">
        <v>1</v>
      </c>
      <c r="JB5" s="4">
        <v>1</v>
      </c>
      <c r="JC5" s="4">
        <f>(Foglio1!$IY5+Foglio1!$IZ5+Foglio1!$JA5+Foglio1!$JB5)/4</f>
        <v>0.75</v>
      </c>
      <c r="JD5" s="4">
        <v>1</v>
      </c>
      <c r="JE5" s="4">
        <v>0</v>
      </c>
      <c r="JF5" s="4">
        <v>1</v>
      </c>
      <c r="JG5" s="4">
        <v>1</v>
      </c>
      <c r="JH5" s="4" t="s">
        <v>469</v>
      </c>
      <c r="JI5" s="4">
        <v>1</v>
      </c>
      <c r="JJ5" s="4" t="s">
        <v>470</v>
      </c>
      <c r="JK5" s="4">
        <v>1</v>
      </c>
      <c r="JL5" s="4">
        <f>(Foglio1!$JD5+Foglio1!$JE5+Foglio1!$JF5+Foglio1!$JG5+Foglio1!$JI5+Foglio1!$JK5)/6</f>
        <v>0.83333333333333337</v>
      </c>
      <c r="JM5" s="4">
        <v>0</v>
      </c>
      <c r="JN5" s="4">
        <v>1</v>
      </c>
      <c r="JO5" s="4">
        <v>1</v>
      </c>
      <c r="JP5" s="4">
        <f>(Foglio1!$JM5+Foglio1!$JN5+Foglio1!$JO5)/3</f>
        <v>0.66666666666666663</v>
      </c>
      <c r="JQ5" s="4">
        <v>1</v>
      </c>
      <c r="JR5" s="4">
        <v>0</v>
      </c>
      <c r="JS5" s="4">
        <f>(Foglio1!$JQ5+Foglio1!$JR5)/2</f>
        <v>0.5</v>
      </c>
      <c r="JT5" s="4" t="s">
        <v>471</v>
      </c>
      <c r="JU5" s="4">
        <v>1</v>
      </c>
      <c r="JV5" s="4" t="s">
        <v>472</v>
      </c>
      <c r="JW5" s="4">
        <v>0</v>
      </c>
      <c r="JX5" s="4" t="s">
        <v>473</v>
      </c>
      <c r="JY5" s="4">
        <v>0</v>
      </c>
      <c r="JZ5" s="4">
        <f>(Foglio1!$JU5+Foglio1!$JW5+Foglio1!$JY5)/3</f>
        <v>0.33333333333333331</v>
      </c>
      <c r="KA5" s="4">
        <f>(Foglio1!$JC5)</f>
        <v>0.75</v>
      </c>
      <c r="KB5" s="4">
        <f>(Foglio1!$JL5+Foglio1!$JP5+Foglio1!$JS5+Foglio1!$JZ5)/4</f>
        <v>0.58333333333333337</v>
      </c>
      <c r="KC5" s="4">
        <f>(Foglio1!$JC5+Foglio1!$JL5+Foglio1!$JP5+Foglio1!$JS5+Foglio1!$JZ5)/5</f>
        <v>0.6166666666666667</v>
      </c>
      <c r="KD5" s="4" t="s">
        <v>474</v>
      </c>
      <c r="KE5" s="4">
        <v>0</v>
      </c>
      <c r="KF5" s="4">
        <v>2</v>
      </c>
      <c r="KG5" s="4" t="s">
        <v>475</v>
      </c>
      <c r="KH5" s="4">
        <v>0</v>
      </c>
      <c r="KI5" s="4">
        <v>3</v>
      </c>
      <c r="KJ5" s="4" t="s">
        <v>476</v>
      </c>
      <c r="KK5" s="4">
        <v>2</v>
      </c>
      <c r="KL5" s="4">
        <v>2</v>
      </c>
      <c r="KM5" s="4" t="s">
        <v>477</v>
      </c>
      <c r="KN5" s="4">
        <v>0</v>
      </c>
      <c r="KO5" s="4">
        <v>1</v>
      </c>
      <c r="KP5" s="4" t="s">
        <v>478</v>
      </c>
      <c r="KQ5" s="4">
        <v>2</v>
      </c>
      <c r="KR5" s="4">
        <v>2</v>
      </c>
      <c r="KS5" s="4" t="s">
        <v>479</v>
      </c>
      <c r="KT5" s="4">
        <v>2</v>
      </c>
      <c r="KU5" s="4">
        <v>1</v>
      </c>
      <c r="KV5" s="4" t="s">
        <v>480</v>
      </c>
      <c r="KW5" s="4">
        <v>1</v>
      </c>
      <c r="KX5" s="4">
        <v>1</v>
      </c>
      <c r="KY5" s="4" t="s">
        <v>481</v>
      </c>
      <c r="KZ5" s="4">
        <v>2</v>
      </c>
      <c r="LA5" s="4">
        <v>3</v>
      </c>
      <c r="LB5" s="4" t="s">
        <v>482</v>
      </c>
      <c r="LC5" s="4">
        <v>2</v>
      </c>
      <c r="LD5" s="4">
        <v>1</v>
      </c>
      <c r="LE5" s="4" t="s">
        <v>483</v>
      </c>
      <c r="LF5" s="4">
        <v>1</v>
      </c>
      <c r="LG5" s="4">
        <v>2</v>
      </c>
      <c r="LH5" s="4" t="s">
        <v>398</v>
      </c>
      <c r="LI5" s="4">
        <v>2</v>
      </c>
      <c r="LJ5" s="4">
        <v>1</v>
      </c>
      <c r="LK5" s="4" t="s">
        <v>484</v>
      </c>
      <c r="LL5" s="4">
        <v>1</v>
      </c>
      <c r="LM5" s="4">
        <v>2</v>
      </c>
      <c r="LN5" s="4" t="s">
        <v>485</v>
      </c>
      <c r="LO5" s="4">
        <v>1</v>
      </c>
      <c r="LP5" s="4">
        <v>1</v>
      </c>
      <c r="LQ5" s="4" t="s">
        <v>486</v>
      </c>
      <c r="LR5" s="4">
        <v>2</v>
      </c>
      <c r="LS5" s="4">
        <v>2</v>
      </c>
      <c r="LT5" s="4">
        <f>(Foglio1!$KE5+Foglio1!$KH5+Foglio1!$KK5+Foglio1!$KN5+Foglio1!$KQ5+Foglio1!$KT5+Foglio1!$KW5+Foglio1!$KZ5+Foglio1!$LC5+Foglio1!$LF5+Foglio1!$LI5+Foglio1!$LL5+Foglio1!$LO5+Foglio1!$LR5)</f>
        <v>18</v>
      </c>
      <c r="LU5" s="4">
        <f>(Foglio1!$KI5+Foglio1!$KF5+Foglio1!$KL5+Foglio1!$KO5+Foglio1!$KR5+Foglio1!$KU5+Foglio1!$KX5+Foglio1!$LA5+Foglio1!$LD5+Foglio1!$LG5+Foglio1!$LJ5+Foglio1!$LM5+Foglio1!$LP5+Foglio1!$LS5)</f>
        <v>24</v>
      </c>
      <c r="LV5" s="4">
        <v>15</v>
      </c>
      <c r="LW5" s="4">
        <v>45</v>
      </c>
      <c r="LX5" s="4">
        <v>19</v>
      </c>
      <c r="LY5" s="4">
        <v>31</v>
      </c>
      <c r="LZ5" s="3">
        <v>0</v>
      </c>
      <c r="MA5" s="3">
        <v>0</v>
      </c>
      <c r="MB5" s="3">
        <v>1</v>
      </c>
      <c r="MC5" s="3">
        <v>1</v>
      </c>
      <c r="MD5" s="3">
        <f t="shared" si="7"/>
        <v>2</v>
      </c>
      <c r="ME5" s="3">
        <v>1</v>
      </c>
      <c r="MF5" s="3">
        <v>2</v>
      </c>
      <c r="MG5" s="3">
        <v>0</v>
      </c>
      <c r="MH5" s="3">
        <v>0</v>
      </c>
      <c r="MI5" s="3">
        <f t="shared" si="8"/>
        <v>3</v>
      </c>
    </row>
    <row r="6" spans="1:347" ht="15.75" customHeight="1" x14ac:dyDescent="0.25">
      <c r="A6" s="8" t="s">
        <v>487</v>
      </c>
      <c r="B6" s="4">
        <v>55</v>
      </c>
      <c r="C6" s="4" t="s">
        <v>403</v>
      </c>
      <c r="D6" s="4">
        <v>8</v>
      </c>
      <c r="E6" s="4">
        <v>1</v>
      </c>
      <c r="F6" s="4" t="s">
        <v>350</v>
      </c>
      <c r="G6" s="4" t="s">
        <v>404</v>
      </c>
      <c r="H6" s="4" t="s">
        <v>352</v>
      </c>
      <c r="I6" s="4" t="s">
        <v>405</v>
      </c>
      <c r="J6" s="4" t="s">
        <v>356</v>
      </c>
      <c r="K6" s="4"/>
      <c r="L6" s="5" t="s">
        <v>356</v>
      </c>
      <c r="M6" s="4" t="s">
        <v>357</v>
      </c>
      <c r="N6" s="4" t="s">
        <v>406</v>
      </c>
      <c r="O6" s="6">
        <v>45456</v>
      </c>
      <c r="P6" s="6">
        <v>45475</v>
      </c>
      <c r="Q6" s="4" t="s">
        <v>488</v>
      </c>
      <c r="R6" s="4" t="s">
        <v>355</v>
      </c>
      <c r="S6" s="4" t="s">
        <v>355</v>
      </c>
      <c r="T6" s="4" t="s">
        <v>360</v>
      </c>
      <c r="U6" s="4" t="s">
        <v>355</v>
      </c>
      <c r="V6" s="4" t="s">
        <v>489</v>
      </c>
      <c r="W6" s="4" t="s">
        <v>408</v>
      </c>
      <c r="X6" s="4" t="s">
        <v>412</v>
      </c>
      <c r="Y6" s="4" t="s">
        <v>490</v>
      </c>
      <c r="Z6" s="4" t="s">
        <v>363</v>
      </c>
      <c r="AA6" s="4"/>
      <c r="AB6" s="4"/>
      <c r="AC6" s="4"/>
      <c r="AD6" s="4"/>
      <c r="AE6" s="4"/>
      <c r="AF6" s="4"/>
      <c r="AG6" s="4"/>
      <c r="AH6" s="4" t="s">
        <v>408</v>
      </c>
      <c r="AI6" s="4" t="s">
        <v>491</v>
      </c>
      <c r="AJ6" s="4" t="s">
        <v>490</v>
      </c>
      <c r="AK6" s="4" t="s">
        <v>492</v>
      </c>
      <c r="AL6" s="4" t="s">
        <v>363</v>
      </c>
      <c r="AM6" s="4" t="s">
        <v>493</v>
      </c>
      <c r="AN6" s="4" t="s">
        <v>494</v>
      </c>
      <c r="AO6" s="5" t="s">
        <v>383</v>
      </c>
      <c r="AP6" s="5" t="s">
        <v>383</v>
      </c>
      <c r="AQ6" s="5" t="s">
        <v>383</v>
      </c>
      <c r="AR6" s="5" t="s">
        <v>383</v>
      </c>
      <c r="AS6" s="5" t="s">
        <v>383</v>
      </c>
      <c r="AT6" s="5" t="s">
        <v>383</v>
      </c>
      <c r="AU6" s="5" t="s">
        <v>383</v>
      </c>
      <c r="AV6" s="5" t="s">
        <v>383</v>
      </c>
      <c r="AW6" s="5" t="s">
        <v>383</v>
      </c>
      <c r="AX6" s="4">
        <v>4</v>
      </c>
      <c r="AY6" s="4"/>
      <c r="AZ6" s="4" t="s">
        <v>360</v>
      </c>
      <c r="BA6" s="4">
        <f t="shared" si="9"/>
        <v>19</v>
      </c>
      <c r="BB6" s="4">
        <v>0</v>
      </c>
      <c r="BC6" s="4" t="s">
        <v>360</v>
      </c>
      <c r="BD6" s="4" t="s">
        <v>495</v>
      </c>
      <c r="BE6" s="4" t="s">
        <v>360</v>
      </c>
      <c r="BF6" s="4" t="s">
        <v>355</v>
      </c>
      <c r="BG6" s="6">
        <v>45463</v>
      </c>
      <c r="BH6" s="4">
        <v>3</v>
      </c>
      <c r="BI6" s="4">
        <v>3</v>
      </c>
      <c r="BJ6" s="4">
        <v>4</v>
      </c>
      <c r="BK6" s="4">
        <v>0</v>
      </c>
      <c r="BL6" s="4">
        <v>4</v>
      </c>
      <c r="BM6" s="4">
        <v>4</v>
      </c>
      <c r="BN6" s="4">
        <v>4</v>
      </c>
      <c r="BO6" s="4">
        <f>SUM(Foglio1!$BH6:$BM6)</f>
        <v>18</v>
      </c>
      <c r="BP6" s="4">
        <v>4</v>
      </c>
      <c r="BQ6" s="4">
        <v>3</v>
      </c>
      <c r="BR6" s="4">
        <v>9</v>
      </c>
      <c r="BS6" s="4">
        <v>35</v>
      </c>
      <c r="BT6" s="4">
        <v>5</v>
      </c>
      <c r="BU6" s="4">
        <v>3</v>
      </c>
      <c r="BV6" s="4">
        <v>2</v>
      </c>
      <c r="BW6" s="4">
        <v>2</v>
      </c>
      <c r="BX6" s="4">
        <v>1</v>
      </c>
      <c r="BY6" s="4">
        <v>3</v>
      </c>
      <c r="BZ6" s="4">
        <v>2</v>
      </c>
      <c r="CA6" s="4">
        <v>1</v>
      </c>
      <c r="CB6" s="4">
        <v>1</v>
      </c>
      <c r="CC6" s="4">
        <v>1</v>
      </c>
      <c r="CD6" s="4">
        <v>1</v>
      </c>
      <c r="CE6" s="4">
        <v>1</v>
      </c>
      <c r="CF6" s="4">
        <v>1</v>
      </c>
      <c r="CG6" s="4">
        <v>1</v>
      </c>
      <c r="CH6" s="4">
        <v>1</v>
      </c>
      <c r="CI6" s="4">
        <v>1</v>
      </c>
      <c r="CJ6" s="4">
        <v>4</v>
      </c>
      <c r="CK6" s="4">
        <v>2</v>
      </c>
      <c r="CL6" s="4">
        <v>2</v>
      </c>
      <c r="CM6" s="4">
        <v>3</v>
      </c>
      <c r="CN6" s="4">
        <v>1</v>
      </c>
      <c r="CO6" s="4">
        <v>3</v>
      </c>
      <c r="CP6" s="4">
        <v>5</v>
      </c>
      <c r="CQ6" s="4">
        <v>1</v>
      </c>
      <c r="CR6" s="4">
        <v>1</v>
      </c>
      <c r="CS6" s="4">
        <v>5</v>
      </c>
      <c r="CT6" s="4">
        <v>2</v>
      </c>
      <c r="CU6" s="4">
        <v>2</v>
      </c>
      <c r="CV6" s="4">
        <v>3</v>
      </c>
      <c r="CW6" s="4">
        <v>3</v>
      </c>
      <c r="CX6" s="4">
        <f>SUM(Foglio1!$BT6:$CW6)</f>
        <v>64</v>
      </c>
      <c r="CY6" s="4">
        <f>SUM(Foglio1!$BT6+Foglio1!$BV6+Foglio1!$CP6+Foglio1!$BY6+Foglio1!$BX6+Foglio1!$CH6+Foglio1!$CS6+Foglio1!$CW6-Foglio1!$CE6)</f>
        <v>24</v>
      </c>
      <c r="CZ6" s="4">
        <f>SUM(Foglio1!$CF6+Foglio1!$CA6+Foglio1!$CB6+Foglio1!$CD6+Foglio1!$CN6+Foglio1!$CC6+Foglio1!$CW6+Foglio1!$CO6+Foglio1!$CT6-Foglio1!$BU6)</f>
        <v>11</v>
      </c>
      <c r="DA6" s="4">
        <f>SUM(Foglio1!$CG6+Foglio1!$CR6+Foglio1!$CQ6+Foglio1!$BU6+Foglio1!$CE6+Foglio1!$CL6+Foglio1!$CS6+Foglio1!$CT6+Foglio1!$CV6+Foglio1!$CP6)</f>
        <v>24</v>
      </c>
      <c r="DB6" s="4">
        <f>SUM(Foglio1!$CU6+Foglio1!$BW6+Foglio1!$BZ6+Foglio1!$CO6+Foglio1!$BX6+Foglio1!$CC6+Foglio1!$CK6+Foglio1!$CW6)</f>
        <v>16</v>
      </c>
      <c r="DC6" s="4">
        <f>SUM(Foglio1!$CI6+Foglio1!$CM6+Foglio1!$CJ6+Foglio1!$CK6+Foglio1!$BY6+Foglio1!$CH6+Foglio1!$CV6+Foglio1!$CW6)</f>
        <v>20</v>
      </c>
      <c r="DD6" s="4">
        <v>4</v>
      </c>
      <c r="DE6" s="4">
        <v>4</v>
      </c>
      <c r="DF6" s="4">
        <v>3</v>
      </c>
      <c r="DG6" s="4">
        <v>0</v>
      </c>
      <c r="DH6" s="4">
        <v>1</v>
      </c>
      <c r="DI6" s="4">
        <v>2</v>
      </c>
      <c r="DJ6" s="4">
        <v>0</v>
      </c>
      <c r="DK6" s="4">
        <v>0</v>
      </c>
      <c r="DL6" s="4">
        <v>2</v>
      </c>
      <c r="DM6" s="4">
        <v>3</v>
      </c>
      <c r="DN6" s="4">
        <v>0</v>
      </c>
      <c r="DO6" s="4">
        <v>0</v>
      </c>
      <c r="DP6" s="4">
        <v>0</v>
      </c>
      <c r="DQ6" s="4">
        <v>0</v>
      </c>
      <c r="DR6" s="4">
        <v>0</v>
      </c>
      <c r="DS6" s="4">
        <v>0</v>
      </c>
      <c r="DT6" s="4">
        <v>2</v>
      </c>
      <c r="DU6" s="4">
        <v>1</v>
      </c>
      <c r="DV6" s="4">
        <v>0</v>
      </c>
      <c r="DW6" s="4">
        <v>0</v>
      </c>
      <c r="DX6" s="4">
        <v>1</v>
      </c>
      <c r="DY6" s="4" t="s">
        <v>359</v>
      </c>
      <c r="DZ6" s="4" t="s">
        <v>359</v>
      </c>
      <c r="EA6" s="4" t="s">
        <v>359</v>
      </c>
      <c r="EB6" s="4" t="s">
        <v>359</v>
      </c>
      <c r="EC6" s="4" t="s">
        <v>359</v>
      </c>
      <c r="ED6" s="4" t="s">
        <v>359</v>
      </c>
      <c r="EE6" s="4" t="s">
        <v>359</v>
      </c>
      <c r="EF6" s="4" t="s">
        <v>359</v>
      </c>
      <c r="EG6" s="4" t="s">
        <v>359</v>
      </c>
      <c r="EH6" s="4">
        <f>(Foglio1!$DE6+Foglio1!$DH6+Foglio1!$DG6+Foglio1!$DF6+Foglio1!$DM6+Foglio1!$DD6+Foglio1!$DO6+Foglio1!$DL6+Foglio1!$DN6+Foglio1!$DQ6+Foglio1!$DP6+Foglio1!$DT6+Foglio1!$DI6+Foglio1!$DK6+Foglio1!$DU6)</f>
        <v>22</v>
      </c>
      <c r="EI6" s="4" t="e">
        <f>(Foglio1!$EA6+Foglio1!$EB6+Foglio1!$EE6+Foglio1!$EC6+Foglio1!$ED6+Foglio1!$DZ6+Foglio1!$DY6)</f>
        <v>#VALUE!</v>
      </c>
      <c r="EJ6" s="4">
        <f>(Foglio1!$DW6+Foglio1!$DV6+Foglio1!$DX6)</f>
        <v>1</v>
      </c>
      <c r="EK6" s="4" t="e">
        <f>(Foglio1!$EG6+Foglio1!$EF6)</f>
        <v>#VALUE!</v>
      </c>
      <c r="EL6" s="4">
        <v>0</v>
      </c>
      <c r="EM6" s="4">
        <v>1</v>
      </c>
      <c r="EN6" s="4">
        <v>1</v>
      </c>
      <c r="EO6" s="4">
        <v>0</v>
      </c>
      <c r="EP6" s="4">
        <f t="array" ref="EP6">SUM(EL6:EO6/4)</f>
        <v>0.5</v>
      </c>
      <c r="EQ6" s="4">
        <v>1</v>
      </c>
      <c r="ER6" s="4">
        <v>0</v>
      </c>
      <c r="ES6" s="4">
        <v>0</v>
      </c>
      <c r="ET6" s="4">
        <v>0</v>
      </c>
      <c r="EU6" s="4" t="s">
        <v>496</v>
      </c>
      <c r="EV6" s="4">
        <v>1</v>
      </c>
      <c r="EW6" s="4" t="s">
        <v>497</v>
      </c>
      <c r="EX6" s="4">
        <v>1</v>
      </c>
      <c r="EY6" s="4">
        <f>(Foglio1!$EQ6+Foglio1!$ER6+Foglio1!$ES6+Foglio1!$ET6+Foglio1!$EV6+Foglio1!$EX6)/6</f>
        <v>0.5</v>
      </c>
      <c r="EZ6" s="4">
        <v>1</v>
      </c>
      <c r="FA6" s="4">
        <v>1</v>
      </c>
      <c r="FB6" s="4">
        <v>1</v>
      </c>
      <c r="FC6" s="4">
        <f>(Foglio1!$EZ6+Foglio1!$FA6+Foglio1!$FB6)/3</f>
        <v>1</v>
      </c>
      <c r="FD6" s="4">
        <v>1</v>
      </c>
      <c r="FE6" s="4">
        <v>1</v>
      </c>
      <c r="FF6" s="4">
        <f>(Foglio1!$FD6+Foglio1!$FE6)/2</f>
        <v>1</v>
      </c>
      <c r="FG6" s="4" t="s">
        <v>498</v>
      </c>
      <c r="FH6" s="4">
        <v>0</v>
      </c>
      <c r="FI6" s="4" t="s">
        <v>499</v>
      </c>
      <c r="FJ6" s="4">
        <v>1</v>
      </c>
      <c r="FK6" s="4" t="s">
        <v>500</v>
      </c>
      <c r="FL6" s="4">
        <v>1</v>
      </c>
      <c r="FM6" s="4">
        <f>(Foglio1!$FH6+Foglio1!$FJ6+Foglio1!$FL6)/3</f>
        <v>0.66666666666666663</v>
      </c>
      <c r="FN6" s="4">
        <f>(Foglio1!$EP6)</f>
        <v>0.5</v>
      </c>
      <c r="FO6" s="4">
        <f>(Foglio1!$EY6+Foglio1!$FC6+Foglio1!$FF6+Foglio1!$FM6)/4</f>
        <v>0.79166666666666663</v>
      </c>
      <c r="FP6" s="4">
        <f>(Foglio1!$EP6+Foglio1!$EY6+Foglio1!$FC6+Foglio1!$FF6+Foglio1!$FM6)/5</f>
        <v>0.73333333333333328</v>
      </c>
      <c r="FQ6" s="6">
        <v>45474</v>
      </c>
      <c r="FR6" s="4">
        <v>3</v>
      </c>
      <c r="FS6" s="4">
        <v>0</v>
      </c>
      <c r="FT6" s="4">
        <v>1</v>
      </c>
      <c r="FU6" s="4">
        <v>3</v>
      </c>
      <c r="FV6" s="4">
        <v>3</v>
      </c>
      <c r="FW6" s="4">
        <v>2</v>
      </c>
      <c r="FX6" s="4">
        <v>3</v>
      </c>
      <c r="FY6" s="4">
        <v>4</v>
      </c>
      <c r="FZ6" s="4">
        <v>0</v>
      </c>
      <c r="GA6" s="4">
        <v>0</v>
      </c>
      <c r="GB6" s="4">
        <v>45</v>
      </c>
      <c r="GC6" s="4">
        <v>4</v>
      </c>
      <c r="GD6" s="4">
        <v>1</v>
      </c>
      <c r="GE6" s="4">
        <v>0</v>
      </c>
      <c r="GF6" s="4">
        <v>2</v>
      </c>
      <c r="GG6" s="4">
        <v>0</v>
      </c>
      <c r="GH6" s="4">
        <v>4</v>
      </c>
      <c r="GI6" s="4">
        <v>0</v>
      </c>
      <c r="GJ6" s="4">
        <v>0</v>
      </c>
      <c r="GK6" s="4">
        <v>0</v>
      </c>
      <c r="GL6" s="4">
        <v>0</v>
      </c>
      <c r="GM6" s="4">
        <v>2</v>
      </c>
      <c r="GN6" s="4">
        <v>1</v>
      </c>
      <c r="GO6" s="4">
        <v>0</v>
      </c>
      <c r="GP6" s="4">
        <v>0</v>
      </c>
      <c r="GQ6" s="4">
        <v>0</v>
      </c>
      <c r="GR6" s="4">
        <v>2</v>
      </c>
      <c r="GS6" s="4">
        <v>4</v>
      </c>
      <c r="GT6" s="4">
        <v>2</v>
      </c>
      <c r="GU6" s="4">
        <v>0</v>
      </c>
      <c r="GV6" s="4">
        <v>1</v>
      </c>
      <c r="GW6" s="4">
        <v>0</v>
      </c>
      <c r="GX6" s="4">
        <v>0</v>
      </c>
      <c r="GY6" s="4">
        <v>4</v>
      </c>
      <c r="GZ6" s="4">
        <v>0</v>
      </c>
      <c r="HA6" s="4">
        <v>0</v>
      </c>
      <c r="HB6" s="4">
        <v>4</v>
      </c>
      <c r="HC6" s="4">
        <v>0</v>
      </c>
      <c r="HD6" s="4">
        <v>0</v>
      </c>
      <c r="HE6" s="4">
        <v>2</v>
      </c>
      <c r="HF6" s="4">
        <v>4</v>
      </c>
      <c r="HG6" s="4">
        <f t="shared" si="10"/>
        <v>37</v>
      </c>
      <c r="HH6" s="4">
        <f t="shared" si="11"/>
        <v>19</v>
      </c>
      <c r="HI6" s="4">
        <f t="shared" si="12"/>
        <v>5</v>
      </c>
      <c r="HJ6" s="4">
        <f t="shared" si="13"/>
        <v>12</v>
      </c>
      <c r="HK6" s="4">
        <f t="shared" si="14"/>
        <v>8</v>
      </c>
      <c r="HL6" s="4">
        <f t="shared" si="15"/>
        <v>19</v>
      </c>
      <c r="HM6" s="4">
        <v>3</v>
      </c>
      <c r="HN6" s="4">
        <v>3</v>
      </c>
      <c r="HO6" s="4">
        <v>3</v>
      </c>
      <c r="HP6" s="4">
        <v>1</v>
      </c>
      <c r="HQ6" s="4">
        <v>2</v>
      </c>
      <c r="HR6" s="4">
        <v>2</v>
      </c>
      <c r="HS6" s="4">
        <v>0</v>
      </c>
      <c r="HT6" s="4">
        <v>0</v>
      </c>
      <c r="HU6" s="4">
        <v>2</v>
      </c>
      <c r="HV6" s="4">
        <v>2</v>
      </c>
      <c r="HW6" s="4">
        <v>0</v>
      </c>
      <c r="HX6" s="4">
        <v>0</v>
      </c>
      <c r="HY6" s="4">
        <v>0</v>
      </c>
      <c r="HZ6" s="4">
        <v>0</v>
      </c>
      <c r="IA6" s="4">
        <v>0</v>
      </c>
      <c r="IB6" s="4">
        <v>0</v>
      </c>
      <c r="IC6" s="4">
        <v>0</v>
      </c>
      <c r="ID6" s="4">
        <v>2</v>
      </c>
      <c r="IE6" s="4">
        <v>0</v>
      </c>
      <c r="IF6" s="4">
        <v>0</v>
      </c>
      <c r="IG6" s="4">
        <v>0</v>
      </c>
      <c r="IH6" s="7" t="s">
        <v>359</v>
      </c>
      <c r="II6" s="7" t="s">
        <v>359</v>
      </c>
      <c r="IJ6" s="7" t="s">
        <v>359</v>
      </c>
      <c r="IK6" s="7" t="s">
        <v>359</v>
      </c>
      <c r="IL6" s="7" t="s">
        <v>359</v>
      </c>
      <c r="IM6" s="7" t="s">
        <v>359</v>
      </c>
      <c r="IN6" s="7" t="s">
        <v>359</v>
      </c>
      <c r="IO6" s="7" t="s">
        <v>359</v>
      </c>
      <c r="IP6" s="7" t="s">
        <v>359</v>
      </c>
      <c r="IQ6" s="7" t="s">
        <v>359</v>
      </c>
      <c r="IR6" s="7" t="s">
        <v>359</v>
      </c>
      <c r="IS6" s="7" t="s">
        <v>359</v>
      </c>
      <c r="IT6" s="7" t="s">
        <v>359</v>
      </c>
      <c r="IU6" s="4" t="s">
        <v>383</v>
      </c>
      <c r="IV6" s="4" t="s">
        <v>383</v>
      </c>
      <c r="IW6" s="4" t="s">
        <v>383</v>
      </c>
      <c r="IX6" s="4" t="s">
        <v>383</v>
      </c>
      <c r="IY6" s="4">
        <v>0</v>
      </c>
      <c r="IZ6" s="4">
        <v>1</v>
      </c>
      <c r="JA6" s="4">
        <v>1</v>
      </c>
      <c r="JB6" s="4">
        <v>1</v>
      </c>
      <c r="JC6" s="4">
        <f>(Foglio1!$IY6+Foglio1!$IZ6+Foglio1!$JA6+Foglio1!$JB6)/4</f>
        <v>0.75</v>
      </c>
      <c r="JD6" s="4">
        <v>1</v>
      </c>
      <c r="JE6" s="4">
        <v>1</v>
      </c>
      <c r="JF6" s="4">
        <v>1</v>
      </c>
      <c r="JG6" s="4">
        <v>1</v>
      </c>
      <c r="JH6" s="4" t="s">
        <v>501</v>
      </c>
      <c r="JI6" s="4">
        <v>1</v>
      </c>
      <c r="JJ6" s="4" t="s">
        <v>502</v>
      </c>
      <c r="JK6" s="4">
        <v>1</v>
      </c>
      <c r="JL6" s="4">
        <f>(Foglio1!$JD6+Foglio1!$JE6+Foglio1!$JF6+Foglio1!$JG6+Foglio1!$JI6+Foglio1!$JK6)/6</f>
        <v>1</v>
      </c>
      <c r="JM6" s="4">
        <v>1</v>
      </c>
      <c r="JN6" s="4">
        <v>1</v>
      </c>
      <c r="JO6" s="4">
        <v>1</v>
      </c>
      <c r="JP6" s="4">
        <f>(Foglio1!$JM6+Foglio1!$JN6+Foglio1!$JO6)/3</f>
        <v>1</v>
      </c>
      <c r="JQ6" s="4">
        <v>0</v>
      </c>
      <c r="JR6" s="4">
        <v>0</v>
      </c>
      <c r="JS6" s="4">
        <f>(Foglio1!$JQ6+Foglio1!$JR6)/2</f>
        <v>0</v>
      </c>
      <c r="JT6" s="4" t="s">
        <v>503</v>
      </c>
      <c r="JU6" s="4">
        <v>0</v>
      </c>
      <c r="JV6" s="4" t="s">
        <v>504</v>
      </c>
      <c r="JW6" s="4">
        <v>1</v>
      </c>
      <c r="JX6" s="4" t="s">
        <v>505</v>
      </c>
      <c r="JY6" s="4">
        <v>1</v>
      </c>
      <c r="JZ6" s="4">
        <f>(Foglio1!$JU6+Foglio1!$JW6+Foglio1!$JY6)/3</f>
        <v>0.66666666666666663</v>
      </c>
      <c r="KA6" s="4">
        <f>(Foglio1!$JC6)</f>
        <v>0.75</v>
      </c>
      <c r="KB6" s="4">
        <f>(Foglio1!$JL6+Foglio1!$JP6+Foglio1!$JS6+Foglio1!$JZ6)/4</f>
        <v>0.66666666666666663</v>
      </c>
      <c r="KC6" s="4">
        <f>(Foglio1!$JC6+Foglio1!$JL6+Foglio1!$JP6+Foglio1!$JS6+Foglio1!$JZ6)/5</f>
        <v>0.68333333333333335</v>
      </c>
      <c r="KD6" s="4" t="s">
        <v>506</v>
      </c>
      <c r="KE6" s="4">
        <v>1</v>
      </c>
      <c r="KF6" s="4">
        <v>1</v>
      </c>
      <c r="KG6" s="4" t="s">
        <v>507</v>
      </c>
      <c r="KH6" s="4">
        <v>1</v>
      </c>
      <c r="KI6" s="4">
        <v>1</v>
      </c>
      <c r="KJ6" s="4" t="s">
        <v>508</v>
      </c>
      <c r="KK6" s="4">
        <v>2</v>
      </c>
      <c r="KL6" s="4">
        <v>2</v>
      </c>
      <c r="KM6" s="4" t="s">
        <v>509</v>
      </c>
      <c r="KN6" s="4">
        <v>1</v>
      </c>
      <c r="KO6" s="4">
        <v>1</v>
      </c>
      <c r="KP6" s="4" t="s">
        <v>510</v>
      </c>
      <c r="KQ6" s="4">
        <v>1</v>
      </c>
      <c r="KR6" s="4">
        <v>2</v>
      </c>
      <c r="KS6" s="4" t="s">
        <v>511</v>
      </c>
      <c r="KT6" s="4">
        <v>2</v>
      </c>
      <c r="KU6" s="4">
        <v>1</v>
      </c>
      <c r="KV6" s="4" t="s">
        <v>512</v>
      </c>
      <c r="KW6" s="4">
        <v>0</v>
      </c>
      <c r="KX6" s="4">
        <v>0</v>
      </c>
      <c r="KY6" s="4" t="s">
        <v>513</v>
      </c>
      <c r="KZ6" s="4">
        <v>1</v>
      </c>
      <c r="LA6" s="4">
        <v>2</v>
      </c>
      <c r="LB6" s="4" t="s">
        <v>514</v>
      </c>
      <c r="LC6" s="4">
        <v>2</v>
      </c>
      <c r="LD6" s="4">
        <v>1</v>
      </c>
      <c r="LE6" s="4" t="s">
        <v>515</v>
      </c>
      <c r="LF6" s="4">
        <v>2</v>
      </c>
      <c r="LG6" s="4">
        <v>2</v>
      </c>
      <c r="LH6" s="4" t="s">
        <v>516</v>
      </c>
      <c r="LI6" s="4">
        <v>2</v>
      </c>
      <c r="LJ6" s="4">
        <v>1</v>
      </c>
      <c r="LK6" s="4" t="s">
        <v>517</v>
      </c>
      <c r="LL6" s="4">
        <v>2</v>
      </c>
      <c r="LM6" s="4">
        <v>2</v>
      </c>
      <c r="LN6" s="4" t="s">
        <v>518</v>
      </c>
      <c r="LO6" s="4">
        <v>2</v>
      </c>
      <c r="LP6" s="4">
        <v>1</v>
      </c>
      <c r="LQ6" s="4" t="s">
        <v>519</v>
      </c>
      <c r="LR6" s="4">
        <v>1</v>
      </c>
      <c r="LS6" s="4">
        <v>2</v>
      </c>
      <c r="LT6" s="4">
        <f>(Foglio1!$KE6+Foglio1!$KH6+Foglio1!$KK6+Foglio1!$KN6+Foglio1!$KQ6+Foglio1!$KT6+Foglio1!$KW6+Foglio1!$KZ6+Foglio1!$LC6+Foglio1!$LF6+Foglio1!$LI6+Foglio1!$LL6+Foglio1!$LO6+Foglio1!$LR6)</f>
        <v>20</v>
      </c>
      <c r="LU6" s="4">
        <f>(Foglio1!$KI6+Foglio1!$KF6+Foglio1!$KL6+Foglio1!$KO6+Foglio1!$KR6+Foglio1!$KU6+Foglio1!$KX6+Foglio1!$LA6+Foglio1!$LD6+Foglio1!$LG6+Foglio1!$LJ6+Foglio1!$LM6+Foglio1!$LP6+Foglio1!$LS6)</f>
        <v>19</v>
      </c>
      <c r="LV6" s="4">
        <v>31</v>
      </c>
      <c r="LW6" s="4">
        <v>40</v>
      </c>
      <c r="LX6" s="4">
        <v>19</v>
      </c>
      <c r="LY6" s="4">
        <v>31</v>
      </c>
      <c r="LZ6" s="3">
        <v>0</v>
      </c>
      <c r="MA6" s="3">
        <v>18</v>
      </c>
      <c r="MB6" s="3">
        <v>9</v>
      </c>
      <c r="MC6" s="3">
        <v>1</v>
      </c>
      <c r="MD6" s="3">
        <f t="shared" si="7"/>
        <v>28</v>
      </c>
      <c r="ME6" s="3">
        <v>0</v>
      </c>
      <c r="MF6" s="3">
        <v>0</v>
      </c>
      <c r="MG6" s="3">
        <v>0</v>
      </c>
      <c r="MH6" s="3">
        <v>0</v>
      </c>
      <c r="MI6" s="3">
        <f t="shared" si="8"/>
        <v>0</v>
      </c>
    </row>
    <row r="7" spans="1:347" ht="15.75" customHeight="1" x14ac:dyDescent="0.25">
      <c r="A7" s="8" t="s">
        <v>520</v>
      </c>
      <c r="B7" s="4">
        <v>54</v>
      </c>
      <c r="C7" s="4" t="s">
        <v>349</v>
      </c>
      <c r="D7" s="4">
        <v>8</v>
      </c>
      <c r="E7" s="8">
        <v>1</v>
      </c>
      <c r="F7" s="8" t="s">
        <v>350</v>
      </c>
      <c r="G7" s="8" t="s">
        <v>351</v>
      </c>
      <c r="H7" s="8" t="s">
        <v>521</v>
      </c>
      <c r="I7" s="4" t="s">
        <v>522</v>
      </c>
      <c r="J7" s="4" t="s">
        <v>356</v>
      </c>
      <c r="K7" s="4"/>
      <c r="L7" s="5" t="s">
        <v>356</v>
      </c>
      <c r="M7" s="4" t="s">
        <v>449</v>
      </c>
      <c r="N7" s="4" t="s">
        <v>406</v>
      </c>
      <c r="O7" s="6">
        <v>45472</v>
      </c>
      <c r="P7" s="6">
        <v>45490</v>
      </c>
      <c r="Q7" s="4" t="s">
        <v>523</v>
      </c>
      <c r="R7" s="4"/>
      <c r="S7" s="4"/>
      <c r="T7" s="4"/>
      <c r="U7" s="4"/>
      <c r="V7" s="4" t="s">
        <v>524</v>
      </c>
      <c r="W7" s="4" t="s">
        <v>412</v>
      </c>
      <c r="X7" s="4" t="s">
        <v>525</v>
      </c>
      <c r="Y7" s="4" t="s">
        <v>370</v>
      </c>
      <c r="Z7" s="4" t="s">
        <v>526</v>
      </c>
      <c r="AA7" s="4"/>
      <c r="AB7" s="4"/>
      <c r="AC7" s="4"/>
      <c r="AD7" s="4"/>
      <c r="AE7" s="4"/>
      <c r="AF7" s="4"/>
      <c r="AG7" s="4"/>
      <c r="AH7" s="4" t="s">
        <v>408</v>
      </c>
      <c r="AI7" s="4" t="s">
        <v>527</v>
      </c>
      <c r="AJ7" s="4" t="s">
        <v>528</v>
      </c>
      <c r="AK7" s="4" t="s">
        <v>529</v>
      </c>
      <c r="AL7" s="4" t="s">
        <v>530</v>
      </c>
      <c r="AM7" s="4" t="s">
        <v>531</v>
      </c>
      <c r="AN7" s="4" t="s">
        <v>532</v>
      </c>
      <c r="AO7" s="4" t="s">
        <v>533</v>
      </c>
      <c r="AP7" s="4" t="s">
        <v>370</v>
      </c>
      <c r="AQ7" s="4" t="s">
        <v>534</v>
      </c>
      <c r="AR7" s="4" t="s">
        <v>535</v>
      </c>
      <c r="AS7" s="4" t="s">
        <v>536</v>
      </c>
      <c r="AT7" s="4" t="s">
        <v>537</v>
      </c>
      <c r="AU7" s="4" t="s">
        <v>538</v>
      </c>
      <c r="AV7" s="4" t="s">
        <v>539</v>
      </c>
      <c r="AW7" s="4" t="s">
        <v>540</v>
      </c>
      <c r="AX7" s="4">
        <v>8</v>
      </c>
      <c r="AY7" s="4"/>
      <c r="AZ7" s="5" t="s">
        <v>383</v>
      </c>
      <c r="BA7" s="4">
        <f t="shared" si="9"/>
        <v>18</v>
      </c>
      <c r="BB7" s="4" t="s">
        <v>541</v>
      </c>
      <c r="BC7" s="4" t="s">
        <v>541</v>
      </c>
      <c r="BD7" s="4" t="s">
        <v>542</v>
      </c>
      <c r="BE7" s="4" t="s">
        <v>359</v>
      </c>
      <c r="BF7" s="4" t="s">
        <v>359</v>
      </c>
      <c r="BG7" s="6">
        <v>45475</v>
      </c>
      <c r="BH7" s="4">
        <v>4</v>
      </c>
      <c r="BI7" s="4">
        <v>3</v>
      </c>
      <c r="BJ7" s="4">
        <v>4</v>
      </c>
      <c r="BK7" s="4">
        <v>4</v>
      </c>
      <c r="BL7" s="4">
        <v>4</v>
      </c>
      <c r="BM7" s="4">
        <v>4</v>
      </c>
      <c r="BN7" s="4">
        <v>3</v>
      </c>
      <c r="BO7" s="4">
        <f>SUM(Foglio1!$BH7:$BM7)</f>
        <v>23</v>
      </c>
      <c r="BP7" s="4">
        <v>7</v>
      </c>
      <c r="BQ7" s="4">
        <v>3</v>
      </c>
      <c r="BR7" s="4">
        <v>10</v>
      </c>
      <c r="BS7" s="4">
        <v>35</v>
      </c>
      <c r="BT7" s="4">
        <v>6</v>
      </c>
      <c r="BU7" s="4">
        <v>3</v>
      </c>
      <c r="BV7" s="4">
        <v>6</v>
      </c>
      <c r="BW7" s="4">
        <v>2</v>
      </c>
      <c r="BX7" s="4">
        <v>3</v>
      </c>
      <c r="BY7" s="4">
        <v>2</v>
      </c>
      <c r="BZ7" s="4">
        <v>1</v>
      </c>
      <c r="CA7" s="4">
        <v>1</v>
      </c>
      <c r="CB7" s="4">
        <v>2</v>
      </c>
      <c r="CC7" s="4">
        <v>1</v>
      </c>
      <c r="CD7" s="4">
        <v>1</v>
      </c>
      <c r="CE7" s="4">
        <v>5</v>
      </c>
      <c r="CF7" s="4">
        <v>1</v>
      </c>
      <c r="CG7" s="4">
        <v>1</v>
      </c>
      <c r="CH7" s="4">
        <v>1</v>
      </c>
      <c r="CI7" s="4">
        <v>1</v>
      </c>
      <c r="CJ7" s="4">
        <v>1</v>
      </c>
      <c r="CK7" s="4">
        <v>1</v>
      </c>
      <c r="CL7" s="4">
        <v>1</v>
      </c>
      <c r="CM7" s="4">
        <v>1</v>
      </c>
      <c r="CN7" s="4">
        <v>1</v>
      </c>
      <c r="CO7" s="4">
        <v>1</v>
      </c>
      <c r="CP7" s="4">
        <v>6</v>
      </c>
      <c r="CQ7" s="4">
        <v>2</v>
      </c>
      <c r="CR7" s="4">
        <v>1</v>
      </c>
      <c r="CS7" s="4">
        <v>6</v>
      </c>
      <c r="CT7" s="4">
        <v>1</v>
      </c>
      <c r="CU7" s="4">
        <v>1</v>
      </c>
      <c r="CV7" s="4">
        <v>1</v>
      </c>
      <c r="CW7" s="4">
        <v>1</v>
      </c>
      <c r="CX7" s="4">
        <f>SUM(Foglio1!$BT7:$CW7)</f>
        <v>62</v>
      </c>
      <c r="CY7" s="4">
        <f>SUM(Foglio1!$BT7+Foglio1!$BV7+Foglio1!$CP7+Foglio1!$BY7+Foglio1!$BX7+Foglio1!$CH7+Foglio1!$CS7+Foglio1!$CW7-Foglio1!$CE7)</f>
        <v>26</v>
      </c>
      <c r="CZ7" s="4">
        <f>SUM(Foglio1!$CF7+Foglio1!$CA7+Foglio1!$CB7+Foglio1!$CD7+Foglio1!$CN7+Foglio1!$CC7+Foglio1!$CW7+Foglio1!$CO7+Foglio1!$CT7-Foglio1!$BU7)</f>
        <v>7</v>
      </c>
      <c r="DA7" s="4">
        <f>SUM(Foglio1!$CG7+Foglio1!$CR7+Foglio1!$CQ7+Foglio1!$BU7+Foglio1!$CE7+Foglio1!$CL7+Foglio1!$CS7+Foglio1!$CT7+Foglio1!$CV7+Foglio1!$CP7)</f>
        <v>27</v>
      </c>
      <c r="DB7" s="4">
        <f>SUM(Foglio1!$CU7+Foglio1!$BW7+Foglio1!$BZ7+Foglio1!$CO7+Foglio1!$BX7+Foglio1!$CC7+Foglio1!$CK7+Foglio1!$CW7)</f>
        <v>11</v>
      </c>
      <c r="DC7" s="4">
        <f>SUM(Foglio1!$CI7+Foglio1!$CM7+Foglio1!$CJ7+Foglio1!$CK7+Foglio1!$BY7+Foglio1!$CH7+Foglio1!$CV7+Foglio1!$CW7)</f>
        <v>9</v>
      </c>
      <c r="DD7" s="4">
        <v>0</v>
      </c>
      <c r="DE7" s="4">
        <v>1</v>
      </c>
      <c r="DF7" s="4">
        <v>3</v>
      </c>
      <c r="DG7" s="4">
        <v>0</v>
      </c>
      <c r="DH7" s="4">
        <v>2</v>
      </c>
      <c r="DI7" s="4">
        <v>1</v>
      </c>
      <c r="DJ7" s="4">
        <v>0</v>
      </c>
      <c r="DK7" s="4">
        <v>0</v>
      </c>
      <c r="DL7" s="4">
        <v>0</v>
      </c>
      <c r="DM7" s="4">
        <v>0</v>
      </c>
      <c r="DN7" s="4">
        <v>2</v>
      </c>
      <c r="DO7" s="4">
        <v>0</v>
      </c>
      <c r="DP7" s="4">
        <v>0</v>
      </c>
      <c r="DQ7" s="4">
        <v>0</v>
      </c>
      <c r="DR7" s="4">
        <v>0</v>
      </c>
      <c r="DS7" s="4">
        <v>0</v>
      </c>
      <c r="DT7" s="4">
        <v>0</v>
      </c>
      <c r="DU7" s="4">
        <v>3</v>
      </c>
      <c r="DV7" s="4">
        <v>0</v>
      </c>
      <c r="DW7" s="4">
        <v>0</v>
      </c>
      <c r="DX7" s="4">
        <v>1</v>
      </c>
      <c r="DY7" s="4" t="s">
        <v>359</v>
      </c>
      <c r="DZ7" s="4" t="s">
        <v>359</v>
      </c>
      <c r="EA7" s="4" t="s">
        <v>359</v>
      </c>
      <c r="EB7" s="4" t="s">
        <v>359</v>
      </c>
      <c r="EC7" s="4" t="s">
        <v>359</v>
      </c>
      <c r="ED7" s="4" t="s">
        <v>359</v>
      </c>
      <c r="EE7" s="4" t="s">
        <v>359</v>
      </c>
      <c r="EF7" s="4" t="s">
        <v>359</v>
      </c>
      <c r="EG7" s="4" t="s">
        <v>359</v>
      </c>
      <c r="EH7" s="4">
        <f>(Foglio1!$DE7+Foglio1!$DH7+Foglio1!$DG7+Foglio1!$DF7+Foglio1!$DM7+Foglio1!$DD7+Foglio1!$DO7+Foglio1!$DL7+Foglio1!$DN7+Foglio1!$DQ7+Foglio1!$DP7+Foglio1!$DT7+Foglio1!$DI7+Foglio1!$DK7+Foglio1!$DU7)</f>
        <v>12</v>
      </c>
      <c r="EI7" s="4" t="e">
        <f>(Foglio1!$EA7+Foglio1!$EB7+Foglio1!$EE7+Foglio1!$EC7+Foglio1!$ED7+Foglio1!$DZ7+Foglio1!$DY7)</f>
        <v>#VALUE!</v>
      </c>
      <c r="EJ7" s="4">
        <f>(Foglio1!$DW7+Foglio1!$DV7+Foglio1!$DX7)</f>
        <v>1</v>
      </c>
      <c r="EK7" s="4" t="e">
        <f>(Foglio1!$EG7+Foglio1!$EF7)</f>
        <v>#VALUE!</v>
      </c>
      <c r="EL7" s="4">
        <v>1</v>
      </c>
      <c r="EM7" s="4">
        <v>0</v>
      </c>
      <c r="EN7" s="4">
        <v>0</v>
      </c>
      <c r="EO7" s="4">
        <v>1</v>
      </c>
      <c r="EP7" s="4">
        <f t="array" ref="EP7">SUM(EL7:EO7/4)</f>
        <v>0.5</v>
      </c>
      <c r="EQ7" s="4">
        <v>0</v>
      </c>
      <c r="ER7" s="4">
        <v>1</v>
      </c>
      <c r="ES7" s="4">
        <v>0</v>
      </c>
      <c r="ET7" s="4">
        <v>1</v>
      </c>
      <c r="EU7" s="4" t="s">
        <v>543</v>
      </c>
      <c r="EV7" s="4">
        <v>0</v>
      </c>
      <c r="EW7" s="4" t="s">
        <v>544</v>
      </c>
      <c r="EX7" s="4">
        <v>0</v>
      </c>
      <c r="EY7" s="4">
        <f>(Foglio1!$EQ7+Foglio1!$ER7+Foglio1!$ES7+Foglio1!$ET7+Foglio1!$EV7+Foglio1!$EX7)/6</f>
        <v>0.33333333333333331</v>
      </c>
      <c r="EZ7" s="4">
        <v>1</v>
      </c>
      <c r="FA7" s="4">
        <v>1</v>
      </c>
      <c r="FB7" s="4">
        <v>1</v>
      </c>
      <c r="FC7" s="4">
        <f>(Foglio1!$EZ7+Foglio1!$FA7+Foglio1!$FB7)/3</f>
        <v>1</v>
      </c>
      <c r="FD7" s="4">
        <v>0</v>
      </c>
      <c r="FE7" s="4">
        <v>0</v>
      </c>
      <c r="FF7" s="4">
        <f>(Foglio1!$FD7+Foglio1!$FE7)/2</f>
        <v>0</v>
      </c>
      <c r="FG7" s="4" t="s">
        <v>545</v>
      </c>
      <c r="FH7" s="4">
        <v>0</v>
      </c>
      <c r="FI7" s="4" t="s">
        <v>546</v>
      </c>
      <c r="FJ7" s="4">
        <v>0</v>
      </c>
      <c r="FK7" s="4" t="s">
        <v>547</v>
      </c>
      <c r="FL7" s="4">
        <v>1</v>
      </c>
      <c r="FM7" s="4">
        <f>(Foglio1!$FH7+Foglio1!$FJ7+Foglio1!$FL7)/3</f>
        <v>0.33333333333333331</v>
      </c>
      <c r="FN7" s="4">
        <f>(Foglio1!$EP7)</f>
        <v>0.5</v>
      </c>
      <c r="FO7" s="4">
        <f>(Foglio1!$EY7+Foglio1!$FC7+Foglio1!$FF7+Foglio1!$FM7)/4</f>
        <v>0.41666666666666663</v>
      </c>
      <c r="FP7" s="4">
        <f>(Foglio1!$EP7+Foglio1!$EY7+Foglio1!$FC7+Foglio1!$FF7+Foglio1!$FM7)/5</f>
        <v>0.43333333333333329</v>
      </c>
      <c r="FQ7" s="6">
        <v>45490</v>
      </c>
      <c r="FR7" s="4">
        <v>4</v>
      </c>
      <c r="FS7" s="4">
        <v>1</v>
      </c>
      <c r="FT7" s="4">
        <v>3</v>
      </c>
      <c r="FU7" s="4">
        <v>3</v>
      </c>
      <c r="FV7" s="4">
        <v>2</v>
      </c>
      <c r="FW7" s="4">
        <v>0</v>
      </c>
      <c r="FX7" s="4">
        <v>1</v>
      </c>
      <c r="FY7" s="4">
        <v>4</v>
      </c>
      <c r="FZ7" s="4">
        <v>3</v>
      </c>
      <c r="GA7" s="4">
        <v>10</v>
      </c>
      <c r="GB7" s="4">
        <v>60</v>
      </c>
      <c r="GC7" s="4">
        <v>3</v>
      </c>
      <c r="GD7" s="4">
        <v>2</v>
      </c>
      <c r="GE7" s="4">
        <v>4</v>
      </c>
      <c r="GF7" s="4">
        <v>2</v>
      </c>
      <c r="GG7" s="4">
        <v>3</v>
      </c>
      <c r="GH7" s="4">
        <v>3</v>
      </c>
      <c r="GI7" s="4">
        <v>0</v>
      </c>
      <c r="GJ7" s="4">
        <v>0</v>
      </c>
      <c r="GK7" s="4">
        <v>0</v>
      </c>
      <c r="GL7" s="4">
        <v>2</v>
      </c>
      <c r="GM7" s="4">
        <v>0</v>
      </c>
      <c r="GN7" s="4">
        <v>3</v>
      </c>
      <c r="GO7" s="4">
        <v>0</v>
      </c>
      <c r="GP7" s="4">
        <v>2</v>
      </c>
      <c r="GQ7" s="4">
        <v>0</v>
      </c>
      <c r="GR7" s="4">
        <v>0</v>
      </c>
      <c r="GS7" s="4">
        <v>2</v>
      </c>
      <c r="GT7" s="4">
        <v>2</v>
      </c>
      <c r="GU7" s="4">
        <v>2</v>
      </c>
      <c r="GV7" s="4">
        <v>0</v>
      </c>
      <c r="GW7" s="4">
        <v>0</v>
      </c>
      <c r="GX7" s="4">
        <v>2</v>
      </c>
      <c r="GY7" s="4">
        <v>4</v>
      </c>
      <c r="GZ7" s="4">
        <v>0</v>
      </c>
      <c r="HA7" s="4">
        <v>2</v>
      </c>
      <c r="HB7" s="4">
        <v>3</v>
      </c>
      <c r="HC7" s="4">
        <v>0</v>
      </c>
      <c r="HD7" s="4">
        <v>3</v>
      </c>
      <c r="HE7" s="4">
        <v>0</v>
      </c>
      <c r="HF7" s="4">
        <v>0</v>
      </c>
      <c r="HG7" s="4">
        <f t="shared" si="10"/>
        <v>44</v>
      </c>
      <c r="HH7" s="4">
        <f t="shared" si="11"/>
        <v>17</v>
      </c>
      <c r="HI7" s="4">
        <f t="shared" si="12"/>
        <v>2</v>
      </c>
      <c r="HJ7" s="4">
        <f t="shared" si="13"/>
        <v>18</v>
      </c>
      <c r="HK7" s="4">
        <f t="shared" si="14"/>
        <v>14</v>
      </c>
      <c r="HL7" s="4">
        <f t="shared" si="15"/>
        <v>7</v>
      </c>
      <c r="HM7" s="4">
        <v>3</v>
      </c>
      <c r="HN7" s="4">
        <v>2</v>
      </c>
      <c r="HO7" s="4">
        <v>3</v>
      </c>
      <c r="HP7" s="4">
        <v>1</v>
      </c>
      <c r="HQ7" s="4">
        <v>2</v>
      </c>
      <c r="HR7" s="4">
        <v>0</v>
      </c>
      <c r="HS7" s="4">
        <v>0</v>
      </c>
      <c r="HT7" s="4">
        <v>0</v>
      </c>
      <c r="HU7" s="4">
        <v>0</v>
      </c>
      <c r="HV7" s="4">
        <v>0</v>
      </c>
      <c r="HW7" s="4">
        <v>0</v>
      </c>
      <c r="HX7" s="4">
        <v>0</v>
      </c>
      <c r="HY7" s="4">
        <v>0</v>
      </c>
      <c r="HZ7" s="4">
        <v>0</v>
      </c>
      <c r="IA7" s="4">
        <v>0</v>
      </c>
      <c r="IB7" s="4">
        <v>0</v>
      </c>
      <c r="IC7" s="4">
        <v>0</v>
      </c>
      <c r="ID7" s="4">
        <v>0</v>
      </c>
      <c r="IE7" s="4">
        <v>0</v>
      </c>
      <c r="IF7" s="4">
        <v>0</v>
      </c>
      <c r="IG7" s="4">
        <v>2</v>
      </c>
      <c r="IH7" s="4">
        <v>1</v>
      </c>
      <c r="II7" s="4">
        <v>1</v>
      </c>
      <c r="IJ7" s="4">
        <v>1</v>
      </c>
      <c r="IK7" s="4">
        <v>4</v>
      </c>
      <c r="IL7" s="4">
        <v>1</v>
      </c>
      <c r="IM7" s="4">
        <v>1</v>
      </c>
      <c r="IN7" s="4">
        <v>1</v>
      </c>
      <c r="IO7" s="4">
        <v>2</v>
      </c>
      <c r="IP7" s="4">
        <v>1</v>
      </c>
      <c r="IQ7" s="4">
        <f t="shared" ref="IQ7:IQ9" si="16">SUM(HN7+HQ7+HP7+HO7+HV7+HM7+HX7+HU7+HW7+HZ7+HY7+IC7+HR7+HT7+ID7)</f>
        <v>11</v>
      </c>
      <c r="IR7" s="4">
        <f t="shared" ref="IR7:IR9" si="17">SUM(IJ7+IK7+IN7+IL7+IM7+II7+IH7)</f>
        <v>10</v>
      </c>
      <c r="IS7" s="4">
        <f t="shared" ref="IS7:IS9" si="18">SUM(IF7+IE7+IG7)</f>
        <v>2</v>
      </c>
      <c r="IT7" s="4">
        <f t="shared" ref="IT7:IT9" si="19">SUM(IP7+IO7)</f>
        <v>3</v>
      </c>
      <c r="IU7" s="4" t="s">
        <v>383</v>
      </c>
      <c r="IV7" s="4" t="s">
        <v>383</v>
      </c>
      <c r="IW7" s="4" t="s">
        <v>383</v>
      </c>
      <c r="IX7" s="4" t="s">
        <v>383</v>
      </c>
      <c r="IY7" s="4">
        <v>1</v>
      </c>
      <c r="IZ7" s="4">
        <v>0</v>
      </c>
      <c r="JA7" s="4">
        <v>0</v>
      </c>
      <c r="JB7" s="4">
        <v>1</v>
      </c>
      <c r="JC7" s="4">
        <f>(Foglio1!$IY7+Foglio1!$IZ7+Foglio1!$JA7+Foglio1!$JB7)/4</f>
        <v>0.5</v>
      </c>
      <c r="JD7" s="4">
        <v>0</v>
      </c>
      <c r="JE7" s="4">
        <v>1</v>
      </c>
      <c r="JF7" s="4">
        <v>1</v>
      </c>
      <c r="JG7" s="4">
        <v>1</v>
      </c>
      <c r="JH7" s="4" t="s">
        <v>548</v>
      </c>
      <c r="JI7" s="4">
        <v>1</v>
      </c>
      <c r="JJ7" s="4" t="s">
        <v>549</v>
      </c>
      <c r="JK7" s="4">
        <v>0</v>
      </c>
      <c r="JL7" s="4">
        <f>(Foglio1!$JD7+Foglio1!$JE7+Foglio1!$JF7+Foglio1!$JG7+Foglio1!$JI7+Foglio1!$JK7)/6</f>
        <v>0.66666666666666663</v>
      </c>
      <c r="JM7" s="4">
        <v>1</v>
      </c>
      <c r="JN7" s="4">
        <v>1</v>
      </c>
      <c r="JO7" s="4">
        <v>1</v>
      </c>
      <c r="JP7" s="4">
        <f>(Foglio1!$JM7+Foglio1!$JN7+Foglio1!$JO7)/3</f>
        <v>1</v>
      </c>
      <c r="JQ7" s="4">
        <v>0</v>
      </c>
      <c r="JR7" s="4">
        <v>0</v>
      </c>
      <c r="JS7" s="4">
        <f>(Foglio1!$JQ7+Foglio1!$JR7)/2</f>
        <v>0</v>
      </c>
      <c r="JT7" s="4" t="s">
        <v>550</v>
      </c>
      <c r="JU7" s="4">
        <v>0</v>
      </c>
      <c r="JV7" s="4" t="s">
        <v>551</v>
      </c>
      <c r="JW7" s="4">
        <v>0</v>
      </c>
      <c r="JX7" s="4" t="s">
        <v>552</v>
      </c>
      <c r="JY7" s="4">
        <v>0</v>
      </c>
      <c r="JZ7" s="4">
        <f>(Foglio1!$JU7+Foglio1!$JW7+Foglio1!$JY7)/3</f>
        <v>0</v>
      </c>
      <c r="KA7" s="4">
        <f>(Foglio1!$JC7)</f>
        <v>0.5</v>
      </c>
      <c r="KB7" s="4">
        <f>(Foglio1!$JL7+Foglio1!$JP7+Foglio1!$JS7+Foglio1!$JZ7)/4</f>
        <v>0.41666666666666663</v>
      </c>
      <c r="KC7" s="4">
        <f>(Foglio1!$JC7+Foglio1!$JL7+Foglio1!$JP7+Foglio1!$JS7+Foglio1!$JZ7)/5</f>
        <v>0.43333333333333329</v>
      </c>
      <c r="KD7" s="4" t="s">
        <v>553</v>
      </c>
      <c r="KE7" s="4">
        <v>0</v>
      </c>
      <c r="KF7" s="4">
        <v>2</v>
      </c>
      <c r="KG7" s="4" t="s">
        <v>554</v>
      </c>
      <c r="KH7" s="4">
        <v>1</v>
      </c>
      <c r="KI7" s="4">
        <v>2</v>
      </c>
      <c r="KJ7" s="4" t="s">
        <v>555</v>
      </c>
      <c r="KK7" s="4">
        <v>2</v>
      </c>
      <c r="KL7" s="4">
        <v>2</v>
      </c>
      <c r="KM7" s="4" t="s">
        <v>556</v>
      </c>
      <c r="KN7" s="4">
        <v>0</v>
      </c>
      <c r="KO7" s="4">
        <v>0</v>
      </c>
      <c r="KP7" s="4" t="s">
        <v>557</v>
      </c>
      <c r="KQ7" s="4">
        <v>1</v>
      </c>
      <c r="KR7" s="4">
        <v>2</v>
      </c>
      <c r="KS7" s="4" t="s">
        <v>558</v>
      </c>
      <c r="KT7" s="4">
        <v>1</v>
      </c>
      <c r="KU7" s="4">
        <v>2</v>
      </c>
      <c r="KV7" s="4" t="s">
        <v>559</v>
      </c>
      <c r="KW7" s="4">
        <v>0</v>
      </c>
      <c r="KX7" s="4">
        <v>0</v>
      </c>
      <c r="KY7" s="4" t="s">
        <v>560</v>
      </c>
      <c r="KZ7" s="4">
        <v>1</v>
      </c>
      <c r="LA7" s="4">
        <v>2</v>
      </c>
      <c r="LB7" s="4" t="s">
        <v>561</v>
      </c>
      <c r="LC7" s="4">
        <v>2</v>
      </c>
      <c r="LD7" s="4">
        <v>1</v>
      </c>
      <c r="LE7" s="4" t="s">
        <v>562</v>
      </c>
      <c r="LF7" s="4">
        <v>0</v>
      </c>
      <c r="LG7" s="4">
        <v>2</v>
      </c>
      <c r="LH7" s="4" t="s">
        <v>563</v>
      </c>
      <c r="LI7" s="4">
        <v>0</v>
      </c>
      <c r="LJ7" s="4">
        <v>0</v>
      </c>
      <c r="LK7" s="4" t="s">
        <v>564</v>
      </c>
      <c r="LL7" s="4">
        <v>0</v>
      </c>
      <c r="LM7" s="4">
        <v>0</v>
      </c>
      <c r="LN7" s="4" t="s">
        <v>512</v>
      </c>
      <c r="LO7" s="4">
        <v>0</v>
      </c>
      <c r="LP7" s="4">
        <v>0</v>
      </c>
      <c r="LQ7" s="4" t="s">
        <v>565</v>
      </c>
      <c r="LR7" s="4">
        <v>0</v>
      </c>
      <c r="LS7" s="4">
        <v>0</v>
      </c>
      <c r="LT7" s="4">
        <f>(Foglio1!$KE7+Foglio1!$KH7+Foglio1!$KK7+Foglio1!$KN7+Foglio1!$KQ7+Foglio1!$KT7+Foglio1!$KW7+Foglio1!$KZ7+Foglio1!$LC7+Foglio1!$LF7+Foglio1!$LI7+Foglio1!$LL7+Foglio1!$LO7+Foglio1!$LR7)</f>
        <v>8</v>
      </c>
      <c r="LU7" s="4">
        <f>(Foglio1!$KI7+Foglio1!$KF7+Foglio1!$KL7+Foglio1!$KO7+Foglio1!$KR7+Foglio1!$KU7+Foglio1!$KX7+Foglio1!$LA7+Foglio1!$LD7+Foglio1!$LG7+Foglio1!$LJ7+Foglio1!$LM7+Foglio1!$LP7+Foglio1!$LS7)</f>
        <v>15</v>
      </c>
      <c r="LV7" s="4">
        <v>43</v>
      </c>
      <c r="LW7" s="4">
        <v>31</v>
      </c>
      <c r="LX7" s="4">
        <v>11</v>
      </c>
      <c r="LY7" s="4">
        <v>21</v>
      </c>
      <c r="LZ7" s="3">
        <v>0</v>
      </c>
      <c r="MA7" s="3">
        <v>1</v>
      </c>
      <c r="MB7" s="3">
        <v>3</v>
      </c>
      <c r="MC7" s="3">
        <v>2</v>
      </c>
      <c r="MD7" s="3">
        <f t="shared" si="7"/>
        <v>6</v>
      </c>
      <c r="ME7" s="3">
        <v>0</v>
      </c>
      <c r="MF7" s="3">
        <v>0</v>
      </c>
      <c r="MG7" s="3">
        <v>0</v>
      </c>
      <c r="MH7" s="3">
        <v>0</v>
      </c>
      <c r="MI7" s="3">
        <f t="shared" si="8"/>
        <v>0</v>
      </c>
    </row>
    <row r="8" spans="1:347" ht="15.75" customHeight="1" x14ac:dyDescent="0.25">
      <c r="A8" s="8" t="s">
        <v>566</v>
      </c>
      <c r="B8" s="4">
        <v>37</v>
      </c>
      <c r="C8" s="4" t="s">
        <v>349</v>
      </c>
      <c r="D8" s="4">
        <v>13</v>
      </c>
      <c r="E8" s="8">
        <v>1</v>
      </c>
      <c r="F8" s="8" t="s">
        <v>350</v>
      </c>
      <c r="G8" s="8" t="s">
        <v>567</v>
      </c>
      <c r="H8" s="8" t="s">
        <v>568</v>
      </c>
      <c r="I8" s="7" t="s">
        <v>569</v>
      </c>
      <c r="J8" s="4"/>
      <c r="K8" s="4"/>
      <c r="L8" s="5" t="s">
        <v>356</v>
      </c>
      <c r="M8" s="4" t="s">
        <v>357</v>
      </c>
      <c r="N8" s="4" t="s">
        <v>570</v>
      </c>
      <c r="O8" s="6">
        <v>45485</v>
      </c>
      <c r="P8" s="6">
        <v>45531</v>
      </c>
      <c r="Q8" s="4" t="s">
        <v>359</v>
      </c>
      <c r="R8" s="4"/>
      <c r="S8" s="4"/>
      <c r="T8" s="4"/>
      <c r="U8" s="4"/>
      <c r="V8" s="4"/>
      <c r="W8" s="4"/>
      <c r="X8" s="4"/>
      <c r="Y8" s="4"/>
      <c r="Z8" s="4"/>
      <c r="AA8" s="4"/>
      <c r="AB8" s="4"/>
      <c r="AC8" s="4"/>
      <c r="AD8" s="4"/>
      <c r="AE8" s="4"/>
      <c r="AF8" s="4"/>
      <c r="AG8" s="4"/>
      <c r="AH8" s="4" t="s">
        <v>571</v>
      </c>
      <c r="AI8" s="4" t="s">
        <v>572</v>
      </c>
      <c r="AJ8" s="4" t="s">
        <v>361</v>
      </c>
      <c r="AK8" s="4" t="s">
        <v>573</v>
      </c>
      <c r="AL8" s="4" t="s">
        <v>574</v>
      </c>
      <c r="AM8" s="4" t="s">
        <v>575</v>
      </c>
      <c r="AN8" s="5" t="s">
        <v>356</v>
      </c>
      <c r="AO8" s="5" t="s">
        <v>356</v>
      </c>
      <c r="AP8" s="5" t="s">
        <v>356</v>
      </c>
      <c r="AQ8" s="5" t="s">
        <v>356</v>
      </c>
      <c r="AR8" s="5" t="s">
        <v>356</v>
      </c>
      <c r="AS8" s="5" t="s">
        <v>356</v>
      </c>
      <c r="AT8" s="5" t="s">
        <v>356</v>
      </c>
      <c r="AU8" s="5" t="s">
        <v>356</v>
      </c>
      <c r="AV8" s="5" t="s">
        <v>356</v>
      </c>
      <c r="AW8" s="5" t="s">
        <v>356</v>
      </c>
      <c r="AX8" s="4">
        <v>3</v>
      </c>
      <c r="AY8" s="4"/>
      <c r="AZ8" s="5" t="s">
        <v>383</v>
      </c>
      <c r="BA8" s="4">
        <f t="shared" si="9"/>
        <v>46</v>
      </c>
      <c r="BB8" s="4"/>
      <c r="BC8" s="4"/>
      <c r="BD8" s="4" t="s">
        <v>576</v>
      </c>
      <c r="BE8" s="4"/>
      <c r="BF8" s="4"/>
      <c r="BG8" s="6">
        <v>45489</v>
      </c>
      <c r="BH8" s="4">
        <v>3</v>
      </c>
      <c r="BI8" s="4">
        <v>1</v>
      </c>
      <c r="BJ8" s="4">
        <v>3</v>
      </c>
      <c r="BK8" s="4">
        <v>2</v>
      </c>
      <c r="BL8" s="4">
        <v>2</v>
      </c>
      <c r="BM8" s="4">
        <v>3</v>
      </c>
      <c r="BN8" s="4">
        <v>2</v>
      </c>
      <c r="BO8" s="4">
        <f>SUM(Foglio1!$BH8:$BM8)</f>
        <v>14</v>
      </c>
      <c r="BP8" s="4">
        <v>5</v>
      </c>
      <c r="BQ8" s="4">
        <v>3</v>
      </c>
      <c r="BR8" s="4">
        <v>0</v>
      </c>
      <c r="BS8" s="4">
        <v>49</v>
      </c>
      <c r="BT8" s="4">
        <v>3</v>
      </c>
      <c r="BU8" s="4">
        <v>2</v>
      </c>
      <c r="BV8" s="4">
        <v>2</v>
      </c>
      <c r="BW8" s="4">
        <v>1</v>
      </c>
      <c r="BX8" s="4">
        <v>1</v>
      </c>
      <c r="BY8" s="4">
        <v>3</v>
      </c>
      <c r="BZ8" s="4">
        <v>1</v>
      </c>
      <c r="CA8" s="4">
        <v>4</v>
      </c>
      <c r="CB8" s="4">
        <v>4</v>
      </c>
      <c r="CC8" s="4">
        <v>4</v>
      </c>
      <c r="CD8" s="4">
        <v>5</v>
      </c>
      <c r="CE8" s="4">
        <v>5</v>
      </c>
      <c r="CF8" s="4">
        <v>5</v>
      </c>
      <c r="CG8" s="4">
        <v>4</v>
      </c>
      <c r="CH8" s="4">
        <v>1</v>
      </c>
      <c r="CI8" s="4">
        <v>1</v>
      </c>
      <c r="CJ8" s="4">
        <v>5</v>
      </c>
      <c r="CK8" s="4">
        <v>3</v>
      </c>
      <c r="CL8" s="4">
        <v>3</v>
      </c>
      <c r="CM8" s="4">
        <v>3</v>
      </c>
      <c r="CN8" s="4">
        <v>4</v>
      </c>
      <c r="CO8" s="4">
        <v>1</v>
      </c>
      <c r="CP8" s="4">
        <v>4</v>
      </c>
      <c r="CQ8" s="4">
        <v>1</v>
      </c>
      <c r="CR8" s="4">
        <v>3</v>
      </c>
      <c r="CS8" s="4">
        <v>3</v>
      </c>
      <c r="CT8" s="4">
        <v>3</v>
      </c>
      <c r="CU8" s="4">
        <v>3</v>
      </c>
      <c r="CV8" s="4">
        <v>5</v>
      </c>
      <c r="CW8" s="4">
        <v>5</v>
      </c>
      <c r="CX8" s="4">
        <f>SUM(Foglio1!$BT8:$CW8)</f>
        <v>92</v>
      </c>
      <c r="CY8" s="4">
        <f>SUM(Foglio1!$BT8+Foglio1!$BV8+Foglio1!$CP8+Foglio1!$BY8+Foglio1!$BX8+Foglio1!$CH8+Foglio1!$CS8+Foglio1!$CW8-Foglio1!$CE8)</f>
        <v>17</v>
      </c>
      <c r="CZ8" s="4">
        <f>SUM(Foglio1!$CF8+Foglio1!$CA8+Foglio1!$CB8+Foglio1!$CD8+Foglio1!$CN8+Foglio1!$CC8+Foglio1!$CW8+Foglio1!$CO8+Foglio1!$CT8-Foglio1!$BU8)</f>
        <v>33</v>
      </c>
      <c r="DA8" s="4">
        <f>SUM(Foglio1!$CG8+Foglio1!$CR8+Foglio1!$CQ8+Foglio1!$BU8+Foglio1!$CE8+Foglio1!$CL8+Foglio1!$CS8+Foglio1!$CT8+Foglio1!$CV8+Foglio1!$CP8)</f>
        <v>33</v>
      </c>
      <c r="DB8" s="4">
        <f>SUM(Foglio1!$CU8+Foglio1!$BW8+Foglio1!$BZ8+Foglio1!$CO8+Foglio1!$BX8+Foglio1!$CC8+Foglio1!$CK8+Foglio1!$CW8)</f>
        <v>19</v>
      </c>
      <c r="DC8" s="4">
        <f>SUM(Foglio1!$CI8+Foglio1!$CM8+Foglio1!$CJ8+Foglio1!$CK8+Foglio1!$BY8+Foglio1!$CH8+Foglio1!$CV8+Foglio1!$CW8)</f>
        <v>26</v>
      </c>
      <c r="DD8" s="4">
        <v>0</v>
      </c>
      <c r="DE8" s="4">
        <v>0</v>
      </c>
      <c r="DF8" s="4">
        <v>0</v>
      </c>
      <c r="DG8" s="4">
        <v>0</v>
      </c>
      <c r="DH8" s="4">
        <v>0</v>
      </c>
      <c r="DI8" s="4">
        <v>0</v>
      </c>
      <c r="DJ8" s="4">
        <v>0</v>
      </c>
      <c r="DK8" s="4">
        <v>0</v>
      </c>
      <c r="DL8" s="4">
        <v>0</v>
      </c>
      <c r="DM8" s="4">
        <v>0</v>
      </c>
      <c r="DN8" s="4">
        <v>0</v>
      </c>
      <c r="DO8" s="4">
        <v>0</v>
      </c>
      <c r="DP8" s="4">
        <v>0</v>
      </c>
      <c r="DQ8" s="4">
        <v>0</v>
      </c>
      <c r="DR8" s="4">
        <v>0</v>
      </c>
      <c r="DS8" s="4">
        <v>0</v>
      </c>
      <c r="DT8" s="4">
        <v>2</v>
      </c>
      <c r="DU8" s="4">
        <v>2</v>
      </c>
      <c r="DV8" s="4">
        <v>2</v>
      </c>
      <c r="DW8" s="4">
        <v>0</v>
      </c>
      <c r="DX8" s="4">
        <v>1</v>
      </c>
      <c r="DY8" s="4">
        <v>1</v>
      </c>
      <c r="DZ8" s="4">
        <v>2</v>
      </c>
      <c r="EA8" s="4">
        <v>3</v>
      </c>
      <c r="EB8" s="4">
        <v>2</v>
      </c>
      <c r="EC8" s="4">
        <v>2</v>
      </c>
      <c r="ED8" s="4">
        <v>2</v>
      </c>
      <c r="EE8" s="4">
        <v>0</v>
      </c>
      <c r="EF8" s="4">
        <v>3</v>
      </c>
      <c r="EG8" s="4">
        <v>1</v>
      </c>
      <c r="EH8" s="4">
        <f>(Foglio1!$DE8+Foglio1!$DH8+Foglio1!$DG8+Foglio1!$DF8+Foglio1!$DM8+Foglio1!$DD8+Foglio1!$DO8+Foglio1!$DL8+Foglio1!$DN8+Foglio1!$DQ8+Foglio1!$DP8+Foglio1!$DT8+Foglio1!$DI8+Foglio1!$DK8+Foglio1!$DU8)</f>
        <v>4</v>
      </c>
      <c r="EI8" s="4">
        <f>(Foglio1!$EA8+Foglio1!$EB8+Foglio1!$EE8+Foglio1!$EC8+Foglio1!$ED8+Foglio1!$DZ8+Foglio1!$DY8)</f>
        <v>12</v>
      </c>
      <c r="EJ8" s="4">
        <f>(Foglio1!$DW8+Foglio1!$DV8+Foglio1!$DX8)</f>
        <v>3</v>
      </c>
      <c r="EK8" s="4">
        <f>(Foglio1!$EG8+Foglio1!$EF8)</f>
        <v>4</v>
      </c>
      <c r="EL8" s="4">
        <v>1</v>
      </c>
      <c r="EM8" s="4">
        <v>0</v>
      </c>
      <c r="EN8" s="4">
        <v>1</v>
      </c>
      <c r="EO8" s="4">
        <v>1</v>
      </c>
      <c r="EP8" s="4">
        <f t="array" ref="EP8">SUM(EL8:EO8/4)</f>
        <v>0.75</v>
      </c>
      <c r="EQ8" s="4">
        <v>1</v>
      </c>
      <c r="ER8" s="4">
        <v>1</v>
      </c>
      <c r="ES8" s="4">
        <v>0</v>
      </c>
      <c r="ET8" s="4">
        <v>1</v>
      </c>
      <c r="EU8" s="4" t="s">
        <v>577</v>
      </c>
      <c r="EV8" s="4">
        <v>0</v>
      </c>
      <c r="EW8" s="4" t="s">
        <v>578</v>
      </c>
      <c r="EX8" s="4">
        <v>1</v>
      </c>
      <c r="EY8" s="4">
        <f>(Foglio1!$EQ8+Foglio1!$ER8+Foglio1!$ES8+Foglio1!$ET8+Foglio1!$EV8+Foglio1!$EX8)/6</f>
        <v>0.66666666666666663</v>
      </c>
      <c r="EZ8" s="4">
        <v>1</v>
      </c>
      <c r="FA8" s="4">
        <v>1</v>
      </c>
      <c r="FB8" s="4">
        <v>1</v>
      </c>
      <c r="FC8" s="4">
        <f>(Foglio1!$EZ8+Foglio1!$FA8+Foglio1!$FB8)/3</f>
        <v>1</v>
      </c>
      <c r="FD8" s="4">
        <v>1</v>
      </c>
      <c r="FE8" s="4">
        <v>1</v>
      </c>
      <c r="FF8" s="4">
        <f>(Foglio1!$FD8+Foglio1!$FE8)/2</f>
        <v>1</v>
      </c>
      <c r="FG8" s="4" t="s">
        <v>579</v>
      </c>
      <c r="FH8" s="4">
        <v>1</v>
      </c>
      <c r="FI8" s="4" t="s">
        <v>580</v>
      </c>
      <c r="FJ8" s="4">
        <v>1</v>
      </c>
      <c r="FK8" s="4" t="s">
        <v>581</v>
      </c>
      <c r="FL8" s="4">
        <v>0</v>
      </c>
      <c r="FM8" s="4">
        <f>(Foglio1!$FH8+Foglio1!$FJ8+Foglio1!$FL8)/3</f>
        <v>0.66666666666666663</v>
      </c>
      <c r="FN8" s="4">
        <f>(Foglio1!$EP8)</f>
        <v>0.75</v>
      </c>
      <c r="FO8" s="4">
        <f>(Foglio1!$EY8+Foglio1!$FC8+Foglio1!$FF8+Foglio1!$FM8)/4</f>
        <v>0.83333333333333326</v>
      </c>
      <c r="FP8" s="4">
        <f>(Foglio1!$EP8+Foglio1!$EY8+Foglio1!$FC8+Foglio1!$FF8+Foglio1!$FM8)/5</f>
        <v>0.81666666666666665</v>
      </c>
      <c r="FQ8" s="6">
        <v>45525</v>
      </c>
      <c r="FR8" s="4">
        <v>1</v>
      </c>
      <c r="FS8" s="4">
        <v>1</v>
      </c>
      <c r="FT8" s="4">
        <v>1</v>
      </c>
      <c r="FU8" s="4">
        <v>1</v>
      </c>
      <c r="FV8" s="4">
        <v>2</v>
      </c>
      <c r="FW8" s="4">
        <v>1</v>
      </c>
      <c r="FX8" s="4">
        <v>2</v>
      </c>
      <c r="FY8" s="4">
        <v>4</v>
      </c>
      <c r="FZ8" s="4">
        <v>2</v>
      </c>
      <c r="GA8" s="4">
        <v>5</v>
      </c>
      <c r="GB8" s="4">
        <v>50</v>
      </c>
      <c r="GC8" s="4">
        <v>4</v>
      </c>
      <c r="GD8" s="4">
        <v>2</v>
      </c>
      <c r="GE8" s="4">
        <v>0</v>
      </c>
      <c r="GF8" s="4">
        <v>0</v>
      </c>
      <c r="GG8" s="4">
        <v>0</v>
      </c>
      <c r="GH8" s="4">
        <v>3</v>
      </c>
      <c r="GI8" s="4">
        <v>1</v>
      </c>
      <c r="GJ8" s="4">
        <v>4</v>
      </c>
      <c r="GK8" s="4">
        <v>4</v>
      </c>
      <c r="GL8" s="4">
        <v>4</v>
      </c>
      <c r="GM8" s="4">
        <v>4</v>
      </c>
      <c r="GN8" s="4">
        <v>4</v>
      </c>
      <c r="GO8" s="4">
        <v>4</v>
      </c>
      <c r="GP8" s="4">
        <v>3</v>
      </c>
      <c r="GQ8" s="4">
        <v>2</v>
      </c>
      <c r="GR8" s="4">
        <v>2</v>
      </c>
      <c r="GS8" s="4">
        <v>3</v>
      </c>
      <c r="GT8" s="4">
        <v>2</v>
      </c>
      <c r="GU8" s="4">
        <v>1</v>
      </c>
      <c r="GV8" s="4">
        <v>3</v>
      </c>
      <c r="GW8" s="4">
        <v>3</v>
      </c>
      <c r="GX8" s="4">
        <v>0</v>
      </c>
      <c r="GY8" s="4">
        <v>3</v>
      </c>
      <c r="GZ8" s="4">
        <v>0</v>
      </c>
      <c r="HA8" s="4">
        <v>2</v>
      </c>
      <c r="HB8" s="4">
        <v>1</v>
      </c>
      <c r="HC8" s="4">
        <v>1</v>
      </c>
      <c r="HD8" s="4">
        <v>1</v>
      </c>
      <c r="HE8" s="4">
        <v>3</v>
      </c>
      <c r="HF8" s="4">
        <v>3</v>
      </c>
      <c r="HG8" s="4">
        <f t="shared" si="10"/>
        <v>67</v>
      </c>
      <c r="HH8" s="4">
        <f t="shared" si="11"/>
        <v>12</v>
      </c>
      <c r="HI8" s="4">
        <f t="shared" si="12"/>
        <v>25</v>
      </c>
      <c r="HJ8" s="4">
        <f t="shared" si="13"/>
        <v>20</v>
      </c>
      <c r="HK8" s="4">
        <f t="shared" si="14"/>
        <v>11</v>
      </c>
      <c r="HL8" s="4">
        <f t="shared" si="15"/>
        <v>21</v>
      </c>
      <c r="HM8" s="4">
        <v>0</v>
      </c>
      <c r="HN8" s="4">
        <v>0</v>
      </c>
      <c r="HO8" s="4">
        <v>0</v>
      </c>
      <c r="HP8" s="4">
        <v>0</v>
      </c>
      <c r="HQ8" s="4">
        <v>0</v>
      </c>
      <c r="HR8" s="4">
        <v>0</v>
      </c>
      <c r="HS8" s="4">
        <v>0</v>
      </c>
      <c r="HT8" s="4">
        <v>1</v>
      </c>
      <c r="HU8" s="4">
        <v>0</v>
      </c>
      <c r="HV8" s="4">
        <v>0</v>
      </c>
      <c r="HW8" s="4">
        <v>0</v>
      </c>
      <c r="HX8" s="4">
        <v>0</v>
      </c>
      <c r="HY8" s="4">
        <v>0</v>
      </c>
      <c r="HZ8" s="4">
        <v>0</v>
      </c>
      <c r="IA8" s="4">
        <v>0</v>
      </c>
      <c r="IB8" s="4">
        <v>0</v>
      </c>
      <c r="IC8" s="4">
        <v>1</v>
      </c>
      <c r="ID8" s="4">
        <v>0</v>
      </c>
      <c r="IE8" s="4">
        <v>2</v>
      </c>
      <c r="IF8" s="4">
        <v>2</v>
      </c>
      <c r="IG8" s="4">
        <v>2</v>
      </c>
      <c r="IH8" s="4">
        <v>2</v>
      </c>
      <c r="II8" s="4">
        <v>1</v>
      </c>
      <c r="IJ8" s="4">
        <v>2</v>
      </c>
      <c r="IK8" s="4">
        <v>3</v>
      </c>
      <c r="IL8" s="4">
        <v>1</v>
      </c>
      <c r="IM8" s="4">
        <v>3</v>
      </c>
      <c r="IN8" s="4">
        <v>2</v>
      </c>
      <c r="IO8" s="4">
        <v>2</v>
      </c>
      <c r="IP8" s="4">
        <v>2</v>
      </c>
      <c r="IQ8" s="4">
        <f t="shared" si="16"/>
        <v>2</v>
      </c>
      <c r="IR8" s="4">
        <f t="shared" si="17"/>
        <v>14</v>
      </c>
      <c r="IS8" s="4">
        <f t="shared" si="18"/>
        <v>6</v>
      </c>
      <c r="IT8" s="4">
        <f t="shared" si="19"/>
        <v>4</v>
      </c>
      <c r="IU8" s="4" t="s">
        <v>383</v>
      </c>
      <c r="IV8" s="4" t="s">
        <v>383</v>
      </c>
      <c r="IW8" s="4" t="s">
        <v>383</v>
      </c>
      <c r="IX8" s="4" t="s">
        <v>383</v>
      </c>
      <c r="IY8" s="4">
        <v>1</v>
      </c>
      <c r="IZ8" s="4">
        <v>0</v>
      </c>
      <c r="JA8" s="4">
        <v>0</v>
      </c>
      <c r="JB8" s="4">
        <v>1</v>
      </c>
      <c r="JC8" s="4">
        <f>(Foglio1!$IY8+Foglio1!$IZ8+Foglio1!$JA8+Foglio1!$JB8)/4</f>
        <v>0.5</v>
      </c>
      <c r="JD8" s="4">
        <v>1</v>
      </c>
      <c r="JE8" s="4">
        <v>1</v>
      </c>
      <c r="JF8" s="4">
        <v>0</v>
      </c>
      <c r="JG8" s="4">
        <v>0</v>
      </c>
      <c r="JH8" s="4" t="s">
        <v>582</v>
      </c>
      <c r="JI8" s="4">
        <v>0</v>
      </c>
      <c r="JJ8" s="4" t="s">
        <v>583</v>
      </c>
      <c r="JK8" s="4">
        <v>0</v>
      </c>
      <c r="JL8" s="4">
        <f>(Foglio1!$JD8+Foglio1!$JE8+Foglio1!$JF8+Foglio1!$JG8+Foglio1!$JI8+Foglio1!$JK8)/6</f>
        <v>0.33333333333333331</v>
      </c>
      <c r="JM8" s="4">
        <v>1</v>
      </c>
      <c r="JN8" s="4">
        <v>1</v>
      </c>
      <c r="JO8" s="4">
        <v>1</v>
      </c>
      <c r="JP8" s="4">
        <f>(Foglio1!$JM8+Foglio1!$JN8+Foglio1!$JO8)/3</f>
        <v>1</v>
      </c>
      <c r="JQ8" s="4">
        <v>1</v>
      </c>
      <c r="JR8" s="4">
        <v>1</v>
      </c>
      <c r="JS8" s="4">
        <f>(Foglio1!$JQ8+Foglio1!$JR8)/2</f>
        <v>1</v>
      </c>
      <c r="JT8" s="4" t="s">
        <v>584</v>
      </c>
      <c r="JU8" s="4">
        <v>1</v>
      </c>
      <c r="JV8" s="4" t="s">
        <v>585</v>
      </c>
      <c r="JW8" s="4">
        <v>0</v>
      </c>
      <c r="JX8" s="4" t="s">
        <v>586</v>
      </c>
      <c r="JY8" s="4">
        <v>1</v>
      </c>
      <c r="JZ8" s="4">
        <f>(Foglio1!$JU8+Foglio1!$JW8+Foglio1!$JY8)/3</f>
        <v>0.66666666666666663</v>
      </c>
      <c r="KA8" s="4">
        <f>(Foglio1!$JC8)</f>
        <v>0.5</v>
      </c>
      <c r="KB8" s="4">
        <f>(Foglio1!$JL8+Foglio1!$JP8+Foglio1!$JS8+Foglio1!$JZ8)/4</f>
        <v>0.74999999999999989</v>
      </c>
      <c r="KC8" s="4">
        <f>(Foglio1!$JC8+Foglio1!$JL8+Foglio1!$JP8+Foglio1!$JS8+Foglio1!$JZ8)/5</f>
        <v>0.7</v>
      </c>
      <c r="KD8" s="4" t="s">
        <v>587</v>
      </c>
      <c r="KE8" s="4">
        <v>0</v>
      </c>
      <c r="KF8" s="4">
        <v>2</v>
      </c>
      <c r="KG8" s="4" t="s">
        <v>588</v>
      </c>
      <c r="KH8" s="4">
        <v>0</v>
      </c>
      <c r="KI8" s="4">
        <v>2</v>
      </c>
      <c r="KJ8" s="4" t="s">
        <v>589</v>
      </c>
      <c r="KK8" s="4">
        <v>0</v>
      </c>
      <c r="KL8" s="4">
        <v>2</v>
      </c>
      <c r="KM8" s="4" t="s">
        <v>590</v>
      </c>
      <c r="KN8" s="4">
        <v>0</v>
      </c>
      <c r="KO8" s="4">
        <v>0</v>
      </c>
      <c r="KP8" s="4" t="s">
        <v>591</v>
      </c>
      <c r="KQ8" s="4">
        <v>2</v>
      </c>
      <c r="KR8" s="4">
        <v>3</v>
      </c>
      <c r="KS8" s="4" t="s">
        <v>393</v>
      </c>
      <c r="KT8" s="4">
        <v>2</v>
      </c>
      <c r="KU8" s="4">
        <v>1</v>
      </c>
      <c r="KV8" s="4" t="s">
        <v>592</v>
      </c>
      <c r="KW8" s="4">
        <v>0</v>
      </c>
      <c r="KX8" s="4">
        <v>2</v>
      </c>
      <c r="KY8" s="4" t="s">
        <v>593</v>
      </c>
      <c r="KZ8" s="4">
        <v>0</v>
      </c>
      <c r="LA8" s="4">
        <v>0</v>
      </c>
      <c r="LB8" s="4" t="s">
        <v>594</v>
      </c>
      <c r="LC8" s="4">
        <v>0</v>
      </c>
      <c r="LD8" s="4">
        <v>1</v>
      </c>
      <c r="LE8" s="4" t="s">
        <v>595</v>
      </c>
      <c r="LF8" s="4">
        <v>2</v>
      </c>
      <c r="LG8" s="4">
        <v>3</v>
      </c>
      <c r="LH8" s="4" t="s">
        <v>596</v>
      </c>
      <c r="LI8" s="4">
        <v>2</v>
      </c>
      <c r="LJ8" s="4">
        <v>1</v>
      </c>
      <c r="LK8" s="4" t="s">
        <v>597</v>
      </c>
      <c r="LL8" s="4">
        <v>2</v>
      </c>
      <c r="LM8" s="4">
        <v>2</v>
      </c>
      <c r="LN8" s="4" t="s">
        <v>598</v>
      </c>
      <c r="LO8" s="4">
        <v>2</v>
      </c>
      <c r="LP8" s="4">
        <v>2</v>
      </c>
      <c r="LQ8" s="4" t="s">
        <v>599</v>
      </c>
      <c r="LR8" s="4">
        <v>0</v>
      </c>
      <c r="LS8" s="4">
        <v>0</v>
      </c>
      <c r="LT8" s="4">
        <f>(Foglio1!$KE8+Foglio1!$KH8+Foglio1!$KK8+Foglio1!$KN8+Foglio1!$KQ8+Foglio1!$KT8+Foglio1!$KW8+Foglio1!$KZ8+Foglio1!$LC8+Foglio1!$LF8+Foglio1!$LI8+Foglio1!$LL8+Foglio1!$LO8+Foglio1!$LR8)</f>
        <v>12</v>
      </c>
      <c r="LU8" s="4">
        <f>(Foglio1!$KI8+Foglio1!$KF8+Foglio1!$KL8+Foglio1!$KO8+Foglio1!$KR8+Foglio1!$KU8+Foglio1!$KX8+Foglio1!$LA8+Foglio1!$LD8+Foglio1!$LG8+Foglio1!$LJ8+Foglio1!$LM8+Foglio1!$LP8+Foglio1!$LS8)</f>
        <v>21</v>
      </c>
      <c r="LV8" s="4">
        <v>53</v>
      </c>
      <c r="LW8" s="4">
        <v>46</v>
      </c>
      <c r="LX8" s="4">
        <v>22</v>
      </c>
      <c r="LY8" s="4">
        <v>33</v>
      </c>
      <c r="LZ8" s="3">
        <v>0</v>
      </c>
      <c r="MA8" s="3">
        <v>0</v>
      </c>
      <c r="MB8" s="3">
        <v>1</v>
      </c>
      <c r="MC8" s="3">
        <v>4</v>
      </c>
      <c r="MD8" s="3">
        <f t="shared" si="7"/>
        <v>5</v>
      </c>
      <c r="ME8" s="3">
        <v>0</v>
      </c>
      <c r="MF8" s="3">
        <v>0</v>
      </c>
      <c r="MG8" s="3">
        <v>0</v>
      </c>
      <c r="MH8" s="3">
        <v>0</v>
      </c>
      <c r="MI8" s="3">
        <f t="shared" si="8"/>
        <v>0</v>
      </c>
    </row>
    <row r="9" spans="1:347" ht="15.75" customHeight="1" x14ac:dyDescent="0.25">
      <c r="A9" s="4" t="s">
        <v>600</v>
      </c>
      <c r="B9" s="4">
        <v>28</v>
      </c>
      <c r="C9" s="4" t="s">
        <v>349</v>
      </c>
      <c r="D9" s="4">
        <v>29</v>
      </c>
      <c r="E9" s="4">
        <v>0</v>
      </c>
      <c r="F9" s="4" t="s">
        <v>350</v>
      </c>
      <c r="G9" s="4" t="s">
        <v>356</v>
      </c>
      <c r="H9" s="4" t="s">
        <v>601</v>
      </c>
      <c r="I9" s="4" t="s">
        <v>602</v>
      </c>
      <c r="J9" s="7" t="s">
        <v>603</v>
      </c>
      <c r="K9" s="4"/>
      <c r="L9" s="4" t="s">
        <v>604</v>
      </c>
      <c r="M9" s="4" t="s">
        <v>449</v>
      </c>
      <c r="N9" s="4" t="s">
        <v>605</v>
      </c>
      <c r="O9" s="9">
        <v>45551</v>
      </c>
      <c r="P9" s="9">
        <v>45559</v>
      </c>
      <c r="Q9" s="3" t="s">
        <v>606</v>
      </c>
      <c r="R9" s="4"/>
      <c r="S9" s="4"/>
      <c r="T9" s="4"/>
      <c r="U9" s="4"/>
      <c r="V9" s="4"/>
      <c r="W9" s="4"/>
      <c r="X9" s="4"/>
      <c r="Y9" s="4"/>
      <c r="Z9" s="4"/>
      <c r="AA9" s="4"/>
      <c r="AB9" s="4"/>
      <c r="AC9" s="4"/>
      <c r="AD9" s="4"/>
      <c r="AE9" s="4"/>
      <c r="AF9" s="4"/>
      <c r="AG9" s="4"/>
      <c r="AH9" s="4" t="s">
        <v>607</v>
      </c>
      <c r="AI9" s="4" t="s">
        <v>608</v>
      </c>
      <c r="AJ9" s="4" t="s">
        <v>609</v>
      </c>
      <c r="AK9" s="4" t="s">
        <v>610</v>
      </c>
      <c r="AL9" s="5" t="s">
        <v>356</v>
      </c>
      <c r="AM9" s="5" t="s">
        <v>356</v>
      </c>
      <c r="AN9" s="5" t="s">
        <v>356</v>
      </c>
      <c r="AO9" s="5" t="s">
        <v>356</v>
      </c>
      <c r="AP9" s="5" t="s">
        <v>356</v>
      </c>
      <c r="AQ9" s="5" t="s">
        <v>356</v>
      </c>
      <c r="AR9" s="5" t="s">
        <v>356</v>
      </c>
      <c r="AS9" s="5" t="s">
        <v>356</v>
      </c>
      <c r="AT9" s="5" t="s">
        <v>356</v>
      </c>
      <c r="AU9" s="5" t="s">
        <v>356</v>
      </c>
      <c r="AV9" s="5" t="s">
        <v>356</v>
      </c>
      <c r="AW9" s="5" t="s">
        <v>356</v>
      </c>
      <c r="AX9" s="4">
        <v>2</v>
      </c>
      <c r="AY9" s="4"/>
      <c r="AZ9" s="5" t="s">
        <v>383</v>
      </c>
      <c r="BA9" s="4">
        <f t="shared" si="9"/>
        <v>8</v>
      </c>
      <c r="BB9" s="4"/>
      <c r="BC9" s="4"/>
      <c r="BD9" s="4"/>
      <c r="BE9" s="4"/>
      <c r="BF9" s="4"/>
      <c r="BG9" s="6">
        <v>45553</v>
      </c>
      <c r="BH9" s="4" t="s">
        <v>356</v>
      </c>
      <c r="BI9" s="4" t="s">
        <v>356</v>
      </c>
      <c r="BJ9" s="4" t="s">
        <v>356</v>
      </c>
      <c r="BK9" s="4" t="s">
        <v>356</v>
      </c>
      <c r="BL9" s="4" t="s">
        <v>356</v>
      </c>
      <c r="BM9" s="4" t="s">
        <v>356</v>
      </c>
      <c r="BN9" s="4" t="s">
        <v>356</v>
      </c>
      <c r="BO9" s="4" t="s">
        <v>356</v>
      </c>
      <c r="BP9" s="4">
        <v>4</v>
      </c>
      <c r="BQ9" s="4">
        <v>2</v>
      </c>
      <c r="BR9" s="4">
        <v>0</v>
      </c>
      <c r="BS9" s="4">
        <v>65</v>
      </c>
      <c r="BT9" s="4">
        <v>1</v>
      </c>
      <c r="BU9" s="4">
        <v>2</v>
      </c>
      <c r="BV9" s="4">
        <v>1</v>
      </c>
      <c r="BW9" s="4">
        <v>3</v>
      </c>
      <c r="BX9" s="4">
        <v>2</v>
      </c>
      <c r="BY9" s="4">
        <v>2</v>
      </c>
      <c r="BZ9" s="4">
        <v>1</v>
      </c>
      <c r="CA9" s="4">
        <v>1</v>
      </c>
      <c r="CB9" s="4">
        <v>1</v>
      </c>
      <c r="CC9" s="4">
        <v>1</v>
      </c>
      <c r="CD9" s="4">
        <v>1</v>
      </c>
      <c r="CE9" s="4">
        <v>2</v>
      </c>
      <c r="CF9" s="4">
        <v>2</v>
      </c>
      <c r="CG9" s="4">
        <v>1</v>
      </c>
      <c r="CH9" s="4">
        <v>1</v>
      </c>
      <c r="CI9" s="4">
        <v>2</v>
      </c>
      <c r="CJ9" s="4">
        <v>2</v>
      </c>
      <c r="CK9" s="4">
        <v>3</v>
      </c>
      <c r="CL9" s="4">
        <v>1</v>
      </c>
      <c r="CM9" s="4">
        <v>1</v>
      </c>
      <c r="CN9" s="4">
        <v>1</v>
      </c>
      <c r="CO9" s="4">
        <v>1</v>
      </c>
      <c r="CP9" s="4">
        <v>2</v>
      </c>
      <c r="CQ9" s="4">
        <v>1</v>
      </c>
      <c r="CR9" s="4">
        <v>2</v>
      </c>
      <c r="CS9" s="4">
        <v>3</v>
      </c>
      <c r="CT9" s="4">
        <v>3</v>
      </c>
      <c r="CU9" s="4">
        <v>3</v>
      </c>
      <c r="CV9" s="4">
        <v>2</v>
      </c>
      <c r="CW9" s="4">
        <v>1</v>
      </c>
      <c r="CX9" s="4">
        <f>SUM(Foglio1!$BT9:$CW9)</f>
        <v>50</v>
      </c>
      <c r="CY9" s="4">
        <f>SUM(Foglio1!$BT9+Foglio1!$BV9+Foglio1!$CP9+Foglio1!$BY9+Foglio1!$BX9+Foglio1!$CH9+Foglio1!$CS9+Foglio1!$CW9-Foglio1!$CE9)</f>
        <v>11</v>
      </c>
      <c r="CZ9" s="4">
        <f>SUM(Foglio1!$CF9+Foglio1!$CA9+Foglio1!$CB9+Foglio1!$CD9+Foglio1!$CN9+Foglio1!$CC9+Foglio1!$CW9+Foglio1!$CO9+Foglio1!$CT9-Foglio1!$BU9)</f>
        <v>10</v>
      </c>
      <c r="DA9" s="4">
        <f>SUM(Foglio1!$CG9+Foglio1!$CR9+Foglio1!$CQ9+Foglio1!$BU9+Foglio1!$CE9+Foglio1!$CL9+Foglio1!$CS9+Foglio1!$CT9+Foglio1!$CV9+Foglio1!$CP9)</f>
        <v>19</v>
      </c>
      <c r="DB9" s="4">
        <f>SUM(Foglio1!$CU9+Foglio1!$BW9+Foglio1!$BZ9+Foglio1!$CO9+Foglio1!$BX9+Foglio1!$CC9+Foglio1!$CK9+Foglio1!$CW9)</f>
        <v>15</v>
      </c>
      <c r="DC9" s="4">
        <f>SUM(Foglio1!$CI9+Foglio1!$CM9+Foglio1!$CJ9+Foglio1!$CK9+Foglio1!$BY9+Foglio1!$CH9+Foglio1!$CV9+Foglio1!$CW9)</f>
        <v>14</v>
      </c>
      <c r="DD9" s="4">
        <v>0</v>
      </c>
      <c r="DE9" s="4">
        <v>0</v>
      </c>
      <c r="DF9" s="4">
        <v>0</v>
      </c>
      <c r="DG9" s="4">
        <v>0</v>
      </c>
      <c r="DH9" s="4">
        <v>0</v>
      </c>
      <c r="DI9" s="4">
        <v>0</v>
      </c>
      <c r="DJ9" s="4">
        <v>0</v>
      </c>
      <c r="DK9" s="4">
        <v>0</v>
      </c>
      <c r="DL9" s="4">
        <v>0</v>
      </c>
      <c r="DM9" s="4">
        <v>0</v>
      </c>
      <c r="DN9" s="4">
        <v>0</v>
      </c>
      <c r="DO9" s="4">
        <v>0</v>
      </c>
      <c r="DP9" s="4">
        <v>0</v>
      </c>
      <c r="DQ9" s="4">
        <v>0</v>
      </c>
      <c r="DR9" s="4">
        <v>0</v>
      </c>
      <c r="DS9" s="4">
        <v>0</v>
      </c>
      <c r="DT9" s="4">
        <v>0</v>
      </c>
      <c r="DU9" s="4">
        <v>0</v>
      </c>
      <c r="DV9" s="4">
        <v>1</v>
      </c>
      <c r="DW9" s="4">
        <v>0</v>
      </c>
      <c r="DX9" s="4">
        <v>0</v>
      </c>
      <c r="DY9" s="4">
        <v>2</v>
      </c>
      <c r="DZ9" s="4">
        <v>0</v>
      </c>
      <c r="EA9" s="4">
        <v>0</v>
      </c>
      <c r="EB9" s="4">
        <v>1</v>
      </c>
      <c r="EC9" s="4">
        <v>0</v>
      </c>
      <c r="ED9" s="4">
        <v>3</v>
      </c>
      <c r="EE9" s="4">
        <v>0</v>
      </c>
      <c r="EF9" s="4">
        <v>0</v>
      </c>
      <c r="EG9" s="4">
        <v>2</v>
      </c>
      <c r="EH9" s="4">
        <f>(Foglio1!$DE9+Foglio1!$DH9+Foglio1!$DG9+Foglio1!$DF9+Foglio1!$DM9+Foglio1!$DD9+Foglio1!$DO9+Foglio1!$DL9+Foglio1!$DN9+Foglio1!$DQ9+Foglio1!$DP9+Foglio1!$DT9+Foglio1!$DI9+Foglio1!$DK9+Foglio1!$DU9)</f>
        <v>0</v>
      </c>
      <c r="EI9" s="4">
        <f>(Foglio1!$EA9+Foglio1!$EB9+Foglio1!$EE9+Foglio1!$EC9+Foglio1!$ED9+Foglio1!$DZ9+Foglio1!$DY9)</f>
        <v>6</v>
      </c>
      <c r="EJ9" s="4">
        <f>(Foglio1!$DW9+Foglio1!$DV9+Foglio1!$DX9)</f>
        <v>1</v>
      </c>
      <c r="EK9" s="4">
        <f>(Foglio1!$EG9+Foglio1!$EF9)</f>
        <v>2</v>
      </c>
      <c r="EL9" s="4">
        <v>1</v>
      </c>
      <c r="EM9" s="4">
        <v>0</v>
      </c>
      <c r="EN9" s="4">
        <v>1</v>
      </c>
      <c r="EO9" s="4">
        <v>1</v>
      </c>
      <c r="EP9" s="4">
        <f t="array" ref="EP9">SUM(EL9:EO9/4)</f>
        <v>0.75</v>
      </c>
      <c r="EQ9" s="4">
        <v>1</v>
      </c>
      <c r="ER9" s="4">
        <v>0</v>
      </c>
      <c r="ES9" s="4">
        <v>1</v>
      </c>
      <c r="ET9" s="4">
        <v>0</v>
      </c>
      <c r="EU9" s="4" t="s">
        <v>611</v>
      </c>
      <c r="EV9" s="4">
        <v>1</v>
      </c>
      <c r="EW9" s="4" t="s">
        <v>612</v>
      </c>
      <c r="EX9" s="4">
        <v>1</v>
      </c>
      <c r="EY9" s="4">
        <f>(Foglio1!$EQ9+Foglio1!$ER9+Foglio1!$ES9+Foglio1!$ET9+Foglio1!$EV9+Foglio1!$EX9)/6</f>
        <v>0.66666666666666663</v>
      </c>
      <c r="EZ9" s="4">
        <v>1</v>
      </c>
      <c r="FA9" s="4"/>
      <c r="FB9" s="4">
        <v>1</v>
      </c>
      <c r="FC9" s="4">
        <f>(Foglio1!$EZ9+Foglio1!$FA9+Foglio1!$FB9)/3</f>
        <v>0.66666666666666663</v>
      </c>
      <c r="FD9" s="4" t="s">
        <v>383</v>
      </c>
      <c r="FE9" s="4">
        <v>0</v>
      </c>
      <c r="FF9" s="4" t="e">
        <f>(Foglio1!$FD9+Foglio1!$FE9)/2</f>
        <v>#VALUE!</v>
      </c>
      <c r="FG9" s="4" t="s">
        <v>613</v>
      </c>
      <c r="FH9" s="4">
        <v>1</v>
      </c>
      <c r="FI9" s="4" t="s">
        <v>614</v>
      </c>
      <c r="FJ9" s="4">
        <v>1</v>
      </c>
      <c r="FK9" s="4" t="s">
        <v>615</v>
      </c>
      <c r="FL9" s="4">
        <v>0</v>
      </c>
      <c r="FM9" s="4">
        <f>(Foglio1!$FH9+Foglio1!$FJ9+Foglio1!$FL9)/3</f>
        <v>0.66666666666666663</v>
      </c>
      <c r="FN9" s="4">
        <f>(Foglio1!$EP9)</f>
        <v>0.75</v>
      </c>
      <c r="FO9" s="4" t="e">
        <f>(Foglio1!$EY9+Foglio1!$FC9+Foglio1!$FF9+Foglio1!$FM9)/4</f>
        <v>#VALUE!</v>
      </c>
      <c r="FP9" s="4" t="e">
        <f>(Foglio1!$EP9+Foglio1!$EY9+Foglio1!$FC9+Foglio1!$FF9+Foglio1!$FM9)/5</f>
        <v>#VALUE!</v>
      </c>
      <c r="FQ9" s="6">
        <v>45558</v>
      </c>
      <c r="FR9" s="4" t="s">
        <v>356</v>
      </c>
      <c r="FS9" s="4" t="s">
        <v>356</v>
      </c>
      <c r="FT9" s="4" t="s">
        <v>356</v>
      </c>
      <c r="FU9" s="4" t="s">
        <v>356</v>
      </c>
      <c r="FV9" s="4" t="s">
        <v>356</v>
      </c>
      <c r="FW9" s="4" t="s">
        <v>356</v>
      </c>
      <c r="FX9" s="4" t="s">
        <v>356</v>
      </c>
      <c r="FY9" s="4">
        <v>3</v>
      </c>
      <c r="FZ9" s="4">
        <v>3</v>
      </c>
      <c r="GA9" s="4">
        <v>9</v>
      </c>
      <c r="GB9" s="4">
        <v>70</v>
      </c>
      <c r="GC9" s="4">
        <v>0</v>
      </c>
      <c r="GD9" s="4">
        <v>1</v>
      </c>
      <c r="GE9" s="4">
        <v>0</v>
      </c>
      <c r="GF9" s="4">
        <v>2</v>
      </c>
      <c r="GG9" s="4">
        <v>0</v>
      </c>
      <c r="GH9" s="4">
        <v>1</v>
      </c>
      <c r="GI9" s="4">
        <v>0</v>
      </c>
      <c r="GJ9" s="4">
        <v>0</v>
      </c>
      <c r="GK9" s="4">
        <v>0</v>
      </c>
      <c r="GL9" s="4">
        <v>1</v>
      </c>
      <c r="GM9" s="4">
        <v>0</v>
      </c>
      <c r="GN9" s="4">
        <v>1</v>
      </c>
      <c r="GO9" s="4">
        <v>0</v>
      </c>
      <c r="GP9" s="4">
        <v>0</v>
      </c>
      <c r="GQ9" s="4">
        <v>0</v>
      </c>
      <c r="GR9" s="4">
        <v>1</v>
      </c>
      <c r="GS9" s="4">
        <v>1</v>
      </c>
      <c r="GT9" s="4">
        <v>2</v>
      </c>
      <c r="GU9" s="4">
        <v>0</v>
      </c>
      <c r="GV9" s="4">
        <v>0</v>
      </c>
      <c r="GW9" s="4">
        <v>0</v>
      </c>
      <c r="GX9" s="4">
        <v>0</v>
      </c>
      <c r="GY9" s="4">
        <v>1</v>
      </c>
      <c r="GZ9" s="4">
        <v>0</v>
      </c>
      <c r="HA9" s="4">
        <v>1</v>
      </c>
      <c r="HB9" s="4">
        <v>1</v>
      </c>
      <c r="HC9" s="4">
        <v>1</v>
      </c>
      <c r="HD9" s="4">
        <v>1</v>
      </c>
      <c r="HE9" s="4">
        <v>1</v>
      </c>
      <c r="HF9" s="4">
        <v>0</v>
      </c>
      <c r="HG9" s="4">
        <f t="shared" si="10"/>
        <v>16</v>
      </c>
      <c r="HH9" s="4">
        <f t="shared" si="11"/>
        <v>2</v>
      </c>
      <c r="HI9" s="4">
        <f t="shared" si="12"/>
        <v>1</v>
      </c>
      <c r="HJ9" s="4">
        <f t="shared" si="13"/>
        <v>7</v>
      </c>
      <c r="HK9" s="4">
        <f t="shared" si="14"/>
        <v>6</v>
      </c>
      <c r="HL9" s="4">
        <f t="shared" si="15"/>
        <v>6</v>
      </c>
      <c r="HM9" s="4">
        <v>0</v>
      </c>
      <c r="HN9" s="4">
        <v>0</v>
      </c>
      <c r="HO9" s="4">
        <v>0</v>
      </c>
      <c r="HP9" s="4">
        <v>0</v>
      </c>
      <c r="HQ9" s="4">
        <v>0</v>
      </c>
      <c r="HR9" s="4">
        <v>0</v>
      </c>
      <c r="HS9" s="4">
        <v>0</v>
      </c>
      <c r="HT9" s="4">
        <v>0</v>
      </c>
      <c r="HU9" s="4">
        <v>0</v>
      </c>
      <c r="HV9" s="4">
        <v>0</v>
      </c>
      <c r="HW9" s="4">
        <v>0</v>
      </c>
      <c r="HX9" s="4">
        <v>0</v>
      </c>
      <c r="HY9" s="4">
        <v>0</v>
      </c>
      <c r="HZ9" s="4">
        <v>0</v>
      </c>
      <c r="IA9" s="4">
        <v>0</v>
      </c>
      <c r="IB9" s="4">
        <v>0</v>
      </c>
      <c r="IC9" s="4">
        <v>2</v>
      </c>
      <c r="ID9" s="4">
        <v>0</v>
      </c>
      <c r="IE9" s="4">
        <v>0</v>
      </c>
      <c r="IF9" s="4">
        <v>0</v>
      </c>
      <c r="IG9" s="4">
        <v>1</v>
      </c>
      <c r="IH9" s="4">
        <v>0</v>
      </c>
      <c r="II9" s="4">
        <v>3</v>
      </c>
      <c r="IJ9" s="4">
        <v>0</v>
      </c>
      <c r="IK9" s="4">
        <v>0</v>
      </c>
      <c r="IL9" s="4">
        <v>0</v>
      </c>
      <c r="IM9" s="4">
        <v>0</v>
      </c>
      <c r="IN9" s="4">
        <v>2</v>
      </c>
      <c r="IO9" s="4">
        <v>1</v>
      </c>
      <c r="IP9" s="4">
        <v>0</v>
      </c>
      <c r="IQ9" s="4">
        <f t="shared" si="16"/>
        <v>2</v>
      </c>
      <c r="IR9" s="4">
        <f t="shared" si="17"/>
        <v>5</v>
      </c>
      <c r="IS9" s="4">
        <f t="shared" si="18"/>
        <v>1</v>
      </c>
      <c r="IT9" s="4">
        <f t="shared" si="19"/>
        <v>1</v>
      </c>
      <c r="IU9" s="4" t="s">
        <v>383</v>
      </c>
      <c r="IV9" s="4" t="s">
        <v>383</v>
      </c>
      <c r="IW9" s="4" t="s">
        <v>383</v>
      </c>
      <c r="IX9" s="4" t="s">
        <v>383</v>
      </c>
      <c r="IY9" s="4">
        <v>0</v>
      </c>
      <c r="IZ9" s="4">
        <v>1</v>
      </c>
      <c r="JA9" s="4">
        <v>1</v>
      </c>
      <c r="JB9" s="4">
        <v>1</v>
      </c>
      <c r="JC9" s="4">
        <f>(Foglio1!$IY9+Foglio1!$IZ9+Foglio1!$JA9+Foglio1!$JB9)/4</f>
        <v>0.75</v>
      </c>
      <c r="JD9" s="4">
        <v>1</v>
      </c>
      <c r="JE9" s="4">
        <v>0</v>
      </c>
      <c r="JF9" s="4">
        <v>1</v>
      </c>
      <c r="JG9" s="4"/>
      <c r="JH9" s="4" t="s">
        <v>616</v>
      </c>
      <c r="JI9" s="4">
        <v>1</v>
      </c>
      <c r="JJ9" s="4" t="s">
        <v>617</v>
      </c>
      <c r="JK9" s="4">
        <v>0</v>
      </c>
      <c r="JL9" s="4">
        <f>(Foglio1!$JD9+Foglio1!$JE9+Foglio1!$JF9+Foglio1!$JG9+Foglio1!$JI9+Foglio1!$JK9)/6</f>
        <v>0.5</v>
      </c>
      <c r="JM9" s="4">
        <v>1</v>
      </c>
      <c r="JN9" s="4">
        <v>1</v>
      </c>
      <c r="JO9" s="4"/>
      <c r="JP9" s="4">
        <f>(Foglio1!$JM9+Foglio1!$JN9+Foglio1!$JO9)/3</f>
        <v>0.66666666666666663</v>
      </c>
      <c r="JQ9" s="4">
        <v>1</v>
      </c>
      <c r="JR9" s="4" t="s">
        <v>383</v>
      </c>
      <c r="JS9" s="4" t="e">
        <f>(Foglio1!$JQ9+Foglio1!$JR9)/2</f>
        <v>#VALUE!</v>
      </c>
      <c r="JT9" s="4" t="s">
        <v>618</v>
      </c>
      <c r="JU9" s="4">
        <v>0</v>
      </c>
      <c r="JV9" s="4" t="s">
        <v>619</v>
      </c>
      <c r="JW9" s="4">
        <v>0</v>
      </c>
      <c r="JX9" s="4" t="s">
        <v>620</v>
      </c>
      <c r="JY9" s="4">
        <v>0</v>
      </c>
      <c r="JZ9" s="4">
        <f>(Foglio1!$JU9+Foglio1!$JW9+Foglio1!$JY9)/3</f>
        <v>0</v>
      </c>
      <c r="KA9" s="4">
        <f>(Foglio1!$JC9)</f>
        <v>0.75</v>
      </c>
      <c r="KB9" s="4" t="e">
        <f>(Foglio1!$JL9+Foglio1!$JP9+Foglio1!$JS9+Foglio1!$JZ9)/4</f>
        <v>#VALUE!</v>
      </c>
      <c r="KC9" s="4" t="e">
        <f>(Foglio1!$JC9+Foglio1!$JL9+Foglio1!$JP9+Foglio1!$JS9+Foglio1!$JZ9)/5</f>
        <v>#VALUE!</v>
      </c>
      <c r="KD9" s="4" t="s">
        <v>621</v>
      </c>
      <c r="KE9" s="4">
        <v>0</v>
      </c>
      <c r="KF9" s="4">
        <v>3</v>
      </c>
      <c r="KG9" s="4" t="s">
        <v>622</v>
      </c>
      <c r="KH9" s="4">
        <v>0</v>
      </c>
      <c r="KI9" s="4">
        <v>2</v>
      </c>
      <c r="KJ9" s="4" t="s">
        <v>623</v>
      </c>
      <c r="KK9" s="4">
        <v>1</v>
      </c>
      <c r="KL9" s="4">
        <v>2</v>
      </c>
      <c r="KM9" s="4" t="s">
        <v>624</v>
      </c>
      <c r="KN9" s="4">
        <v>2</v>
      </c>
      <c r="KO9" s="4">
        <v>1</v>
      </c>
      <c r="KP9" s="4" t="s">
        <v>625</v>
      </c>
      <c r="KQ9" s="4">
        <v>1</v>
      </c>
      <c r="KR9" s="4">
        <v>3</v>
      </c>
      <c r="KS9" s="4" t="s">
        <v>626</v>
      </c>
      <c r="KT9" s="4">
        <v>2</v>
      </c>
      <c r="KU9" s="4">
        <v>1</v>
      </c>
      <c r="KV9" s="4" t="s">
        <v>627</v>
      </c>
      <c r="KW9" s="4">
        <v>0</v>
      </c>
      <c r="KX9" s="4">
        <v>2</v>
      </c>
      <c r="KY9" s="4" t="s">
        <v>628</v>
      </c>
      <c r="KZ9" s="4">
        <v>1</v>
      </c>
      <c r="LA9" s="4">
        <v>3</v>
      </c>
      <c r="LB9" s="4" t="s">
        <v>629</v>
      </c>
      <c r="LC9" s="4">
        <v>2</v>
      </c>
      <c r="LD9" s="4">
        <v>1</v>
      </c>
      <c r="LE9" s="4" t="s">
        <v>630</v>
      </c>
      <c r="LF9" s="4">
        <v>2</v>
      </c>
      <c r="LG9" s="4">
        <v>3</v>
      </c>
      <c r="LH9" s="4" t="s">
        <v>631</v>
      </c>
      <c r="LI9" s="4">
        <v>0</v>
      </c>
      <c r="LJ9" s="4">
        <v>1</v>
      </c>
      <c r="LK9" s="4" t="s">
        <v>632</v>
      </c>
      <c r="LL9" s="4">
        <v>0</v>
      </c>
      <c r="LM9" s="4">
        <v>2</v>
      </c>
      <c r="LN9" s="4" t="s">
        <v>633</v>
      </c>
      <c r="LO9" s="4">
        <v>2</v>
      </c>
      <c r="LP9" s="4">
        <v>2</v>
      </c>
      <c r="LQ9" s="4" t="s">
        <v>634</v>
      </c>
      <c r="LR9" s="4">
        <v>0</v>
      </c>
      <c r="LS9" s="4">
        <v>3</v>
      </c>
      <c r="LT9" s="4">
        <f>(Foglio1!$KE9+Foglio1!$KH9+Foglio1!$KK9+Foglio1!$KN9+Foglio1!$KQ9+Foglio1!$KT9+Foglio1!$KW9+Foglio1!$KZ9+Foglio1!$LC9+Foglio1!$LF9+Foglio1!$LI9+Foglio1!$LL9+Foglio1!$LO9+Foglio1!$LR9)</f>
        <v>13</v>
      </c>
      <c r="LU9" s="4">
        <f>(Foglio1!$KI9+Foglio1!$KF9+Foglio1!$KL9+Foglio1!$KO9+Foglio1!$KR9+Foglio1!$KU9+Foglio1!$KX9+Foglio1!$LA9+Foglio1!$LD9+Foglio1!$LG9+Foglio1!$LJ9+Foglio1!$LM9+Foglio1!$LP9+Foglio1!$LS9)</f>
        <v>29</v>
      </c>
      <c r="LV9" s="4">
        <v>32</v>
      </c>
      <c r="LW9" s="4">
        <v>38</v>
      </c>
      <c r="LX9" s="4">
        <v>14</v>
      </c>
      <c r="LY9" s="4">
        <v>31</v>
      </c>
      <c r="LZ9" s="3">
        <v>1</v>
      </c>
      <c r="MA9" s="3">
        <v>0</v>
      </c>
      <c r="MB9" s="3">
        <v>0</v>
      </c>
      <c r="MC9" s="3">
        <v>2</v>
      </c>
      <c r="MD9" s="3">
        <f t="shared" si="7"/>
        <v>3</v>
      </c>
      <c r="ME9" s="3">
        <v>0</v>
      </c>
      <c r="MF9" s="3">
        <v>0</v>
      </c>
      <c r="MG9" s="3">
        <v>0</v>
      </c>
      <c r="MH9" s="3">
        <v>0</v>
      </c>
      <c r="MI9" s="3">
        <f t="shared" si="8"/>
        <v>0</v>
      </c>
    </row>
    <row r="10" spans="1:347" ht="15.75" customHeight="1" x14ac:dyDescent="0.25">
      <c r="A10" s="4" t="s">
        <v>635</v>
      </c>
      <c r="B10" s="4">
        <v>63</v>
      </c>
      <c r="C10" s="4" t="s">
        <v>403</v>
      </c>
      <c r="D10" s="4">
        <v>13</v>
      </c>
      <c r="E10" s="4">
        <v>0</v>
      </c>
      <c r="F10" s="4" t="s">
        <v>360</v>
      </c>
      <c r="G10" s="4" t="s">
        <v>356</v>
      </c>
      <c r="H10" s="4" t="s">
        <v>636</v>
      </c>
      <c r="I10" s="4" t="s">
        <v>637</v>
      </c>
      <c r="J10" s="4" t="s">
        <v>638</v>
      </c>
      <c r="K10" s="4"/>
      <c r="L10" s="4" t="s">
        <v>639</v>
      </c>
      <c r="M10" s="4" t="s">
        <v>357</v>
      </c>
      <c r="N10" s="4" t="s">
        <v>406</v>
      </c>
      <c r="O10" s="9">
        <v>45785</v>
      </c>
      <c r="P10" s="9">
        <v>45800</v>
      </c>
      <c r="Q10" s="4" t="s">
        <v>640</v>
      </c>
      <c r="R10" s="4"/>
      <c r="S10" s="4" t="s">
        <v>641</v>
      </c>
      <c r="T10" s="4" t="s">
        <v>360</v>
      </c>
      <c r="U10" s="4"/>
      <c r="V10" s="4" t="s">
        <v>641</v>
      </c>
      <c r="W10" s="4" t="s">
        <v>413</v>
      </c>
      <c r="X10" s="4" t="s">
        <v>364</v>
      </c>
      <c r="Y10" s="4" t="s">
        <v>366</v>
      </c>
      <c r="Z10" s="4"/>
      <c r="AA10" s="4"/>
      <c r="AB10" s="4"/>
      <c r="AC10" s="4"/>
      <c r="AD10" s="4"/>
      <c r="AE10" s="4"/>
      <c r="AF10" s="4"/>
      <c r="AG10" s="4"/>
      <c r="AH10" s="4" t="s">
        <v>641</v>
      </c>
      <c r="AI10" s="4" t="s">
        <v>642</v>
      </c>
      <c r="AJ10" s="4" t="s">
        <v>413</v>
      </c>
      <c r="AK10" s="4" t="s">
        <v>643</v>
      </c>
      <c r="AL10" s="4" t="s">
        <v>364</v>
      </c>
      <c r="AM10" s="4" t="s">
        <v>644</v>
      </c>
      <c r="AN10" s="4" t="s">
        <v>366</v>
      </c>
      <c r="AO10" s="4" t="s">
        <v>645</v>
      </c>
      <c r="AP10" s="5" t="s">
        <v>356</v>
      </c>
      <c r="AQ10" s="5" t="s">
        <v>356</v>
      </c>
      <c r="AR10" s="5" t="s">
        <v>356</v>
      </c>
      <c r="AS10" s="5" t="s">
        <v>356</v>
      </c>
      <c r="AT10" s="5" t="s">
        <v>356</v>
      </c>
      <c r="AU10" s="5" t="s">
        <v>356</v>
      </c>
      <c r="AV10" s="5" t="s">
        <v>356</v>
      </c>
      <c r="AW10" s="5" t="s">
        <v>356</v>
      </c>
      <c r="AX10" s="4">
        <v>4</v>
      </c>
      <c r="AY10" s="4"/>
      <c r="AZ10" s="5" t="s">
        <v>383</v>
      </c>
      <c r="BA10" s="4">
        <f t="shared" si="9"/>
        <v>15</v>
      </c>
      <c r="BB10" s="4"/>
      <c r="BC10" s="4" t="s">
        <v>360</v>
      </c>
      <c r="BD10" s="4"/>
      <c r="BE10" s="4"/>
      <c r="BF10" s="4"/>
      <c r="BG10" s="4" t="s">
        <v>383</v>
      </c>
      <c r="BH10" s="4">
        <v>3</v>
      </c>
      <c r="BI10" s="4">
        <v>3</v>
      </c>
      <c r="BJ10" s="4">
        <v>4</v>
      </c>
      <c r="BK10" s="4">
        <v>4</v>
      </c>
      <c r="BL10" s="4">
        <v>3</v>
      </c>
      <c r="BM10" s="4">
        <v>3</v>
      </c>
      <c r="BN10" s="4">
        <v>3</v>
      </c>
      <c r="BO10" s="4">
        <f>SUM(Foglio1!$BH38:$BM38)</f>
        <v>0</v>
      </c>
      <c r="BP10" s="4">
        <v>5</v>
      </c>
      <c r="BQ10" s="4">
        <v>4</v>
      </c>
      <c r="BR10" s="4">
        <v>10</v>
      </c>
      <c r="BS10" s="4">
        <v>45</v>
      </c>
      <c r="BT10" s="4">
        <v>5</v>
      </c>
      <c r="BU10" s="4">
        <v>4</v>
      </c>
      <c r="BV10" s="4">
        <v>3</v>
      </c>
      <c r="BW10" s="4">
        <v>3</v>
      </c>
      <c r="BX10" s="4">
        <v>3</v>
      </c>
      <c r="BY10" s="4">
        <v>5</v>
      </c>
      <c r="BZ10" s="4">
        <v>4</v>
      </c>
      <c r="CA10" s="4">
        <v>4</v>
      </c>
      <c r="CB10" s="4">
        <v>3</v>
      </c>
      <c r="CC10" s="4">
        <v>3</v>
      </c>
      <c r="CD10" s="4">
        <v>2</v>
      </c>
      <c r="CE10" s="4">
        <v>3</v>
      </c>
      <c r="CF10" s="4">
        <v>3</v>
      </c>
      <c r="CG10" s="4">
        <v>3</v>
      </c>
      <c r="CH10" s="4">
        <v>3</v>
      </c>
      <c r="CI10" s="4">
        <v>2</v>
      </c>
      <c r="CJ10" s="4">
        <v>2</v>
      </c>
      <c r="CK10" s="4">
        <v>1</v>
      </c>
      <c r="CL10" s="4">
        <v>3</v>
      </c>
      <c r="CM10" s="4">
        <v>2</v>
      </c>
      <c r="CN10" s="4">
        <v>2</v>
      </c>
      <c r="CO10" s="4">
        <v>4</v>
      </c>
      <c r="CP10" s="4">
        <v>5</v>
      </c>
      <c r="CQ10" s="4">
        <v>2</v>
      </c>
      <c r="CR10" s="4">
        <v>2</v>
      </c>
      <c r="CS10" s="4">
        <v>3</v>
      </c>
      <c r="CT10" s="4">
        <v>2</v>
      </c>
      <c r="CU10" s="4">
        <v>2</v>
      </c>
      <c r="CV10" s="4">
        <v>2</v>
      </c>
      <c r="CW10" s="4">
        <v>3</v>
      </c>
      <c r="CX10" s="4">
        <f>SUM(Foglio1!$BT10:$CW10)</f>
        <v>88</v>
      </c>
      <c r="CY10" s="4">
        <f>SUM(Foglio1!$BT10+Foglio1!$BV10+Foglio1!$CP10+Foglio1!$BY10+Foglio1!$BX10+Foglio1!$CH10+Foglio1!$CS10+Foglio1!$CW10-Foglio1!$CE10)</f>
        <v>27</v>
      </c>
      <c r="CZ10" s="4">
        <f>SUM(Foglio1!$CF10+Foglio1!$CA10+Foglio1!$CB10+Foglio1!$CD10+Foglio1!$CN10+Foglio1!$CC10+Foglio1!$CW10+Foglio1!$CO10+Foglio1!$CT10-Foglio1!$BU10)</f>
        <v>22</v>
      </c>
      <c r="DA10" s="4">
        <f>SUM(Foglio1!$CG10+Foglio1!$CR10+Foglio1!$CQ10+Foglio1!$BU10+Foglio1!$CE10+Foglio1!$CL10+Foglio1!$CS10+Foglio1!$CT10+Foglio1!$CV10+Foglio1!$CP10)</f>
        <v>29</v>
      </c>
      <c r="DB10" s="4">
        <f>SUM(Foglio1!$CU10+Foglio1!$BW10+Foglio1!$BZ10+Foglio1!$CO10+Foglio1!$BX10+Foglio1!$CC10+Foglio1!$CK10+Foglio1!$CW10)</f>
        <v>23</v>
      </c>
      <c r="DC10" s="4">
        <f>SUM(Foglio1!$CI10+Foglio1!$CM10+Foglio1!$CJ10+Foglio1!$CK10+Foglio1!$BY10+Foglio1!$CH10+Foglio1!$CV10+Foglio1!$CW10)</f>
        <v>20</v>
      </c>
      <c r="DD10" s="4">
        <v>4</v>
      </c>
      <c r="DE10" s="4">
        <v>0</v>
      </c>
      <c r="DF10" s="4">
        <v>2</v>
      </c>
      <c r="DG10" s="4">
        <v>0</v>
      </c>
      <c r="DH10" s="4">
        <v>0</v>
      </c>
      <c r="DI10" s="4">
        <v>0</v>
      </c>
      <c r="DJ10" s="4">
        <v>0</v>
      </c>
      <c r="DK10" s="4">
        <v>0</v>
      </c>
      <c r="DL10" s="4">
        <v>0</v>
      </c>
      <c r="DM10" s="4">
        <v>0</v>
      </c>
      <c r="DN10" s="4">
        <v>0</v>
      </c>
      <c r="DO10" s="4">
        <v>0</v>
      </c>
      <c r="DP10" s="4">
        <v>0</v>
      </c>
      <c r="DQ10" s="4">
        <v>0</v>
      </c>
      <c r="DR10" s="4">
        <v>0</v>
      </c>
      <c r="DS10" s="4">
        <v>0</v>
      </c>
      <c r="DT10" s="4">
        <v>0</v>
      </c>
      <c r="DU10" s="4">
        <v>3</v>
      </c>
      <c r="DV10" s="4">
        <v>1</v>
      </c>
      <c r="DW10" s="4">
        <v>0</v>
      </c>
      <c r="DX10" s="4">
        <v>0</v>
      </c>
      <c r="DY10" s="4">
        <v>0</v>
      </c>
      <c r="DZ10" s="4">
        <v>0</v>
      </c>
      <c r="EA10" s="4">
        <v>1</v>
      </c>
      <c r="EB10" s="4">
        <v>3</v>
      </c>
      <c r="EC10" s="4">
        <v>2</v>
      </c>
      <c r="ED10" s="4">
        <v>1</v>
      </c>
      <c r="EE10" s="4">
        <v>0</v>
      </c>
      <c r="EF10" s="4">
        <v>3</v>
      </c>
      <c r="EG10" s="4">
        <v>4</v>
      </c>
      <c r="EH10" s="4">
        <f>(Foglio1!$DE10+Foglio1!$DH10+Foglio1!$DG10+Foglio1!$DF10+Foglio1!$DM10+Foglio1!$DD10+Foglio1!$DO10+Foglio1!$DL10+Foglio1!$DN10+Foglio1!$DQ10+Foglio1!$DP10+Foglio1!$DT10+Foglio1!$DI10+Foglio1!$DK10+Foglio1!$DU10)</f>
        <v>9</v>
      </c>
      <c r="EI10" s="4">
        <f>(Foglio1!$EA10+Foglio1!$EB10+Foglio1!$EE10+Foglio1!$EC10+Foglio1!$ED10+Foglio1!$DZ10+Foglio1!$DY10)</f>
        <v>7</v>
      </c>
      <c r="EJ10" s="4">
        <f>(Foglio1!$DW10+Foglio1!$DV10+Foglio1!$DX10)</f>
        <v>1</v>
      </c>
      <c r="EK10" s="4">
        <f>(Foglio1!$EG10+Foglio1!$EF10)</f>
        <v>7</v>
      </c>
      <c r="EL10" s="4">
        <v>1</v>
      </c>
      <c r="EM10" s="4">
        <v>1</v>
      </c>
      <c r="EN10" s="4">
        <v>1</v>
      </c>
      <c r="EO10" s="4">
        <v>0</v>
      </c>
      <c r="EP10" s="4">
        <f t="array" ref="EP10">SUM(EL10:EO10/4)</f>
        <v>0.75</v>
      </c>
      <c r="EQ10" s="4">
        <v>1</v>
      </c>
      <c r="ER10" s="4">
        <v>1</v>
      </c>
      <c r="ES10" s="4">
        <v>1</v>
      </c>
      <c r="ET10" s="4">
        <v>1</v>
      </c>
      <c r="EU10" s="4" t="s">
        <v>646</v>
      </c>
      <c r="EV10" s="4">
        <v>0</v>
      </c>
      <c r="EW10" s="4" t="s">
        <v>647</v>
      </c>
      <c r="EX10" s="4">
        <v>0</v>
      </c>
      <c r="EY10" s="4">
        <f>(Foglio1!$EQ10+Foglio1!$ER10+Foglio1!$ES10+Foglio1!$ET10+Foglio1!$EV10+Foglio1!$EX10)/6</f>
        <v>0.66666666666666663</v>
      </c>
      <c r="EZ10" s="4">
        <v>1</v>
      </c>
      <c r="FA10" s="4">
        <v>0</v>
      </c>
      <c r="FB10" s="4">
        <v>1</v>
      </c>
      <c r="FC10" s="4">
        <f>(Foglio1!$EZ10+Foglio1!$FA10+Foglio1!$FB10)/3</f>
        <v>0.66666666666666663</v>
      </c>
      <c r="FD10" s="4">
        <v>1</v>
      </c>
      <c r="FE10" s="4">
        <v>1</v>
      </c>
      <c r="FF10" s="4">
        <f>(Foglio1!$FD10+Foglio1!$FE10)/2</f>
        <v>1</v>
      </c>
      <c r="FG10" s="4" t="s">
        <v>648</v>
      </c>
      <c r="FH10" s="4">
        <v>1</v>
      </c>
      <c r="FI10" s="4" t="s">
        <v>649</v>
      </c>
      <c r="FJ10" s="4">
        <v>1</v>
      </c>
      <c r="FK10" s="4" t="s">
        <v>650</v>
      </c>
      <c r="FL10" s="4">
        <v>1</v>
      </c>
      <c r="FM10" s="4">
        <f>(Foglio1!$FH10+Foglio1!$FJ10+Foglio1!$FL10)/3</f>
        <v>1</v>
      </c>
      <c r="FN10" s="4">
        <f>(Foglio1!$EP10)</f>
        <v>0.75</v>
      </c>
      <c r="FO10" s="4">
        <f>(Foglio1!$EY10+Foglio1!$FC10+Foglio1!$FF10+Foglio1!$FM10)/4</f>
        <v>0.83333333333333326</v>
      </c>
      <c r="FP10" s="4">
        <f>(Foglio1!$EP10+Foglio1!$EY10+Foglio1!$FC10+Foglio1!$FF10+Foglio1!$FM10)/5</f>
        <v>0.81666666666666665</v>
      </c>
      <c r="FQ10" s="4"/>
      <c r="FR10" s="4" t="s">
        <v>356</v>
      </c>
      <c r="FS10" s="4" t="s">
        <v>356</v>
      </c>
      <c r="FT10" s="4" t="s">
        <v>356</v>
      </c>
      <c r="FU10" s="4" t="s">
        <v>356</v>
      </c>
      <c r="FV10" s="4" t="s">
        <v>356</v>
      </c>
      <c r="FW10" s="4" t="s">
        <v>356</v>
      </c>
      <c r="FX10" s="4" t="s">
        <v>356</v>
      </c>
      <c r="FY10" s="4">
        <v>3</v>
      </c>
      <c r="FZ10" s="4">
        <v>3</v>
      </c>
      <c r="GA10" s="4">
        <v>6</v>
      </c>
      <c r="GB10" s="4">
        <v>55</v>
      </c>
      <c r="GC10" s="4">
        <v>4</v>
      </c>
      <c r="GD10" s="4">
        <v>3</v>
      </c>
      <c r="GE10" s="4">
        <v>2</v>
      </c>
      <c r="GF10" s="4">
        <v>2</v>
      </c>
      <c r="GG10" s="4">
        <v>2</v>
      </c>
      <c r="GH10" s="4">
        <v>3</v>
      </c>
      <c r="GI10" s="4">
        <v>2</v>
      </c>
      <c r="GJ10" s="4">
        <v>2</v>
      </c>
      <c r="GK10" s="4">
        <v>2</v>
      </c>
      <c r="GL10" s="4">
        <v>2</v>
      </c>
      <c r="GM10" s="4">
        <v>2</v>
      </c>
      <c r="GN10" s="4">
        <v>2</v>
      </c>
      <c r="GO10" s="4">
        <v>2</v>
      </c>
      <c r="GP10" s="4">
        <v>2</v>
      </c>
      <c r="GQ10" s="4">
        <v>3</v>
      </c>
      <c r="GR10" s="4">
        <v>3</v>
      </c>
      <c r="GS10" s="4">
        <v>3</v>
      </c>
      <c r="GT10" s="4">
        <v>1</v>
      </c>
      <c r="GU10" s="4">
        <v>2</v>
      </c>
      <c r="GV10" s="4">
        <v>1</v>
      </c>
      <c r="GW10" s="4">
        <v>2</v>
      </c>
      <c r="GX10" s="4">
        <v>3</v>
      </c>
      <c r="GY10" s="4">
        <v>1</v>
      </c>
      <c r="GZ10" s="4">
        <v>1</v>
      </c>
      <c r="HA10" s="4">
        <v>2</v>
      </c>
      <c r="HB10" s="4">
        <v>2</v>
      </c>
      <c r="HC10" s="4">
        <v>2</v>
      </c>
      <c r="HD10" s="4">
        <v>3</v>
      </c>
      <c r="HE10" s="4">
        <v>2</v>
      </c>
      <c r="HF10" s="4">
        <v>2</v>
      </c>
      <c r="HG10" s="4">
        <f t="shared" si="10"/>
        <v>65</v>
      </c>
      <c r="HH10" s="4">
        <f t="shared" si="11"/>
        <v>17</v>
      </c>
      <c r="HI10" s="4">
        <f t="shared" si="12"/>
        <v>16</v>
      </c>
      <c r="HJ10" s="4">
        <f t="shared" si="13"/>
        <v>19</v>
      </c>
      <c r="HK10" s="4">
        <f t="shared" si="14"/>
        <v>17</v>
      </c>
      <c r="HL10" s="4">
        <f t="shared" si="15"/>
        <v>18</v>
      </c>
      <c r="HM10" s="4" t="s">
        <v>356</v>
      </c>
      <c r="HN10" s="4" t="s">
        <v>356</v>
      </c>
      <c r="HO10" s="4" t="s">
        <v>356</v>
      </c>
      <c r="HP10" s="4" t="s">
        <v>356</v>
      </c>
      <c r="HQ10" s="4" t="s">
        <v>356</v>
      </c>
      <c r="HR10" s="4" t="s">
        <v>356</v>
      </c>
      <c r="HS10" s="4" t="s">
        <v>356</v>
      </c>
      <c r="HT10" s="4" t="s">
        <v>356</v>
      </c>
      <c r="HU10" s="4" t="s">
        <v>356</v>
      </c>
      <c r="HV10" s="4" t="s">
        <v>356</v>
      </c>
      <c r="HW10" s="4" t="s">
        <v>356</v>
      </c>
      <c r="HX10" s="4" t="s">
        <v>356</v>
      </c>
      <c r="HY10" s="4" t="s">
        <v>356</v>
      </c>
      <c r="HZ10" s="4" t="s">
        <v>356</v>
      </c>
      <c r="IA10" s="4" t="s">
        <v>356</v>
      </c>
      <c r="IB10" s="4" t="s">
        <v>356</v>
      </c>
      <c r="IC10" s="4" t="s">
        <v>356</v>
      </c>
      <c r="ID10" s="4" t="s">
        <v>356</v>
      </c>
      <c r="IE10" s="4" t="s">
        <v>356</v>
      </c>
      <c r="IF10" s="4" t="s">
        <v>356</v>
      </c>
      <c r="IG10" s="4" t="s">
        <v>356</v>
      </c>
      <c r="IH10" s="4" t="s">
        <v>356</v>
      </c>
      <c r="II10" s="4" t="s">
        <v>356</v>
      </c>
      <c r="IJ10" s="4" t="s">
        <v>356</v>
      </c>
      <c r="IK10" s="4" t="s">
        <v>356</v>
      </c>
      <c r="IL10" s="4" t="s">
        <v>356</v>
      </c>
      <c r="IM10" s="4" t="s">
        <v>356</v>
      </c>
      <c r="IN10" s="4" t="s">
        <v>356</v>
      </c>
      <c r="IO10" s="4" t="s">
        <v>356</v>
      </c>
      <c r="IP10" s="4" t="s">
        <v>356</v>
      </c>
      <c r="IQ10" s="4" t="s">
        <v>356</v>
      </c>
      <c r="IR10" s="4" t="s">
        <v>356</v>
      </c>
      <c r="IS10" s="4" t="s">
        <v>356</v>
      </c>
      <c r="IT10" s="4" t="s">
        <v>356</v>
      </c>
      <c r="IU10" s="4" t="s">
        <v>356</v>
      </c>
      <c r="IV10" s="4" t="s">
        <v>356</v>
      </c>
      <c r="IW10" s="4" t="s">
        <v>356</v>
      </c>
      <c r="IX10" s="4" t="s">
        <v>356</v>
      </c>
      <c r="IY10" s="4" t="s">
        <v>356</v>
      </c>
      <c r="IZ10" s="4" t="s">
        <v>356</v>
      </c>
      <c r="JA10" s="4" t="s">
        <v>356</v>
      </c>
      <c r="JB10" s="4" t="s">
        <v>356</v>
      </c>
      <c r="JC10" s="4" t="s">
        <v>356</v>
      </c>
      <c r="JD10" s="4" t="s">
        <v>356</v>
      </c>
      <c r="JE10" s="4" t="s">
        <v>356</v>
      </c>
      <c r="JF10" s="4" t="s">
        <v>356</v>
      </c>
      <c r="JG10" s="4" t="s">
        <v>356</v>
      </c>
      <c r="JH10" s="4" t="s">
        <v>356</v>
      </c>
      <c r="JI10" s="4" t="s">
        <v>356</v>
      </c>
      <c r="JJ10" s="4" t="s">
        <v>356</v>
      </c>
      <c r="JK10" s="4" t="s">
        <v>356</v>
      </c>
      <c r="JL10" s="4" t="s">
        <v>356</v>
      </c>
      <c r="JM10" s="4" t="s">
        <v>356</v>
      </c>
      <c r="JN10" s="4" t="s">
        <v>356</v>
      </c>
      <c r="JO10" s="4" t="s">
        <v>356</v>
      </c>
      <c r="JP10" s="4" t="s">
        <v>356</v>
      </c>
      <c r="JQ10" s="4" t="s">
        <v>356</v>
      </c>
      <c r="JR10" s="4" t="s">
        <v>356</v>
      </c>
      <c r="JS10" s="4" t="s">
        <v>356</v>
      </c>
      <c r="JT10" s="4" t="s">
        <v>356</v>
      </c>
      <c r="JU10" s="4" t="s">
        <v>356</v>
      </c>
      <c r="JV10" s="4" t="s">
        <v>356</v>
      </c>
      <c r="JW10" s="4" t="s">
        <v>356</v>
      </c>
      <c r="JX10" s="4" t="s">
        <v>356</v>
      </c>
      <c r="JY10" s="4" t="s">
        <v>356</v>
      </c>
      <c r="JZ10" s="4" t="s">
        <v>356</v>
      </c>
      <c r="KA10" s="4" t="s">
        <v>356</v>
      </c>
      <c r="KB10" s="4" t="s">
        <v>356</v>
      </c>
      <c r="KC10" s="4" t="s">
        <v>356</v>
      </c>
      <c r="KD10" s="4" t="s">
        <v>356</v>
      </c>
      <c r="KE10" s="4" t="s">
        <v>356</v>
      </c>
      <c r="KF10" s="4" t="s">
        <v>356</v>
      </c>
      <c r="KG10" s="4" t="s">
        <v>356</v>
      </c>
      <c r="KH10" s="4" t="s">
        <v>356</v>
      </c>
      <c r="KI10" s="4" t="s">
        <v>356</v>
      </c>
      <c r="KJ10" s="4" t="s">
        <v>356</v>
      </c>
      <c r="KK10" s="4" t="s">
        <v>356</v>
      </c>
      <c r="KL10" s="4" t="s">
        <v>356</v>
      </c>
      <c r="KM10" s="4" t="s">
        <v>356</v>
      </c>
      <c r="KN10" s="4" t="s">
        <v>356</v>
      </c>
      <c r="KO10" s="4" t="s">
        <v>356</v>
      </c>
      <c r="KP10" s="4" t="s">
        <v>356</v>
      </c>
      <c r="KQ10" s="4" t="s">
        <v>356</v>
      </c>
      <c r="KR10" s="4" t="s">
        <v>356</v>
      </c>
      <c r="KS10" s="4" t="s">
        <v>356</v>
      </c>
      <c r="KT10" s="4" t="s">
        <v>356</v>
      </c>
      <c r="KU10" s="4" t="s">
        <v>356</v>
      </c>
      <c r="KV10" s="4" t="s">
        <v>356</v>
      </c>
      <c r="KW10" s="4" t="s">
        <v>356</v>
      </c>
      <c r="KX10" s="4" t="s">
        <v>356</v>
      </c>
      <c r="KY10" s="4" t="s">
        <v>356</v>
      </c>
      <c r="KZ10" s="4" t="s">
        <v>356</v>
      </c>
      <c r="LA10" s="4" t="s">
        <v>356</v>
      </c>
      <c r="LB10" s="4" t="s">
        <v>356</v>
      </c>
      <c r="LC10" s="4" t="s">
        <v>356</v>
      </c>
      <c r="LD10" s="4" t="s">
        <v>356</v>
      </c>
      <c r="LE10" s="4" t="s">
        <v>356</v>
      </c>
      <c r="LF10" s="4" t="s">
        <v>356</v>
      </c>
      <c r="LG10" s="4" t="s">
        <v>356</v>
      </c>
      <c r="LH10" s="4" t="s">
        <v>356</v>
      </c>
      <c r="LI10" s="4" t="s">
        <v>356</v>
      </c>
      <c r="LJ10" s="4" t="s">
        <v>356</v>
      </c>
      <c r="LK10" s="4" t="s">
        <v>356</v>
      </c>
      <c r="LL10" s="4" t="s">
        <v>356</v>
      </c>
      <c r="LM10" s="4" t="s">
        <v>356</v>
      </c>
      <c r="LN10" s="4" t="s">
        <v>356</v>
      </c>
      <c r="LO10" s="4" t="s">
        <v>356</v>
      </c>
      <c r="LP10" s="4" t="s">
        <v>356</v>
      </c>
      <c r="LQ10" s="4" t="s">
        <v>356</v>
      </c>
      <c r="LR10" s="4" t="s">
        <v>356</v>
      </c>
      <c r="LS10" s="4" t="s">
        <v>356</v>
      </c>
      <c r="LT10" s="4" t="s">
        <v>356</v>
      </c>
      <c r="LU10" s="4" t="s">
        <v>356</v>
      </c>
      <c r="LV10" s="4" t="s">
        <v>356</v>
      </c>
      <c r="LW10" s="4" t="s">
        <v>356</v>
      </c>
      <c r="LX10" s="4" t="s">
        <v>356</v>
      </c>
      <c r="LY10" s="4" t="s">
        <v>356</v>
      </c>
      <c r="LZ10" s="3">
        <v>0</v>
      </c>
      <c r="MA10" s="3">
        <v>0</v>
      </c>
      <c r="MB10" s="3">
        <v>1</v>
      </c>
      <c r="MC10" s="3">
        <v>1</v>
      </c>
      <c r="MD10" s="3">
        <f t="shared" si="7"/>
        <v>2</v>
      </c>
      <c r="ME10" s="3">
        <v>0</v>
      </c>
      <c r="MF10" s="3">
        <v>0</v>
      </c>
      <c r="MG10" s="3">
        <v>0</v>
      </c>
      <c r="MH10" s="3">
        <v>0</v>
      </c>
      <c r="MI10" s="3">
        <f t="shared" si="8"/>
        <v>0</v>
      </c>
    </row>
    <row r="11" spans="1:347" ht="15.75" customHeight="1" x14ac:dyDescent="0.25">
      <c r="A11" s="8" t="s">
        <v>651</v>
      </c>
      <c r="B11" s="4">
        <v>20</v>
      </c>
      <c r="C11" s="4" t="s">
        <v>349</v>
      </c>
      <c r="D11" s="4">
        <v>13</v>
      </c>
      <c r="E11" s="4">
        <v>1</v>
      </c>
      <c r="F11" s="4" t="s">
        <v>350</v>
      </c>
      <c r="G11" s="4" t="s">
        <v>652</v>
      </c>
      <c r="H11" s="4" t="s">
        <v>653</v>
      </c>
      <c r="I11" s="4" t="s">
        <v>569</v>
      </c>
      <c r="J11" s="4"/>
      <c r="K11" s="4"/>
      <c r="L11" s="5" t="s">
        <v>356</v>
      </c>
      <c r="M11" s="4" t="s">
        <v>449</v>
      </c>
      <c r="N11" s="4" t="s">
        <v>406</v>
      </c>
      <c r="O11" s="6">
        <v>45495</v>
      </c>
      <c r="P11" s="6">
        <v>45513</v>
      </c>
      <c r="Q11" s="4" t="s">
        <v>359</v>
      </c>
      <c r="R11" s="4"/>
      <c r="S11" s="4"/>
      <c r="T11" s="4"/>
      <c r="U11" s="4"/>
      <c r="V11" s="4" t="s">
        <v>412</v>
      </c>
      <c r="W11" s="4" t="s">
        <v>654</v>
      </c>
      <c r="X11" s="4" t="s">
        <v>490</v>
      </c>
      <c r="Y11" s="4" t="s">
        <v>364</v>
      </c>
      <c r="Z11" s="4"/>
      <c r="AA11" s="4"/>
      <c r="AB11" s="4"/>
      <c r="AC11" s="4"/>
      <c r="AD11" s="4"/>
      <c r="AE11" s="4"/>
      <c r="AF11" s="4"/>
      <c r="AG11" s="4"/>
      <c r="AH11" s="4" t="s">
        <v>408</v>
      </c>
      <c r="AI11" s="4" t="s">
        <v>655</v>
      </c>
      <c r="AJ11" s="4" t="s">
        <v>456</v>
      </c>
      <c r="AK11" s="4" t="s">
        <v>656</v>
      </c>
      <c r="AL11" s="4" t="s">
        <v>412</v>
      </c>
      <c r="AM11" s="4" t="s">
        <v>657</v>
      </c>
      <c r="AN11" s="5" t="s">
        <v>356</v>
      </c>
      <c r="AO11" s="5" t="s">
        <v>356</v>
      </c>
      <c r="AP11" s="5" t="s">
        <v>356</v>
      </c>
      <c r="AQ11" s="5" t="s">
        <v>356</v>
      </c>
      <c r="AR11" s="5" t="s">
        <v>356</v>
      </c>
      <c r="AS11" s="5" t="s">
        <v>356</v>
      </c>
      <c r="AT11" s="5" t="s">
        <v>356</v>
      </c>
      <c r="AU11" s="5" t="s">
        <v>356</v>
      </c>
      <c r="AV11" s="5" t="s">
        <v>356</v>
      </c>
      <c r="AW11" s="5" t="s">
        <v>356</v>
      </c>
      <c r="AX11" s="4">
        <v>3</v>
      </c>
      <c r="AY11" s="4"/>
      <c r="AZ11" s="5" t="s">
        <v>383</v>
      </c>
      <c r="BA11" s="4">
        <f t="shared" si="9"/>
        <v>18</v>
      </c>
      <c r="BB11" s="4"/>
      <c r="BC11" s="4"/>
      <c r="BD11" s="4" t="s">
        <v>658</v>
      </c>
      <c r="BE11" s="4"/>
      <c r="BF11" s="4"/>
      <c r="BG11" s="6">
        <v>45500</v>
      </c>
      <c r="BH11" s="4">
        <v>4</v>
      </c>
      <c r="BI11" s="4">
        <v>2</v>
      </c>
      <c r="BJ11" s="4">
        <v>4</v>
      </c>
      <c r="BK11" s="4">
        <v>4</v>
      </c>
      <c r="BL11" s="4">
        <v>4</v>
      </c>
      <c r="BM11" s="4">
        <v>4</v>
      </c>
      <c r="BN11" s="4">
        <v>3</v>
      </c>
      <c r="BO11" s="4">
        <f>SUM(Foglio1!$BH11:$BM11)</f>
        <v>22</v>
      </c>
      <c r="BP11" s="4">
        <v>6</v>
      </c>
      <c r="BQ11" s="4">
        <v>3</v>
      </c>
      <c r="BR11" s="4">
        <v>10</v>
      </c>
      <c r="BS11" s="4">
        <v>50</v>
      </c>
      <c r="BT11" s="4">
        <v>5</v>
      </c>
      <c r="BU11" s="4">
        <v>3</v>
      </c>
      <c r="BV11" s="4">
        <v>1</v>
      </c>
      <c r="BW11" s="4">
        <v>4</v>
      </c>
      <c r="BX11" s="4">
        <v>4</v>
      </c>
      <c r="BY11" s="4">
        <v>3</v>
      </c>
      <c r="BZ11" s="4">
        <v>3</v>
      </c>
      <c r="CA11" s="4">
        <v>1</v>
      </c>
      <c r="CB11" s="4">
        <v>1</v>
      </c>
      <c r="CC11" s="4">
        <v>1</v>
      </c>
      <c r="CD11" s="4">
        <v>1</v>
      </c>
      <c r="CE11" s="4">
        <v>3</v>
      </c>
      <c r="CF11" s="4">
        <v>1</v>
      </c>
      <c r="CG11" s="4">
        <v>3</v>
      </c>
      <c r="CH11" s="4">
        <v>1</v>
      </c>
      <c r="CI11" s="4">
        <v>1</v>
      </c>
      <c r="CJ11" s="4">
        <v>1</v>
      </c>
      <c r="CK11" s="4">
        <v>3</v>
      </c>
      <c r="CL11" s="4">
        <v>4</v>
      </c>
      <c r="CM11" s="4">
        <v>1</v>
      </c>
      <c r="CN11" s="4">
        <v>1</v>
      </c>
      <c r="CO11" s="4">
        <v>3</v>
      </c>
      <c r="CP11" s="4">
        <v>5</v>
      </c>
      <c r="CQ11" s="4">
        <v>1</v>
      </c>
      <c r="CR11" s="4">
        <v>3</v>
      </c>
      <c r="CS11" s="4">
        <v>3</v>
      </c>
      <c r="CT11" s="4">
        <v>1</v>
      </c>
      <c r="CU11" s="4">
        <v>3</v>
      </c>
      <c r="CV11" s="4">
        <v>1</v>
      </c>
      <c r="CW11" s="4">
        <v>1</v>
      </c>
      <c r="CX11" s="4">
        <f>SUM(Foglio1!$BT11:$CW11)</f>
        <v>67</v>
      </c>
      <c r="CY11" s="4">
        <f>SUM(Foglio1!$BT11+Foglio1!$BV11+Foglio1!$CP11+Foglio1!$BY11+Foglio1!$BX11+Foglio1!$CH11+Foglio1!$CS11+Foglio1!$CW11-Foglio1!$CE11)</f>
        <v>20</v>
      </c>
      <c r="CZ11" s="4">
        <f>SUM(Foglio1!$CF11+Foglio1!$CA11+Foglio1!$CB11+Foglio1!$CD11+Foglio1!$CN11+Foglio1!$CC11+Foglio1!$CW11+Foglio1!$CO11+Foglio1!$CT11-Foglio1!$BU11)</f>
        <v>8</v>
      </c>
      <c r="DA11" s="4">
        <f>SUM(Foglio1!$CG11+Foglio1!$CR11+Foglio1!$CQ11+Foglio1!$BU11+Foglio1!$CE11+Foglio1!$CL11+Foglio1!$CS11+Foglio1!$CT11+Foglio1!$CV11+Foglio1!$CP11)</f>
        <v>27</v>
      </c>
      <c r="DB11" s="4">
        <f>SUM(Foglio1!$CU11+Foglio1!$BW11+Foglio1!$BZ11+Foglio1!$CO11+Foglio1!$BX11+Foglio1!$CC11+Foglio1!$CK11+Foglio1!$CW11)</f>
        <v>22</v>
      </c>
      <c r="DC11" s="4">
        <f>SUM(Foglio1!$CI11+Foglio1!$CM11+Foglio1!$CJ11+Foglio1!$CK11+Foglio1!$BY11+Foglio1!$CH11+Foglio1!$CV11+Foglio1!$CW11)</f>
        <v>12</v>
      </c>
      <c r="DD11" s="4">
        <v>3</v>
      </c>
      <c r="DE11" s="4">
        <v>3</v>
      </c>
      <c r="DF11" s="4">
        <v>3</v>
      </c>
      <c r="DG11" s="4">
        <v>1</v>
      </c>
      <c r="DH11" s="4">
        <v>0</v>
      </c>
      <c r="DI11" s="4">
        <v>0</v>
      </c>
      <c r="DJ11" s="4">
        <v>0</v>
      </c>
      <c r="DK11" s="4">
        <v>0</v>
      </c>
      <c r="DL11" s="4">
        <v>0</v>
      </c>
      <c r="DM11" s="4">
        <v>0</v>
      </c>
      <c r="DN11" s="4">
        <v>0</v>
      </c>
      <c r="DO11" s="4">
        <v>0</v>
      </c>
      <c r="DP11" s="4">
        <v>0</v>
      </c>
      <c r="DQ11" s="4">
        <v>0</v>
      </c>
      <c r="DR11" s="4">
        <v>0</v>
      </c>
      <c r="DS11" s="4">
        <v>0</v>
      </c>
      <c r="DT11" s="4">
        <v>2</v>
      </c>
      <c r="DU11" s="4">
        <v>0</v>
      </c>
      <c r="DV11" s="4">
        <v>3</v>
      </c>
      <c r="DW11" s="4">
        <v>2</v>
      </c>
      <c r="DX11" s="4">
        <v>2</v>
      </c>
      <c r="DY11" s="4">
        <v>0</v>
      </c>
      <c r="DZ11" s="4">
        <v>2</v>
      </c>
      <c r="EA11" s="4">
        <v>3</v>
      </c>
      <c r="EB11" s="4">
        <v>0</v>
      </c>
      <c r="EC11" s="4">
        <v>1</v>
      </c>
      <c r="ED11" s="4">
        <v>0</v>
      </c>
      <c r="EE11" s="4">
        <v>3</v>
      </c>
      <c r="EF11" s="4">
        <v>0</v>
      </c>
      <c r="EG11" s="4">
        <v>0</v>
      </c>
      <c r="EH11" s="4">
        <f>(Foglio1!$DE11+Foglio1!$DH11+Foglio1!$DG11+Foglio1!$DF11+Foglio1!$DM11+Foglio1!$DD11+Foglio1!$DO11+Foglio1!$DL11+Foglio1!$DN11+Foglio1!$DQ11+Foglio1!$DP11+Foglio1!$DT11+Foglio1!$DI11+Foglio1!$DK11+Foglio1!$DU11)</f>
        <v>12</v>
      </c>
      <c r="EI11" s="4">
        <f>(Foglio1!$EA11+Foglio1!$EB11+Foglio1!$EE11+Foglio1!$EC11+Foglio1!$ED11+Foglio1!$DZ11+Foglio1!$DY11)</f>
        <v>9</v>
      </c>
      <c r="EJ11" s="4">
        <f>(Foglio1!$DW11+Foglio1!$DV11+Foglio1!$DX11)</f>
        <v>7</v>
      </c>
      <c r="EK11" s="4">
        <f>(Foglio1!$EG11+Foglio1!$EF11)</f>
        <v>0</v>
      </c>
      <c r="EL11" s="4">
        <v>1</v>
      </c>
      <c r="EM11" s="4">
        <v>0</v>
      </c>
      <c r="EN11" s="4">
        <v>0</v>
      </c>
      <c r="EO11" s="4">
        <v>1</v>
      </c>
      <c r="EP11" s="4">
        <f t="array" ref="EP11">SUM(EL11:EO11/4)</f>
        <v>0.5</v>
      </c>
      <c r="EQ11" s="4">
        <v>1</v>
      </c>
      <c r="ER11" s="4">
        <v>1</v>
      </c>
      <c r="ES11" s="4">
        <v>1</v>
      </c>
      <c r="ET11" s="4">
        <v>0</v>
      </c>
      <c r="EU11" s="4" t="s">
        <v>659</v>
      </c>
      <c r="EV11" s="4">
        <v>0</v>
      </c>
      <c r="EW11" s="4" t="s">
        <v>660</v>
      </c>
      <c r="EX11" s="4">
        <v>0</v>
      </c>
      <c r="EY11" s="4">
        <f>(Foglio1!$EQ11+Foglio1!$ER11+Foglio1!$ES11+Foglio1!$ET11+Foglio1!$EV11+Foglio1!$EX11)/6</f>
        <v>0.5</v>
      </c>
      <c r="EZ11" s="4">
        <v>0</v>
      </c>
      <c r="FA11" s="4">
        <v>1</v>
      </c>
      <c r="FB11" s="4">
        <v>0</v>
      </c>
      <c r="FC11" s="4">
        <f>(Foglio1!$EZ11+Foglio1!$FA11+Foglio1!$FB11)/3</f>
        <v>0.33333333333333331</v>
      </c>
      <c r="FD11" s="4">
        <v>1</v>
      </c>
      <c r="FE11" s="4">
        <v>1</v>
      </c>
      <c r="FF11" s="4">
        <f>(Foglio1!$FD11+Foglio1!$FE11)/2</f>
        <v>1</v>
      </c>
      <c r="FG11" s="4" t="s">
        <v>661</v>
      </c>
      <c r="FH11" s="4">
        <v>1</v>
      </c>
      <c r="FI11" s="4" t="s">
        <v>662</v>
      </c>
      <c r="FJ11" s="4">
        <v>0</v>
      </c>
      <c r="FK11" s="4" t="s">
        <v>663</v>
      </c>
      <c r="FL11" s="4">
        <v>0</v>
      </c>
      <c r="FM11" s="4">
        <f>(Foglio1!$FH11+Foglio1!$FJ11+Foglio1!$FL11)/3</f>
        <v>0.33333333333333331</v>
      </c>
      <c r="FN11" s="4">
        <f>(Foglio1!$EP11)</f>
        <v>0.5</v>
      </c>
      <c r="FO11" s="4">
        <f>(Foglio1!$EY11+Foglio1!$FC11+Foglio1!$FF11+Foglio1!$FM11)/4</f>
        <v>0.54166666666666663</v>
      </c>
      <c r="FP11" s="4">
        <f>(Foglio1!$EP11+Foglio1!$EY11+Foglio1!$FC11+Foglio1!$FF11+Foglio1!$FM11)/5</f>
        <v>0.53333333333333333</v>
      </c>
      <c r="FQ11" s="6">
        <v>45504</v>
      </c>
      <c r="FR11" s="4">
        <v>2</v>
      </c>
      <c r="FS11" s="4">
        <v>1</v>
      </c>
      <c r="FT11" s="4">
        <v>2</v>
      </c>
      <c r="FU11" s="4">
        <v>1</v>
      </c>
      <c r="FV11" s="4">
        <v>2</v>
      </c>
      <c r="FW11" s="4">
        <v>3</v>
      </c>
      <c r="FX11" s="4">
        <v>2</v>
      </c>
      <c r="FY11" s="4">
        <v>4</v>
      </c>
      <c r="FZ11" s="4">
        <v>2</v>
      </c>
      <c r="GA11" s="4">
        <v>6</v>
      </c>
      <c r="GB11" s="4">
        <v>60</v>
      </c>
      <c r="GC11" s="4">
        <v>3</v>
      </c>
      <c r="GD11" s="4">
        <v>2</v>
      </c>
      <c r="GE11" s="4">
        <v>0</v>
      </c>
      <c r="GF11" s="4">
        <v>2</v>
      </c>
      <c r="GG11" s="4">
        <v>3</v>
      </c>
      <c r="GH11" s="4">
        <v>2</v>
      </c>
      <c r="GI11" s="4">
        <v>1</v>
      </c>
      <c r="GJ11" s="4">
        <v>0</v>
      </c>
      <c r="GK11" s="4">
        <v>0</v>
      </c>
      <c r="GL11" s="4">
        <v>0</v>
      </c>
      <c r="GM11" s="4">
        <v>0</v>
      </c>
      <c r="GN11" s="4">
        <v>2</v>
      </c>
      <c r="GO11" s="4">
        <v>0</v>
      </c>
      <c r="GP11" s="4">
        <v>0</v>
      </c>
      <c r="GQ11" s="4">
        <v>2</v>
      </c>
      <c r="GR11" s="4">
        <v>0</v>
      </c>
      <c r="GS11" s="4">
        <v>2</v>
      </c>
      <c r="GT11" s="4">
        <v>2</v>
      </c>
      <c r="GU11" s="4">
        <v>2</v>
      </c>
      <c r="GV11" s="4">
        <v>0</v>
      </c>
      <c r="GW11" s="4">
        <v>0</v>
      </c>
      <c r="GX11" s="4">
        <v>1</v>
      </c>
      <c r="GY11" s="4">
        <v>3</v>
      </c>
      <c r="GZ11" s="4">
        <v>0</v>
      </c>
      <c r="HA11" s="4">
        <v>2</v>
      </c>
      <c r="HB11" s="4">
        <v>2</v>
      </c>
      <c r="HC11" s="4">
        <v>0</v>
      </c>
      <c r="HD11" s="4">
        <v>2</v>
      </c>
      <c r="HE11" s="4">
        <v>0</v>
      </c>
      <c r="HF11" s="4">
        <v>0</v>
      </c>
      <c r="HG11" s="4">
        <f t="shared" si="10"/>
        <v>33</v>
      </c>
      <c r="HH11" s="4">
        <f t="shared" si="11"/>
        <v>13</v>
      </c>
      <c r="HI11" s="4">
        <f t="shared" si="12"/>
        <v>-1</v>
      </c>
      <c r="HJ11" s="4">
        <f t="shared" si="13"/>
        <v>13</v>
      </c>
      <c r="HK11" s="4">
        <f t="shared" si="14"/>
        <v>11</v>
      </c>
      <c r="HL11" s="4">
        <f t="shared" si="15"/>
        <v>8</v>
      </c>
      <c r="HM11" s="4">
        <v>0</v>
      </c>
      <c r="HN11" s="4">
        <v>0</v>
      </c>
      <c r="HO11" s="4">
        <v>2</v>
      </c>
      <c r="HP11" s="4">
        <v>0</v>
      </c>
      <c r="HQ11" s="4">
        <v>0</v>
      </c>
      <c r="HR11" s="4">
        <v>0</v>
      </c>
      <c r="HS11" s="4">
        <v>0</v>
      </c>
      <c r="HT11" s="4">
        <v>0</v>
      </c>
      <c r="HU11" s="4">
        <v>0</v>
      </c>
      <c r="HV11" s="4">
        <v>0</v>
      </c>
      <c r="HW11" s="4">
        <v>0</v>
      </c>
      <c r="HX11" s="4">
        <v>0</v>
      </c>
      <c r="HY11" s="4">
        <v>0</v>
      </c>
      <c r="HZ11" s="4">
        <v>0</v>
      </c>
      <c r="IA11" s="4">
        <v>0</v>
      </c>
      <c r="IB11" s="4">
        <v>0</v>
      </c>
      <c r="IC11" s="4">
        <v>0</v>
      </c>
      <c r="ID11" s="4">
        <v>0</v>
      </c>
      <c r="IE11" s="4">
        <v>0</v>
      </c>
      <c r="IF11" s="4">
        <v>0</v>
      </c>
      <c r="IG11" s="4">
        <v>4</v>
      </c>
      <c r="IH11" s="4">
        <v>1</v>
      </c>
      <c r="II11" s="4">
        <v>0</v>
      </c>
      <c r="IJ11" s="4">
        <v>0</v>
      </c>
      <c r="IK11" s="4">
        <v>0</v>
      </c>
      <c r="IL11" s="4">
        <v>0</v>
      </c>
      <c r="IM11" s="4">
        <v>0</v>
      </c>
      <c r="IN11" s="4">
        <v>0</v>
      </c>
      <c r="IO11" s="4">
        <v>0</v>
      </c>
      <c r="IP11" s="4">
        <v>0</v>
      </c>
      <c r="IQ11" s="4">
        <f t="shared" ref="IQ11:IQ16" si="20">SUM(HN11+HQ11+HP11+HO11+HV11+HM11+HX11+HU11+HW11+HZ11+HY11+IC11+HR11+HT11+ID11)</f>
        <v>2</v>
      </c>
      <c r="IR11" s="4">
        <f t="shared" ref="IR11:IR16" si="21">SUM(IJ11+IK11+IN11+IL11+IM11+II11+IH11)</f>
        <v>1</v>
      </c>
      <c r="IS11" s="4">
        <f t="shared" ref="IS11:IS16" si="22">SUM(IF11+IE11+IG11)</f>
        <v>4</v>
      </c>
      <c r="IT11" s="4">
        <f t="shared" ref="IT11:IT16" si="23">SUM(IP11+IO11)</f>
        <v>0</v>
      </c>
      <c r="IU11" s="4" t="s">
        <v>383</v>
      </c>
      <c r="IV11" s="4" t="s">
        <v>383</v>
      </c>
      <c r="IW11" s="4" t="s">
        <v>383</v>
      </c>
      <c r="IX11" s="4" t="s">
        <v>383</v>
      </c>
      <c r="IY11" s="4">
        <v>1</v>
      </c>
      <c r="IZ11" s="4">
        <v>0</v>
      </c>
      <c r="JA11" s="4">
        <v>1</v>
      </c>
      <c r="JB11" s="4">
        <v>1</v>
      </c>
      <c r="JC11" s="4">
        <f>(Foglio1!$IY11+Foglio1!$IZ11+Foglio1!$JA11+Foglio1!$JB11)/4</f>
        <v>0.75</v>
      </c>
      <c r="JD11" s="4">
        <v>1</v>
      </c>
      <c r="JE11" s="4">
        <v>1</v>
      </c>
      <c r="JF11" s="4">
        <v>0</v>
      </c>
      <c r="JG11" s="4">
        <v>1</v>
      </c>
      <c r="JH11" s="4" t="s">
        <v>664</v>
      </c>
      <c r="JI11" s="4">
        <v>0</v>
      </c>
      <c r="JJ11" s="4" t="s">
        <v>665</v>
      </c>
      <c r="JK11" s="4">
        <v>0</v>
      </c>
      <c r="JL11" s="4">
        <f>(Foglio1!$JD11+Foglio1!$JE11+Foglio1!$JF11+Foglio1!$JG11+Foglio1!$JI11+Foglio1!$JK11)/6</f>
        <v>0.5</v>
      </c>
      <c r="JM11" s="4">
        <v>1</v>
      </c>
      <c r="JN11" s="4">
        <v>1</v>
      </c>
      <c r="JO11" s="4">
        <v>1</v>
      </c>
      <c r="JP11" s="4">
        <f>(Foglio1!$JM11+Foglio1!$JN11+Foglio1!$JO11)/3</f>
        <v>1</v>
      </c>
      <c r="JQ11" s="4">
        <v>0</v>
      </c>
      <c r="JR11" s="4">
        <v>0</v>
      </c>
      <c r="JS11" s="4">
        <f>(Foglio1!$JQ11+Foglio1!$JR11)/2</f>
        <v>0</v>
      </c>
      <c r="JT11" s="4" t="s">
        <v>666</v>
      </c>
      <c r="JU11" s="4">
        <v>0</v>
      </c>
      <c r="JV11" s="4" t="s">
        <v>667</v>
      </c>
      <c r="JW11" s="4">
        <v>0</v>
      </c>
      <c r="JX11" s="4" t="s">
        <v>668</v>
      </c>
      <c r="JY11" s="4">
        <v>0</v>
      </c>
      <c r="JZ11" s="4">
        <f>(Foglio1!$JU11+Foglio1!$JW11+Foglio1!$JY11)/3</f>
        <v>0</v>
      </c>
      <c r="KA11" s="4">
        <f>(Foglio1!$JC11)</f>
        <v>0.75</v>
      </c>
      <c r="KB11" s="4">
        <f>(Foglio1!$JL11+Foglio1!$JP11+Foglio1!$JS11+Foglio1!$JZ11)/4</f>
        <v>0.375</v>
      </c>
      <c r="KC11" s="4">
        <f>(Foglio1!$JC11+Foglio1!$JL11+Foglio1!$JP11+Foglio1!$JS11+Foglio1!$JZ11)/5</f>
        <v>0.45</v>
      </c>
      <c r="KD11" s="4" t="s">
        <v>669</v>
      </c>
      <c r="KE11" s="4">
        <v>2</v>
      </c>
      <c r="KF11" s="4">
        <v>3</v>
      </c>
      <c r="KG11" s="4" t="s">
        <v>670</v>
      </c>
      <c r="KH11" s="4">
        <v>1</v>
      </c>
      <c r="KI11" s="4">
        <v>2</v>
      </c>
      <c r="KJ11" s="4" t="s">
        <v>671</v>
      </c>
      <c r="KK11" s="4">
        <v>2</v>
      </c>
      <c r="KL11" s="4">
        <v>2</v>
      </c>
      <c r="KM11" s="4" t="s">
        <v>672</v>
      </c>
      <c r="KN11" s="4">
        <v>1</v>
      </c>
      <c r="KO11" s="4">
        <v>1</v>
      </c>
      <c r="KP11" s="4" t="s">
        <v>673</v>
      </c>
      <c r="KQ11" s="4">
        <v>1</v>
      </c>
      <c r="KR11" s="4">
        <v>2</v>
      </c>
      <c r="KS11" s="4" t="s">
        <v>674</v>
      </c>
      <c r="KT11" s="4">
        <v>2</v>
      </c>
      <c r="KU11" s="4">
        <v>1</v>
      </c>
      <c r="KV11" s="4" t="s">
        <v>675</v>
      </c>
      <c r="KW11" s="4">
        <v>1</v>
      </c>
      <c r="KX11" s="4">
        <v>1</v>
      </c>
      <c r="KY11" s="4" t="s">
        <v>676</v>
      </c>
      <c r="KZ11" s="4">
        <v>2</v>
      </c>
      <c r="LA11" s="4">
        <v>3</v>
      </c>
      <c r="LB11" s="4" t="s">
        <v>677</v>
      </c>
      <c r="LC11" s="4">
        <v>2</v>
      </c>
      <c r="LD11" s="4">
        <v>1</v>
      </c>
      <c r="LE11" s="4" t="s">
        <v>678</v>
      </c>
      <c r="LF11" s="4">
        <v>1</v>
      </c>
      <c r="LG11" s="4">
        <v>2</v>
      </c>
      <c r="LH11" s="4" t="s">
        <v>679</v>
      </c>
      <c r="LI11" s="4">
        <v>0</v>
      </c>
      <c r="LJ11" s="4">
        <v>1</v>
      </c>
      <c r="LK11" s="4" t="s">
        <v>680</v>
      </c>
      <c r="LL11" s="4">
        <v>2</v>
      </c>
      <c r="LM11" s="4">
        <v>2</v>
      </c>
      <c r="LN11" s="4" t="s">
        <v>681</v>
      </c>
      <c r="LO11" s="4">
        <v>1</v>
      </c>
      <c r="LP11" s="4">
        <v>1</v>
      </c>
      <c r="LQ11" s="4" t="s">
        <v>682</v>
      </c>
      <c r="LR11" s="4">
        <v>1</v>
      </c>
      <c r="LS11" s="4">
        <v>2</v>
      </c>
      <c r="LT11" s="4">
        <f>(Foglio1!$KE11+Foglio1!$KH11+Foglio1!$KK11+Foglio1!$KN11+Foglio1!$KQ11+Foglio1!$KT11+Foglio1!$KW11+Foglio1!$KZ11+Foglio1!$LC11+Foglio1!$LF11+Foglio1!$LI11+Foglio1!$LL11+Foglio1!$LO11+Foglio1!$LR11)</f>
        <v>19</v>
      </c>
      <c r="LU11" s="4">
        <f>(Foglio1!$KI11+Foglio1!$KF11+Foglio1!$KL11+Foglio1!$KO11+Foglio1!$KR11+Foglio1!$KU11+Foglio1!$KX11+Foglio1!$LA11+Foglio1!$LD11+Foglio1!$LG11+Foglio1!$LJ11+Foglio1!$LM11+Foglio1!$LP11+Foglio1!$LS11)</f>
        <v>24</v>
      </c>
      <c r="LV11" s="4">
        <v>53</v>
      </c>
      <c r="LW11" s="4">
        <v>39</v>
      </c>
      <c r="LX11" s="4">
        <v>25</v>
      </c>
      <c r="LY11" s="4">
        <v>23</v>
      </c>
      <c r="LZ11" s="3">
        <v>0</v>
      </c>
      <c r="MA11" s="3">
        <v>1</v>
      </c>
      <c r="MB11" s="3">
        <v>3</v>
      </c>
      <c r="MC11" s="3">
        <v>1</v>
      </c>
      <c r="MD11" s="3">
        <f t="shared" si="7"/>
        <v>5</v>
      </c>
      <c r="ME11" s="3">
        <v>0</v>
      </c>
      <c r="MF11" s="3">
        <v>0</v>
      </c>
      <c r="MG11" s="3">
        <v>0</v>
      </c>
      <c r="MH11" s="3">
        <v>0</v>
      </c>
      <c r="MI11" s="3">
        <f t="shared" si="8"/>
        <v>0</v>
      </c>
    </row>
    <row r="12" spans="1:347" ht="15.75" customHeight="1" x14ac:dyDescent="0.25">
      <c r="A12" s="4" t="s">
        <v>683</v>
      </c>
      <c r="B12" s="4">
        <v>46</v>
      </c>
      <c r="C12" s="4" t="s">
        <v>403</v>
      </c>
      <c r="D12" s="4">
        <v>18</v>
      </c>
      <c r="E12" s="4">
        <v>0</v>
      </c>
      <c r="F12" s="4" t="s">
        <v>350</v>
      </c>
      <c r="G12" s="4" t="s">
        <v>356</v>
      </c>
      <c r="H12" s="4" t="s">
        <v>684</v>
      </c>
      <c r="I12" s="4" t="s">
        <v>684</v>
      </c>
      <c r="J12" s="4"/>
      <c r="K12" s="4"/>
      <c r="L12" s="5" t="s">
        <v>356</v>
      </c>
      <c r="M12" s="4" t="s">
        <v>449</v>
      </c>
      <c r="N12" s="4" t="s">
        <v>685</v>
      </c>
      <c r="O12" s="9">
        <v>45805</v>
      </c>
      <c r="P12" s="9">
        <v>45820</v>
      </c>
      <c r="Q12" s="4" t="s">
        <v>686</v>
      </c>
      <c r="R12" s="4"/>
      <c r="S12" s="4" t="s">
        <v>687</v>
      </c>
      <c r="T12" s="4" t="s">
        <v>360</v>
      </c>
      <c r="U12" s="4"/>
      <c r="V12" s="4" t="s">
        <v>413</v>
      </c>
      <c r="W12" s="4" t="s">
        <v>688</v>
      </c>
      <c r="X12" s="4" t="s">
        <v>689</v>
      </c>
      <c r="Y12" s="4" t="s">
        <v>365</v>
      </c>
      <c r="Z12" s="4"/>
      <c r="AA12" s="4"/>
      <c r="AB12" s="4"/>
      <c r="AC12" s="4"/>
      <c r="AD12" s="4"/>
      <c r="AE12" s="4"/>
      <c r="AF12" s="4"/>
      <c r="AG12" s="4"/>
      <c r="AH12" s="4" t="s">
        <v>689</v>
      </c>
      <c r="AI12" s="4" t="s">
        <v>690</v>
      </c>
      <c r="AJ12" s="4" t="s">
        <v>691</v>
      </c>
      <c r="AK12" s="4" t="s">
        <v>692</v>
      </c>
      <c r="AL12" s="4" t="s">
        <v>609</v>
      </c>
      <c r="AM12" s="4" t="s">
        <v>693</v>
      </c>
      <c r="AN12" s="4" t="s">
        <v>413</v>
      </c>
      <c r="AO12" s="4" t="s">
        <v>694</v>
      </c>
      <c r="AP12" s="5" t="s">
        <v>356</v>
      </c>
      <c r="AQ12" s="5" t="s">
        <v>356</v>
      </c>
      <c r="AR12" s="5" t="s">
        <v>356</v>
      </c>
      <c r="AS12" s="5" t="s">
        <v>356</v>
      </c>
      <c r="AT12" s="5" t="s">
        <v>356</v>
      </c>
      <c r="AU12" s="5" t="s">
        <v>356</v>
      </c>
      <c r="AV12" s="5" t="s">
        <v>356</v>
      </c>
      <c r="AW12" s="5" t="s">
        <v>356</v>
      </c>
      <c r="AX12" s="4">
        <v>4</v>
      </c>
      <c r="AY12" s="4"/>
      <c r="AZ12" s="5" t="s">
        <v>383</v>
      </c>
      <c r="BA12" s="4">
        <f t="shared" si="9"/>
        <v>15</v>
      </c>
      <c r="BB12" s="4"/>
      <c r="BC12" s="4" t="s">
        <v>360</v>
      </c>
      <c r="BD12" s="4"/>
      <c r="BE12" s="4"/>
      <c r="BF12" s="4"/>
      <c r="BG12" s="6">
        <v>45812</v>
      </c>
      <c r="BH12" s="4" t="s">
        <v>356</v>
      </c>
      <c r="BI12" s="4" t="s">
        <v>356</v>
      </c>
      <c r="BJ12" s="4" t="s">
        <v>356</v>
      </c>
      <c r="BK12" s="4" t="s">
        <v>356</v>
      </c>
      <c r="BL12" s="4" t="s">
        <v>356</v>
      </c>
      <c r="BM12" s="4" t="s">
        <v>356</v>
      </c>
      <c r="BN12" s="4" t="s">
        <v>356</v>
      </c>
      <c r="BO12" s="4" t="s">
        <v>356</v>
      </c>
      <c r="BP12" s="4">
        <v>2</v>
      </c>
      <c r="BQ12" s="4">
        <v>2</v>
      </c>
      <c r="BR12" s="4">
        <v>9</v>
      </c>
      <c r="BS12" s="4">
        <v>61</v>
      </c>
      <c r="BT12" s="4">
        <v>1</v>
      </c>
      <c r="BU12" s="4">
        <v>1</v>
      </c>
      <c r="BV12" s="4">
        <v>1</v>
      </c>
      <c r="BW12" s="4">
        <v>1</v>
      </c>
      <c r="BX12" s="4">
        <v>1</v>
      </c>
      <c r="BY12" s="4">
        <v>1</v>
      </c>
      <c r="BZ12" s="4">
        <v>1</v>
      </c>
      <c r="CA12" s="4">
        <v>1</v>
      </c>
      <c r="CB12" s="4">
        <v>1</v>
      </c>
      <c r="CC12" s="4">
        <v>1</v>
      </c>
      <c r="CD12" s="4">
        <v>1</v>
      </c>
      <c r="CE12" s="4">
        <v>2</v>
      </c>
      <c r="CF12" s="4">
        <v>2</v>
      </c>
      <c r="CG12" s="4">
        <v>1</v>
      </c>
      <c r="CH12" s="4">
        <v>3</v>
      </c>
      <c r="CI12" s="4">
        <v>4</v>
      </c>
      <c r="CJ12" s="4">
        <v>5</v>
      </c>
      <c r="CK12" s="4">
        <v>5</v>
      </c>
      <c r="CL12" s="4">
        <v>1</v>
      </c>
      <c r="CM12" s="4">
        <v>3</v>
      </c>
      <c r="CN12" s="4">
        <v>1</v>
      </c>
      <c r="CO12" s="4">
        <v>1</v>
      </c>
      <c r="CP12" s="4">
        <v>1</v>
      </c>
      <c r="CQ12" s="4">
        <v>1</v>
      </c>
      <c r="CR12" s="4">
        <v>1</v>
      </c>
      <c r="CS12" s="4">
        <v>3</v>
      </c>
      <c r="CT12" s="4">
        <v>3</v>
      </c>
      <c r="CU12" s="4">
        <v>3</v>
      </c>
      <c r="CV12" s="4">
        <v>4</v>
      </c>
      <c r="CW12" s="4">
        <v>2</v>
      </c>
      <c r="CX12" s="4">
        <f>SUM(Foglio1!$BT12:$CW12)</f>
        <v>57</v>
      </c>
      <c r="CY12" s="4">
        <f>SUM(Foglio1!$BT12+Foglio1!$BV12+Foglio1!$CP12+Foglio1!$BY12+Foglio1!$BX12+Foglio1!$CH12+Foglio1!$CS12+Foglio1!$CW12-Foglio1!$CE12)</f>
        <v>11</v>
      </c>
      <c r="CZ12" s="4">
        <f>SUM(Foglio1!$CF12+Foglio1!$CA12+Foglio1!$CB12+Foglio1!$CD12+Foglio1!$CN12+Foglio1!$CC12+Foglio1!$CW12+Foglio1!$CO12+Foglio1!$CT12-Foglio1!$BU12)</f>
        <v>12</v>
      </c>
      <c r="DA12" s="4">
        <f>SUM(Foglio1!$CG12+Foglio1!$CR12+Foglio1!$CQ12+Foglio1!$BU12+Foglio1!$CE12+Foglio1!$CL12+Foglio1!$CS12+Foglio1!$CT12+Foglio1!$CV12+Foglio1!$CP12)</f>
        <v>18</v>
      </c>
      <c r="DB12" s="4">
        <f>SUM(Foglio1!$CU12+Foglio1!$BW12+Foglio1!$BZ12+Foglio1!$CO12+Foglio1!$BX12+Foglio1!$CC12+Foglio1!$CK12+Foglio1!$CW12)</f>
        <v>15</v>
      </c>
      <c r="DC12" s="4">
        <f>SUM(Foglio1!$CI12+Foglio1!$CM12+Foglio1!$CJ12+Foglio1!$CK12+Foglio1!$BY12+Foglio1!$CH12+Foglio1!$CV12+Foglio1!$CW12)</f>
        <v>27</v>
      </c>
      <c r="DD12" s="4">
        <v>1</v>
      </c>
      <c r="DE12" s="4">
        <v>0</v>
      </c>
      <c r="DF12" s="4">
        <v>1</v>
      </c>
      <c r="DG12" s="4">
        <v>0</v>
      </c>
      <c r="DH12" s="4">
        <v>0</v>
      </c>
      <c r="DI12" s="4">
        <v>0</v>
      </c>
      <c r="DJ12" s="4">
        <v>0</v>
      </c>
      <c r="DK12" s="4">
        <v>0</v>
      </c>
      <c r="DL12" s="4">
        <v>0</v>
      </c>
      <c r="DM12" s="4">
        <v>1</v>
      </c>
      <c r="DN12" s="4">
        <v>0</v>
      </c>
      <c r="DO12" s="4">
        <v>0</v>
      </c>
      <c r="DP12" s="4">
        <v>0</v>
      </c>
      <c r="DQ12" s="4">
        <v>0</v>
      </c>
      <c r="DR12" s="4">
        <v>0</v>
      </c>
      <c r="DS12" s="4">
        <v>0</v>
      </c>
      <c r="DT12" s="4">
        <v>1</v>
      </c>
      <c r="DU12" s="4">
        <v>0</v>
      </c>
      <c r="DV12" s="4">
        <v>1</v>
      </c>
      <c r="DW12" s="4">
        <v>0</v>
      </c>
      <c r="DX12" s="4">
        <v>0</v>
      </c>
      <c r="DY12" s="4">
        <v>1</v>
      </c>
      <c r="DZ12" s="4">
        <v>3</v>
      </c>
      <c r="EA12" s="4">
        <v>0</v>
      </c>
      <c r="EB12" s="4">
        <v>0</v>
      </c>
      <c r="EC12" s="4">
        <v>0</v>
      </c>
      <c r="ED12" s="4">
        <v>0</v>
      </c>
      <c r="EE12" s="4">
        <v>0</v>
      </c>
      <c r="EF12" s="4">
        <v>3</v>
      </c>
      <c r="EG12" s="4">
        <v>0</v>
      </c>
      <c r="EH12" s="4">
        <f>(Foglio1!$DE12+Foglio1!$DH12+Foglio1!$DG12+Foglio1!$DF12+Foglio1!$DM12+Foglio1!$DD12+Foglio1!$DO12+Foglio1!$DL12+Foglio1!$DN12+Foglio1!$DQ12+Foglio1!$DP12+Foglio1!$DT12+Foglio1!$DI12+Foglio1!$DK12+Foglio1!$DU12)</f>
        <v>4</v>
      </c>
      <c r="EI12" s="4">
        <f>(Foglio1!$EA12+Foglio1!$EB12+Foglio1!$EE12+Foglio1!$EC12+Foglio1!$ED12+Foglio1!$DZ12+Foglio1!$DY12)</f>
        <v>4</v>
      </c>
      <c r="EJ12" s="4">
        <f>(Foglio1!$DW12+Foglio1!$DV12+Foglio1!$DX12)</f>
        <v>1</v>
      </c>
      <c r="EK12" s="4">
        <f>(Foglio1!$EG12+Foglio1!$EF12)</f>
        <v>3</v>
      </c>
      <c r="EL12" s="4">
        <v>0</v>
      </c>
      <c r="EM12" s="4">
        <v>1</v>
      </c>
      <c r="EN12" s="4">
        <v>1</v>
      </c>
      <c r="EO12" s="4">
        <v>1</v>
      </c>
      <c r="EP12" s="4">
        <f t="array" ref="EP12">SUM(EL12:EO12/4)</f>
        <v>0.75</v>
      </c>
      <c r="EQ12" s="4">
        <v>1</v>
      </c>
      <c r="ER12" s="4">
        <v>1</v>
      </c>
      <c r="ES12" s="4">
        <v>0</v>
      </c>
      <c r="ET12" s="4">
        <v>1</v>
      </c>
      <c r="EU12" s="4" t="s">
        <v>383</v>
      </c>
      <c r="EV12" s="4">
        <v>1</v>
      </c>
      <c r="EW12" s="4" t="s">
        <v>383</v>
      </c>
      <c r="EX12" s="4">
        <v>0</v>
      </c>
      <c r="EY12" s="4">
        <f>(Foglio1!$EQ12+Foglio1!$ER12+Foglio1!$ES12+Foglio1!$ET12+Foglio1!$EV12+Foglio1!$EX12)/6</f>
        <v>0.66666666666666663</v>
      </c>
      <c r="EZ12" s="4">
        <v>1</v>
      </c>
      <c r="FA12" s="4">
        <v>1</v>
      </c>
      <c r="FB12" s="4">
        <v>1</v>
      </c>
      <c r="FC12" s="4">
        <f>(Foglio1!$EZ12+Foglio1!$FA12+Foglio1!$FB12)/3</f>
        <v>1</v>
      </c>
      <c r="FD12" s="4">
        <v>0</v>
      </c>
      <c r="FE12" s="4">
        <v>0</v>
      </c>
      <c r="FF12" s="4">
        <f>(Foglio1!$FD12+Foglio1!$FE12)/2</f>
        <v>0</v>
      </c>
      <c r="FG12" s="4" t="s">
        <v>383</v>
      </c>
      <c r="FH12" s="4">
        <v>0</v>
      </c>
      <c r="FI12" s="4" t="s">
        <v>383</v>
      </c>
      <c r="FJ12" s="4">
        <v>0</v>
      </c>
      <c r="FK12" s="4" t="s">
        <v>383</v>
      </c>
      <c r="FL12" s="4">
        <v>0</v>
      </c>
      <c r="FM12" s="4">
        <f>(Foglio1!$FH12+Foglio1!$FJ12+Foglio1!$FL12)/3</f>
        <v>0</v>
      </c>
      <c r="FN12" s="4">
        <f>(Foglio1!$EP12)</f>
        <v>0.75</v>
      </c>
      <c r="FO12" s="4">
        <f>(Foglio1!$EY12+Foglio1!$FC12+Foglio1!$FF12+Foglio1!$FM12)/4</f>
        <v>0.41666666666666663</v>
      </c>
      <c r="FP12" s="4">
        <f>(Foglio1!$EP12+Foglio1!$EY12+Foglio1!$FC12+Foglio1!$FF12+Foglio1!$FM12)/5</f>
        <v>0.48333333333333328</v>
      </c>
      <c r="FQ12" s="6">
        <v>45819</v>
      </c>
      <c r="FR12" s="4" t="s">
        <v>356</v>
      </c>
      <c r="FS12" s="4" t="s">
        <v>356</v>
      </c>
      <c r="FT12" s="4" t="s">
        <v>356</v>
      </c>
      <c r="FU12" s="4" t="s">
        <v>356</v>
      </c>
      <c r="FV12" s="4" t="s">
        <v>356</v>
      </c>
      <c r="FW12" s="4" t="s">
        <v>356</v>
      </c>
      <c r="FX12" s="4" t="s">
        <v>356</v>
      </c>
      <c r="FY12" s="4">
        <v>2</v>
      </c>
      <c r="FZ12" s="4">
        <v>3</v>
      </c>
      <c r="GA12" s="4">
        <v>5</v>
      </c>
      <c r="GB12" s="4">
        <v>70</v>
      </c>
      <c r="GC12" s="4">
        <v>1</v>
      </c>
      <c r="GD12" s="4">
        <v>1</v>
      </c>
      <c r="GE12" s="4">
        <v>1</v>
      </c>
      <c r="GF12" s="4">
        <v>1</v>
      </c>
      <c r="GG12" s="4">
        <v>1</v>
      </c>
      <c r="GH12" s="4">
        <v>1</v>
      </c>
      <c r="GI12" s="4">
        <v>1</v>
      </c>
      <c r="GJ12" s="4">
        <v>1</v>
      </c>
      <c r="GK12" s="4">
        <v>1</v>
      </c>
      <c r="GL12" s="4">
        <v>1</v>
      </c>
      <c r="GM12" s="4">
        <v>1</v>
      </c>
      <c r="GN12" s="4">
        <v>2</v>
      </c>
      <c r="GO12" s="4">
        <v>1</v>
      </c>
      <c r="GP12" s="4">
        <v>1</v>
      </c>
      <c r="GQ12" s="4">
        <v>2</v>
      </c>
      <c r="GR12" s="4">
        <v>2</v>
      </c>
      <c r="GS12" s="4">
        <v>2</v>
      </c>
      <c r="GT12" s="4">
        <v>2</v>
      </c>
      <c r="GU12" s="4">
        <v>1</v>
      </c>
      <c r="GV12" s="4">
        <v>2</v>
      </c>
      <c r="GW12" s="4">
        <v>1</v>
      </c>
      <c r="GX12" s="4">
        <v>1</v>
      </c>
      <c r="GY12" s="4">
        <v>1</v>
      </c>
      <c r="GZ12" s="4">
        <v>1</v>
      </c>
      <c r="HA12" s="4">
        <v>1</v>
      </c>
      <c r="HB12" s="4">
        <v>2</v>
      </c>
      <c r="HC12" s="4">
        <v>2</v>
      </c>
      <c r="HD12" s="4">
        <v>3</v>
      </c>
      <c r="HE12" s="4">
        <v>3</v>
      </c>
      <c r="HF12" s="4">
        <v>1</v>
      </c>
      <c r="HG12" s="4">
        <f t="shared" si="10"/>
        <v>42</v>
      </c>
      <c r="HH12" s="4">
        <f t="shared" si="11"/>
        <v>8</v>
      </c>
      <c r="HI12" s="4">
        <f t="shared" si="12"/>
        <v>9</v>
      </c>
      <c r="HJ12" s="4">
        <f t="shared" si="13"/>
        <v>15</v>
      </c>
      <c r="HK12" s="4">
        <f t="shared" si="14"/>
        <v>11</v>
      </c>
      <c r="HL12" s="4">
        <f t="shared" si="15"/>
        <v>15</v>
      </c>
      <c r="HM12" s="4">
        <v>1</v>
      </c>
      <c r="HN12" s="4">
        <v>1</v>
      </c>
      <c r="HO12" s="4">
        <v>2</v>
      </c>
      <c r="HP12" s="4">
        <v>0</v>
      </c>
      <c r="HQ12" s="4">
        <v>0</v>
      </c>
      <c r="HR12" s="4">
        <v>0</v>
      </c>
      <c r="HS12" s="4">
        <v>0</v>
      </c>
      <c r="HT12" s="4">
        <v>0</v>
      </c>
      <c r="HU12" s="4">
        <v>0</v>
      </c>
      <c r="HV12" s="4">
        <v>0</v>
      </c>
      <c r="HW12" s="4">
        <v>0</v>
      </c>
      <c r="HX12" s="4">
        <v>0</v>
      </c>
      <c r="HY12" s="4">
        <v>0</v>
      </c>
      <c r="HZ12" s="4">
        <v>0</v>
      </c>
      <c r="IA12" s="4">
        <v>0</v>
      </c>
      <c r="IB12" s="4">
        <v>0</v>
      </c>
      <c r="IC12" s="4">
        <v>1</v>
      </c>
      <c r="ID12" s="4">
        <v>0</v>
      </c>
      <c r="IE12" s="4">
        <v>1</v>
      </c>
      <c r="IF12" s="4">
        <v>0</v>
      </c>
      <c r="IG12" s="4">
        <v>0</v>
      </c>
      <c r="IH12" s="4">
        <v>0</v>
      </c>
      <c r="II12" s="4">
        <v>0</v>
      </c>
      <c r="IJ12" s="4">
        <v>1</v>
      </c>
      <c r="IK12" s="4">
        <v>0</v>
      </c>
      <c r="IL12" s="4">
        <v>0</v>
      </c>
      <c r="IM12" s="4">
        <v>0</v>
      </c>
      <c r="IN12" s="4">
        <v>0</v>
      </c>
      <c r="IO12" s="4">
        <v>1</v>
      </c>
      <c r="IP12" s="4">
        <v>2</v>
      </c>
      <c r="IQ12" s="4">
        <f t="shared" si="20"/>
        <v>5</v>
      </c>
      <c r="IR12" s="4">
        <f t="shared" si="21"/>
        <v>1</v>
      </c>
      <c r="IS12" s="4">
        <f t="shared" si="22"/>
        <v>1</v>
      </c>
      <c r="IT12" s="4">
        <f t="shared" si="23"/>
        <v>3</v>
      </c>
      <c r="IU12" s="4" t="s">
        <v>383</v>
      </c>
      <c r="IV12" s="4" t="s">
        <v>383</v>
      </c>
      <c r="IW12" s="4" t="s">
        <v>383</v>
      </c>
      <c r="IX12" s="4" t="s">
        <v>383</v>
      </c>
      <c r="IY12" s="4">
        <v>0</v>
      </c>
      <c r="IZ12" s="4">
        <v>1</v>
      </c>
      <c r="JA12" s="4">
        <v>1</v>
      </c>
      <c r="JB12" s="4">
        <v>1</v>
      </c>
      <c r="JC12" s="4">
        <f>(Foglio1!$IY12+Foglio1!$IZ12+Foglio1!$JA12+Foglio1!$JB12)/4</f>
        <v>0.75</v>
      </c>
      <c r="JD12" s="4">
        <v>1</v>
      </c>
      <c r="JE12" s="4">
        <v>1</v>
      </c>
      <c r="JF12" s="4">
        <v>1</v>
      </c>
      <c r="JG12" s="4">
        <v>1</v>
      </c>
      <c r="JH12" s="4"/>
      <c r="JI12" s="4">
        <v>1</v>
      </c>
      <c r="JJ12" s="4"/>
      <c r="JK12" s="4">
        <v>0</v>
      </c>
      <c r="JL12" s="4">
        <f>(Foglio1!$JD12+Foglio1!$JE12+Foglio1!$JF12+Foglio1!$JG12+Foglio1!$JI12+Foglio1!$JK12)/6</f>
        <v>0.83333333333333337</v>
      </c>
      <c r="JM12" s="4">
        <v>1</v>
      </c>
      <c r="JN12" s="4">
        <v>1</v>
      </c>
      <c r="JO12" s="4">
        <v>1</v>
      </c>
      <c r="JP12" s="4">
        <f>(Foglio1!$JM12+Foglio1!$JN12+Foglio1!$JO12)/3</f>
        <v>1</v>
      </c>
      <c r="JQ12" s="4">
        <v>0</v>
      </c>
      <c r="JR12" s="4">
        <v>0</v>
      </c>
      <c r="JS12" s="4">
        <f>(Foglio1!$JQ12+Foglio1!$JR12)/2</f>
        <v>0</v>
      </c>
      <c r="JT12" s="4"/>
      <c r="JU12" s="4">
        <v>1</v>
      </c>
      <c r="JV12" s="4"/>
      <c r="JW12" s="4">
        <v>1</v>
      </c>
      <c r="JX12" s="4"/>
      <c r="JY12" s="4">
        <v>1</v>
      </c>
      <c r="JZ12" s="4">
        <f>(Foglio1!$JU12+Foglio1!$JW12+Foglio1!$JY12)/3</f>
        <v>1</v>
      </c>
      <c r="KA12" s="4">
        <f>(Foglio1!$JC12)</f>
        <v>0.75</v>
      </c>
      <c r="KB12" s="4">
        <f>(Foglio1!$JL12+Foglio1!$JP12+Foglio1!$JS12+Foglio1!$JZ12)/4</f>
        <v>0.70833333333333337</v>
      </c>
      <c r="KC12" s="4">
        <f>(Foglio1!$JC12+Foglio1!$JL12+Foglio1!$JP12+Foglio1!$JS12+Foglio1!$JZ12)/5</f>
        <v>0.71666666666666667</v>
      </c>
      <c r="KD12" s="4"/>
      <c r="KE12" s="4">
        <v>2</v>
      </c>
      <c r="KF12" s="4">
        <v>2</v>
      </c>
      <c r="KG12" s="4"/>
      <c r="KH12" s="4">
        <v>1</v>
      </c>
      <c r="KI12" s="4">
        <v>1</v>
      </c>
      <c r="KJ12" s="4"/>
      <c r="KK12" s="4">
        <v>2</v>
      </c>
      <c r="KL12" s="4">
        <v>2</v>
      </c>
      <c r="KM12" s="4"/>
      <c r="KN12" s="4">
        <v>2</v>
      </c>
      <c r="KO12" s="4">
        <v>1</v>
      </c>
      <c r="KP12" s="4"/>
      <c r="KQ12" s="4">
        <v>1</v>
      </c>
      <c r="KR12" s="4">
        <v>1</v>
      </c>
      <c r="KS12" s="4"/>
      <c r="KT12" s="4">
        <v>2</v>
      </c>
      <c r="KU12" s="4">
        <v>1</v>
      </c>
      <c r="KV12" s="4"/>
      <c r="KW12" s="4">
        <v>2</v>
      </c>
      <c r="KX12" s="4">
        <v>1</v>
      </c>
      <c r="KY12" s="4"/>
      <c r="KZ12" s="4">
        <v>1</v>
      </c>
      <c r="LA12" s="4">
        <v>2</v>
      </c>
      <c r="LB12" s="4"/>
      <c r="LC12" s="4">
        <v>1</v>
      </c>
      <c r="LD12" s="4">
        <v>1</v>
      </c>
      <c r="LE12" s="4"/>
      <c r="LF12" s="4">
        <v>1</v>
      </c>
      <c r="LG12" s="4">
        <v>2</v>
      </c>
      <c r="LH12" s="4"/>
      <c r="LI12" s="4">
        <v>2</v>
      </c>
      <c r="LJ12" s="4">
        <v>1</v>
      </c>
      <c r="LK12" s="4"/>
      <c r="LL12" s="4">
        <v>0</v>
      </c>
      <c r="LM12" s="4">
        <v>1</v>
      </c>
      <c r="LN12" s="4"/>
      <c r="LO12" s="4">
        <v>2</v>
      </c>
      <c r="LP12" s="4">
        <v>2</v>
      </c>
      <c r="LQ12" s="4"/>
      <c r="LR12" s="4">
        <v>2</v>
      </c>
      <c r="LS12" s="4">
        <v>2</v>
      </c>
      <c r="LT12" s="4">
        <f>(Foglio1!$KE12+Foglio1!$KH12+Foglio1!$KK12+Foglio1!$KN12+Foglio1!$KQ12+Foglio1!$KT12+Foglio1!$KW12+Foglio1!$KZ12+Foglio1!$LC12+Foglio1!$LF12+Foglio1!$LI12+Foglio1!$LL12+Foglio1!$LO12+Foglio1!$LR12)</f>
        <v>21</v>
      </c>
      <c r="LU12" s="4">
        <f>(Foglio1!$KI12+Foglio1!$KF12+Foglio1!$KL12+Foglio1!$KO12+Foglio1!$KR12+Foglio1!$KU12+Foglio1!$KX12+Foglio1!$LA12+Foglio1!$LD12+Foglio1!$LG12+Foglio1!$LJ12+Foglio1!$LM12+Foglio1!$LP12+Foglio1!$LS12)</f>
        <v>20</v>
      </c>
      <c r="LV12" s="4">
        <v>42</v>
      </c>
      <c r="LW12" s="4">
        <v>33</v>
      </c>
      <c r="LX12" s="4">
        <v>24</v>
      </c>
      <c r="LY12" s="4">
        <v>24</v>
      </c>
      <c r="LZ12" s="3">
        <v>2</v>
      </c>
      <c r="MA12" s="3">
        <v>6</v>
      </c>
      <c r="MB12" s="3">
        <v>3</v>
      </c>
      <c r="MC12" s="3">
        <v>0</v>
      </c>
      <c r="MD12" s="3">
        <f t="shared" si="7"/>
        <v>11</v>
      </c>
      <c r="ME12" s="3">
        <v>0</v>
      </c>
      <c r="MF12" s="3">
        <v>1</v>
      </c>
      <c r="MG12" s="3">
        <v>0</v>
      </c>
      <c r="MH12" s="3">
        <v>0</v>
      </c>
      <c r="MI12" s="3">
        <f t="shared" si="8"/>
        <v>1</v>
      </c>
    </row>
    <row r="13" spans="1:347" ht="15.75" customHeight="1" x14ac:dyDescent="0.25">
      <c r="A13" s="4" t="s">
        <v>695</v>
      </c>
      <c r="B13" s="4">
        <v>28</v>
      </c>
      <c r="C13" s="4" t="s">
        <v>349</v>
      </c>
      <c r="D13" s="4">
        <v>13</v>
      </c>
      <c r="E13" s="4">
        <v>1</v>
      </c>
      <c r="F13" s="4" t="s">
        <v>350</v>
      </c>
      <c r="G13" s="4" t="s">
        <v>652</v>
      </c>
      <c r="H13" s="4" t="s">
        <v>696</v>
      </c>
      <c r="I13" s="4" t="s">
        <v>697</v>
      </c>
      <c r="J13" s="4"/>
      <c r="K13" s="4"/>
      <c r="L13" s="5" t="s">
        <v>356</v>
      </c>
      <c r="M13" s="4" t="s">
        <v>449</v>
      </c>
      <c r="N13" s="4" t="s">
        <v>406</v>
      </c>
      <c r="O13" s="6">
        <v>45527</v>
      </c>
      <c r="P13" s="9">
        <v>45541</v>
      </c>
      <c r="Q13" s="4" t="s">
        <v>698</v>
      </c>
      <c r="R13" s="4"/>
      <c r="S13" s="4"/>
      <c r="T13" s="4"/>
      <c r="U13" s="4"/>
      <c r="V13" s="4"/>
      <c r="W13" s="4"/>
      <c r="X13" s="4"/>
      <c r="Y13" s="4"/>
      <c r="Z13" s="4"/>
      <c r="AA13" s="4"/>
      <c r="AB13" s="4"/>
      <c r="AC13" s="4"/>
      <c r="AD13" s="4"/>
      <c r="AE13" s="4"/>
      <c r="AF13" s="4"/>
      <c r="AG13" s="4"/>
      <c r="AH13" s="4" t="s">
        <v>699</v>
      </c>
      <c r="AI13" s="4" t="s">
        <v>700</v>
      </c>
      <c r="AJ13" s="4" t="s">
        <v>701</v>
      </c>
      <c r="AK13" s="4" t="s">
        <v>702</v>
      </c>
      <c r="AL13" s="4" t="s">
        <v>703</v>
      </c>
      <c r="AM13" s="4" t="s">
        <v>704</v>
      </c>
      <c r="AN13" s="5" t="s">
        <v>356</v>
      </c>
      <c r="AO13" s="5" t="s">
        <v>356</v>
      </c>
      <c r="AP13" s="5" t="s">
        <v>356</v>
      </c>
      <c r="AQ13" s="5" t="s">
        <v>356</v>
      </c>
      <c r="AR13" s="5" t="s">
        <v>356</v>
      </c>
      <c r="AS13" s="5" t="s">
        <v>356</v>
      </c>
      <c r="AT13" s="5" t="s">
        <v>356</v>
      </c>
      <c r="AU13" s="5" t="s">
        <v>356</v>
      </c>
      <c r="AV13" s="5" t="s">
        <v>356</v>
      </c>
      <c r="AW13" s="5" t="s">
        <v>356</v>
      </c>
      <c r="AX13" s="4">
        <v>3</v>
      </c>
      <c r="AY13" s="4"/>
      <c r="AZ13" s="5" t="s">
        <v>383</v>
      </c>
      <c r="BA13" s="4">
        <f t="shared" si="9"/>
        <v>14</v>
      </c>
      <c r="BB13" s="4"/>
      <c r="BC13" s="4"/>
      <c r="BD13" s="4" t="s">
        <v>705</v>
      </c>
      <c r="BE13" s="4"/>
      <c r="BF13" s="4"/>
      <c r="BG13" s="6">
        <v>45531</v>
      </c>
      <c r="BH13" s="4">
        <v>3</v>
      </c>
      <c r="BI13" s="4">
        <v>2</v>
      </c>
      <c r="BJ13" s="4">
        <v>2</v>
      </c>
      <c r="BK13" s="4">
        <v>2</v>
      </c>
      <c r="BL13" s="4">
        <v>2</v>
      </c>
      <c r="BM13" s="4">
        <v>2</v>
      </c>
      <c r="BN13" s="4">
        <v>0</v>
      </c>
      <c r="BO13" s="4">
        <f>SUM(Foglio1!$BH13:$BM13)</f>
        <v>13</v>
      </c>
      <c r="BP13" s="4">
        <v>4</v>
      </c>
      <c r="BQ13" s="4">
        <v>0</v>
      </c>
      <c r="BR13" s="4">
        <v>5</v>
      </c>
      <c r="BS13" s="4">
        <v>45</v>
      </c>
      <c r="BT13" s="4">
        <v>3</v>
      </c>
      <c r="BU13" s="4">
        <v>3</v>
      </c>
      <c r="BV13" s="4">
        <v>1</v>
      </c>
      <c r="BW13" s="4">
        <v>4</v>
      </c>
      <c r="BX13" s="4">
        <v>4</v>
      </c>
      <c r="BY13" s="4">
        <v>1</v>
      </c>
      <c r="BZ13" s="4">
        <v>1</v>
      </c>
      <c r="CA13" s="4">
        <v>1</v>
      </c>
      <c r="CB13" s="4">
        <v>1</v>
      </c>
      <c r="CC13" s="4">
        <v>1</v>
      </c>
      <c r="CD13" s="4">
        <v>1</v>
      </c>
      <c r="CE13" s="4">
        <v>1</v>
      </c>
      <c r="CF13" s="4">
        <v>1</v>
      </c>
      <c r="CG13" s="4">
        <v>1</v>
      </c>
      <c r="CH13" s="4">
        <v>1</v>
      </c>
      <c r="CI13" s="4">
        <v>1</v>
      </c>
      <c r="CJ13" s="4">
        <v>1</v>
      </c>
      <c r="CK13" s="4">
        <v>1</v>
      </c>
      <c r="CL13" s="4">
        <v>1</v>
      </c>
      <c r="CM13" s="4">
        <v>1</v>
      </c>
      <c r="CN13" s="4">
        <v>1</v>
      </c>
      <c r="CO13" s="4">
        <v>1</v>
      </c>
      <c r="CP13" s="4">
        <v>3</v>
      </c>
      <c r="CQ13" s="4">
        <v>1</v>
      </c>
      <c r="CR13" s="4">
        <v>1</v>
      </c>
      <c r="CS13" s="4">
        <v>2</v>
      </c>
      <c r="CT13" s="4">
        <v>1</v>
      </c>
      <c r="CU13" s="4">
        <v>1</v>
      </c>
      <c r="CV13" s="4">
        <v>3</v>
      </c>
      <c r="CW13" s="4">
        <v>1</v>
      </c>
      <c r="CX13" s="4">
        <f>SUM(Foglio1!$BT13:$CW13)</f>
        <v>45</v>
      </c>
      <c r="CY13" s="4">
        <f>SUM(Foglio1!$BT13+Foglio1!$BV13+Foglio1!$CP13+Foglio1!$BY13+Foglio1!$BX13+Foglio1!$CH13+Foglio1!$CS13+Foglio1!$CW13-Foglio1!$CE13)</f>
        <v>15</v>
      </c>
      <c r="CZ13" s="4">
        <f>SUM(Foglio1!$CF13+Foglio1!$CA13+Foglio1!$CB13+Foglio1!$CD13+Foglio1!$CN13+Foglio1!$CC13+Foglio1!$CW13+Foglio1!$CO13+Foglio1!$CT13-Foglio1!$BU13)</f>
        <v>6</v>
      </c>
      <c r="DA13" s="4">
        <f>SUM(Foglio1!$CG13+Foglio1!$CR13+Foglio1!$CQ13+Foglio1!$BU13+Foglio1!$CE13+Foglio1!$CL13+Foglio1!$CS13+Foglio1!$CT13+Foglio1!$CV13+Foglio1!$CP13)</f>
        <v>17</v>
      </c>
      <c r="DB13" s="4">
        <f>SUM(Foglio1!$CU13+Foglio1!$BW13+Foglio1!$BZ13+Foglio1!$CO13+Foglio1!$BX13+Foglio1!$CC13+Foglio1!$CK13+Foglio1!$CW13)</f>
        <v>14</v>
      </c>
      <c r="DC13" s="4">
        <f>SUM(Foglio1!$CI13+Foglio1!$CM13+Foglio1!$CJ13+Foglio1!$CK13+Foglio1!$BY13+Foglio1!$CH13+Foglio1!$CV13+Foglio1!$CW13)</f>
        <v>10</v>
      </c>
      <c r="DD13" s="4">
        <v>2</v>
      </c>
      <c r="DE13" s="4">
        <v>2</v>
      </c>
      <c r="DF13" s="4">
        <v>3</v>
      </c>
      <c r="DG13" s="4">
        <v>1</v>
      </c>
      <c r="DH13" s="4">
        <v>1</v>
      </c>
      <c r="DI13" s="4">
        <v>1</v>
      </c>
      <c r="DJ13" s="4">
        <v>0</v>
      </c>
      <c r="DK13" s="4">
        <v>0</v>
      </c>
      <c r="DL13" s="4">
        <v>0</v>
      </c>
      <c r="DM13" s="4">
        <v>0</v>
      </c>
      <c r="DN13" s="4">
        <v>0</v>
      </c>
      <c r="DO13" s="4">
        <v>0</v>
      </c>
      <c r="DP13" s="4">
        <v>0</v>
      </c>
      <c r="DQ13" s="4">
        <v>0</v>
      </c>
      <c r="DR13" s="4">
        <v>0</v>
      </c>
      <c r="DS13" s="4">
        <v>0</v>
      </c>
      <c r="DT13" s="4">
        <v>0</v>
      </c>
      <c r="DU13" s="4">
        <v>1</v>
      </c>
      <c r="DV13" s="4">
        <v>0</v>
      </c>
      <c r="DW13" s="4">
        <v>0</v>
      </c>
      <c r="DX13" s="4">
        <v>0</v>
      </c>
      <c r="DY13" s="4">
        <v>0</v>
      </c>
      <c r="DZ13" s="4">
        <v>0</v>
      </c>
      <c r="EA13" s="4">
        <v>0</v>
      </c>
      <c r="EB13" s="4">
        <v>2</v>
      </c>
      <c r="EC13" s="4">
        <v>0</v>
      </c>
      <c r="ED13" s="4">
        <v>0</v>
      </c>
      <c r="EE13" s="4">
        <v>2</v>
      </c>
      <c r="EF13" s="4">
        <v>0</v>
      </c>
      <c r="EG13" s="4">
        <v>1</v>
      </c>
      <c r="EH13" s="4">
        <f>(Foglio1!$DE13+Foglio1!$DH13+Foglio1!$DG13+Foglio1!$DF13+Foglio1!$DM13+Foglio1!$DD13+Foglio1!$DO13+Foglio1!$DL13+Foglio1!$DN13+Foglio1!$DQ13+Foglio1!$DP13+Foglio1!$DT13+Foglio1!$DI13+Foglio1!$DK13+Foglio1!$DU13)</f>
        <v>11</v>
      </c>
      <c r="EI13" s="4">
        <f>(Foglio1!$EA13+Foglio1!$EB13+Foglio1!$EE13+Foglio1!$EC13+Foglio1!$ED13+Foglio1!$DZ13+Foglio1!$DY13)</f>
        <v>4</v>
      </c>
      <c r="EJ13" s="4">
        <f>(Foglio1!$DW13+Foglio1!$DV13+Foglio1!$DX13)</f>
        <v>0</v>
      </c>
      <c r="EK13" s="4">
        <f>(Foglio1!$EG13+Foglio1!$EF13)</f>
        <v>1</v>
      </c>
      <c r="EL13" s="4">
        <v>1</v>
      </c>
      <c r="EM13" s="4">
        <v>0</v>
      </c>
      <c r="EN13" s="4">
        <v>1</v>
      </c>
      <c r="EO13" s="4">
        <v>1</v>
      </c>
      <c r="EP13" s="4">
        <f t="array" ref="EP13">SUM(EL13:EO13/4)</f>
        <v>0.75</v>
      </c>
      <c r="EQ13" s="4">
        <v>1</v>
      </c>
      <c r="ER13" s="4">
        <v>0</v>
      </c>
      <c r="ES13" s="4">
        <v>0</v>
      </c>
      <c r="ET13" s="4">
        <v>0</v>
      </c>
      <c r="EU13" s="4" t="s">
        <v>502</v>
      </c>
      <c r="EV13" s="4">
        <v>1</v>
      </c>
      <c r="EW13" s="4" t="s">
        <v>706</v>
      </c>
      <c r="EX13" s="4">
        <v>0</v>
      </c>
      <c r="EY13" s="4">
        <f>(Foglio1!$EQ13+Foglio1!$ER13+Foglio1!$ES13+Foglio1!$ET13+Foglio1!$EV13+Foglio1!$EX13)/6</f>
        <v>0.33333333333333331</v>
      </c>
      <c r="EZ13" s="4">
        <v>1</v>
      </c>
      <c r="FA13" s="4">
        <v>1</v>
      </c>
      <c r="FB13" s="4">
        <v>1</v>
      </c>
      <c r="FC13" s="4">
        <f>(Foglio1!$EZ13+Foglio1!$FA13+Foglio1!$FB13)/3</f>
        <v>1</v>
      </c>
      <c r="FD13" s="4">
        <v>1</v>
      </c>
      <c r="FE13" s="4">
        <v>1</v>
      </c>
      <c r="FF13" s="4">
        <f>(Foglio1!$FD13+Foglio1!$FE13)/2</f>
        <v>1</v>
      </c>
      <c r="FG13" s="4" t="s">
        <v>707</v>
      </c>
      <c r="FH13" s="4">
        <v>0</v>
      </c>
      <c r="FI13" s="4" t="s">
        <v>708</v>
      </c>
      <c r="FJ13" s="4">
        <v>0</v>
      </c>
      <c r="FK13" s="4" t="s">
        <v>709</v>
      </c>
      <c r="FL13" s="4">
        <v>0</v>
      </c>
      <c r="FM13" s="4">
        <f>(Foglio1!$FH13+Foglio1!$FJ13+Foglio1!$FL13)/3</f>
        <v>0</v>
      </c>
      <c r="FN13" s="4">
        <f>(Foglio1!$EP13)</f>
        <v>0.75</v>
      </c>
      <c r="FO13" s="4">
        <f>(Foglio1!$EY13+Foglio1!$FC13+Foglio1!$FF13+Foglio1!$FM13)/4</f>
        <v>0.58333333333333326</v>
      </c>
      <c r="FP13" s="4">
        <f>(Foglio1!$EP13+Foglio1!$EY13+Foglio1!$FC13+Foglio1!$FF13+Foglio1!$FM13)/5</f>
        <v>0.61666666666666659</v>
      </c>
      <c r="FQ13" s="6">
        <v>45539</v>
      </c>
      <c r="FR13" s="4">
        <v>1</v>
      </c>
      <c r="FS13" s="4">
        <v>1</v>
      </c>
      <c r="FT13" s="4">
        <v>1</v>
      </c>
      <c r="FU13" s="4">
        <v>1</v>
      </c>
      <c r="FV13" s="4">
        <v>1</v>
      </c>
      <c r="FW13" s="4">
        <v>1</v>
      </c>
      <c r="FX13" s="4">
        <v>1</v>
      </c>
      <c r="FY13" s="4">
        <v>2</v>
      </c>
      <c r="FZ13" s="4">
        <v>1</v>
      </c>
      <c r="GA13" s="4">
        <v>2</v>
      </c>
      <c r="GB13" s="4">
        <v>81</v>
      </c>
      <c r="GC13" s="4">
        <v>1</v>
      </c>
      <c r="GD13" s="4">
        <v>0</v>
      </c>
      <c r="GE13" s="4">
        <v>0</v>
      </c>
      <c r="GF13" s="4">
        <v>0</v>
      </c>
      <c r="GG13" s="4">
        <v>0</v>
      </c>
      <c r="GH13" s="4">
        <v>0</v>
      </c>
      <c r="GI13" s="4">
        <v>0</v>
      </c>
      <c r="GJ13" s="4">
        <v>0</v>
      </c>
      <c r="GK13" s="4">
        <v>0</v>
      </c>
      <c r="GL13" s="4">
        <v>0</v>
      </c>
      <c r="GM13" s="4">
        <v>0</v>
      </c>
      <c r="GN13" s="4">
        <v>0</v>
      </c>
      <c r="GO13" s="4">
        <v>0</v>
      </c>
      <c r="GP13" s="4">
        <v>0</v>
      </c>
      <c r="GQ13" s="4">
        <v>2</v>
      </c>
      <c r="GR13" s="4">
        <v>1</v>
      </c>
      <c r="GS13" s="4">
        <v>0</v>
      </c>
      <c r="GT13" s="4">
        <v>0</v>
      </c>
      <c r="GU13" s="4">
        <v>0</v>
      </c>
      <c r="GV13" s="4">
        <v>0</v>
      </c>
      <c r="GW13" s="4">
        <v>0</v>
      </c>
      <c r="GX13" s="4">
        <v>0</v>
      </c>
      <c r="GY13" s="4">
        <v>1</v>
      </c>
      <c r="GZ13" s="4">
        <v>0</v>
      </c>
      <c r="HA13" s="4">
        <v>0</v>
      </c>
      <c r="HB13" s="4">
        <v>0</v>
      </c>
      <c r="HC13" s="4">
        <v>0</v>
      </c>
      <c r="HD13" s="4">
        <v>0</v>
      </c>
      <c r="HE13" s="4">
        <v>2</v>
      </c>
      <c r="HF13" s="4">
        <v>0</v>
      </c>
      <c r="HG13" s="4">
        <f t="shared" si="10"/>
        <v>7</v>
      </c>
      <c r="HH13" s="4">
        <f t="shared" si="11"/>
        <v>4</v>
      </c>
      <c r="HI13" s="4">
        <f t="shared" si="12"/>
        <v>0</v>
      </c>
      <c r="HJ13" s="4">
        <f t="shared" si="13"/>
        <v>3</v>
      </c>
      <c r="HK13" s="4">
        <f t="shared" si="14"/>
        <v>0</v>
      </c>
      <c r="HL13" s="4">
        <f t="shared" si="15"/>
        <v>5</v>
      </c>
      <c r="HM13" s="4">
        <v>3</v>
      </c>
      <c r="HN13" s="4">
        <v>0</v>
      </c>
      <c r="HO13" s="4">
        <v>1</v>
      </c>
      <c r="HP13" s="4">
        <v>0</v>
      </c>
      <c r="HQ13" s="4">
        <v>0</v>
      </c>
      <c r="HR13" s="4">
        <v>0</v>
      </c>
      <c r="HS13" s="4">
        <v>0</v>
      </c>
      <c r="HT13" s="4">
        <v>0</v>
      </c>
      <c r="HU13" s="4">
        <v>0</v>
      </c>
      <c r="HV13" s="4">
        <v>1</v>
      </c>
      <c r="HW13" s="4">
        <v>0</v>
      </c>
      <c r="HX13" s="4">
        <v>0</v>
      </c>
      <c r="HY13" s="4">
        <v>0</v>
      </c>
      <c r="HZ13" s="4">
        <v>0</v>
      </c>
      <c r="IA13" s="4">
        <v>0</v>
      </c>
      <c r="IB13" s="4">
        <v>0</v>
      </c>
      <c r="IC13" s="4">
        <v>0</v>
      </c>
      <c r="ID13" s="4">
        <v>0</v>
      </c>
      <c r="IE13" s="4">
        <v>0</v>
      </c>
      <c r="IF13" s="4">
        <v>0</v>
      </c>
      <c r="IG13" s="4">
        <v>1</v>
      </c>
      <c r="IH13" s="4">
        <v>0</v>
      </c>
      <c r="II13" s="4">
        <v>0</v>
      </c>
      <c r="IJ13" s="4">
        <v>0</v>
      </c>
      <c r="IK13" s="4">
        <v>1</v>
      </c>
      <c r="IL13" s="4">
        <v>0</v>
      </c>
      <c r="IM13" s="4">
        <v>0</v>
      </c>
      <c r="IN13" s="4">
        <v>2</v>
      </c>
      <c r="IO13" s="4">
        <v>0</v>
      </c>
      <c r="IP13" s="4">
        <v>0</v>
      </c>
      <c r="IQ13" s="4">
        <f t="shared" si="20"/>
        <v>5</v>
      </c>
      <c r="IR13" s="4">
        <f t="shared" si="21"/>
        <v>3</v>
      </c>
      <c r="IS13" s="4">
        <f t="shared" si="22"/>
        <v>1</v>
      </c>
      <c r="IT13" s="4">
        <f t="shared" si="23"/>
        <v>0</v>
      </c>
      <c r="IU13" s="4" t="s">
        <v>383</v>
      </c>
      <c r="IV13" s="4" t="s">
        <v>383</v>
      </c>
      <c r="IW13" s="4" t="s">
        <v>383</v>
      </c>
      <c r="IX13" s="4" t="s">
        <v>383</v>
      </c>
      <c r="IY13" s="4">
        <v>0</v>
      </c>
      <c r="IZ13" s="4">
        <v>1</v>
      </c>
      <c r="JA13" s="4">
        <v>1</v>
      </c>
      <c r="JB13" s="4">
        <v>0</v>
      </c>
      <c r="JC13" s="4">
        <f>(Foglio1!$IY13+Foglio1!$IZ13+Foglio1!$JA13+Foglio1!$JB13)/4</f>
        <v>0.5</v>
      </c>
      <c r="JD13" s="4">
        <v>1</v>
      </c>
      <c r="JE13" s="4">
        <v>1</v>
      </c>
      <c r="JF13" s="4">
        <v>1</v>
      </c>
      <c r="JG13" s="4">
        <v>1</v>
      </c>
      <c r="JH13" s="4" t="s">
        <v>710</v>
      </c>
      <c r="JI13" s="4">
        <v>0</v>
      </c>
      <c r="JJ13" s="4" t="s">
        <v>711</v>
      </c>
      <c r="JK13" s="4">
        <v>0</v>
      </c>
      <c r="JL13" s="4">
        <f>(Foglio1!$JD13+Foglio1!$JE13+Foglio1!$JF13+Foglio1!$JG13+Foglio1!$JI13+Foglio1!$JK13)/6</f>
        <v>0.66666666666666663</v>
      </c>
      <c r="JM13" s="4">
        <v>1</v>
      </c>
      <c r="JN13" s="4">
        <v>1</v>
      </c>
      <c r="JO13" s="4">
        <v>1</v>
      </c>
      <c r="JP13" s="4">
        <f>(Foglio1!$JM13+Foglio1!$JN13+Foglio1!$JO13)/3</f>
        <v>1</v>
      </c>
      <c r="JQ13" s="4">
        <v>1</v>
      </c>
      <c r="JR13" s="4">
        <v>0</v>
      </c>
      <c r="JS13" s="4">
        <f>(Foglio1!$JQ13+Foglio1!$JR13)/2</f>
        <v>0.5</v>
      </c>
      <c r="JT13" s="4" t="s">
        <v>712</v>
      </c>
      <c r="JU13" s="4">
        <v>0</v>
      </c>
      <c r="JV13" s="4" t="s">
        <v>713</v>
      </c>
      <c r="JW13" s="4">
        <v>1</v>
      </c>
      <c r="JX13" s="4" t="s">
        <v>714</v>
      </c>
      <c r="JY13" s="4">
        <v>0</v>
      </c>
      <c r="JZ13" s="4">
        <f>(Foglio1!$JU13+Foglio1!$JW13+Foglio1!$JY13)/3</f>
        <v>0.33333333333333331</v>
      </c>
      <c r="KA13" s="4">
        <f>(Foglio1!$JC13)</f>
        <v>0.5</v>
      </c>
      <c r="KB13" s="4">
        <f>(Foglio1!$JL13+Foglio1!$JP13+Foglio1!$JS13+Foglio1!$JZ13)/4</f>
        <v>0.625</v>
      </c>
      <c r="KC13" s="4">
        <f>(Foglio1!$JC13+Foglio1!$JL13+Foglio1!$JP13+Foglio1!$JS13+Foglio1!$JZ13)/5</f>
        <v>0.6</v>
      </c>
      <c r="KD13" s="4" t="s">
        <v>715</v>
      </c>
      <c r="KE13" s="4">
        <v>0</v>
      </c>
      <c r="KF13" s="4">
        <v>2</v>
      </c>
      <c r="KG13" s="4" t="s">
        <v>716</v>
      </c>
      <c r="KH13" s="4">
        <v>0</v>
      </c>
      <c r="KI13" s="4">
        <v>0</v>
      </c>
      <c r="KJ13" s="4" t="s">
        <v>717</v>
      </c>
      <c r="KK13" s="4">
        <v>1</v>
      </c>
      <c r="KL13" s="4">
        <v>2</v>
      </c>
      <c r="KM13" s="4" t="s">
        <v>718</v>
      </c>
      <c r="KN13" s="4">
        <v>2</v>
      </c>
      <c r="KO13" s="4">
        <v>1</v>
      </c>
      <c r="KP13" s="4" t="s">
        <v>719</v>
      </c>
      <c r="KQ13" s="4">
        <v>0</v>
      </c>
      <c r="KR13" s="4">
        <v>2</v>
      </c>
      <c r="KS13" s="4" t="s">
        <v>720</v>
      </c>
      <c r="KT13" s="4">
        <v>2</v>
      </c>
      <c r="KU13" s="4">
        <v>1</v>
      </c>
      <c r="KV13" s="4" t="s">
        <v>721</v>
      </c>
      <c r="KW13" s="4">
        <v>0</v>
      </c>
      <c r="KX13" s="4">
        <v>2</v>
      </c>
      <c r="KY13" s="4" t="s">
        <v>722</v>
      </c>
      <c r="KZ13" s="4">
        <v>0</v>
      </c>
      <c r="LA13" s="4">
        <v>0</v>
      </c>
      <c r="LB13" s="4" t="s">
        <v>723</v>
      </c>
      <c r="LC13" s="4">
        <v>1</v>
      </c>
      <c r="LD13" s="4">
        <v>1</v>
      </c>
      <c r="LE13" s="4" t="s">
        <v>724</v>
      </c>
      <c r="LF13" s="4">
        <v>0</v>
      </c>
      <c r="LG13" s="4">
        <v>0</v>
      </c>
      <c r="LH13" s="4" t="s">
        <v>725</v>
      </c>
      <c r="LI13" s="4">
        <v>0</v>
      </c>
      <c r="LJ13" s="4">
        <v>1</v>
      </c>
      <c r="LK13" s="4" t="s">
        <v>726</v>
      </c>
      <c r="LL13" s="4">
        <v>1</v>
      </c>
      <c r="LM13" s="4">
        <v>2</v>
      </c>
      <c r="LN13" s="4" t="s">
        <v>727</v>
      </c>
      <c r="LO13" s="4">
        <v>2</v>
      </c>
      <c r="LP13" s="4">
        <v>1</v>
      </c>
      <c r="LQ13" s="4" t="s">
        <v>728</v>
      </c>
      <c r="LR13" s="4">
        <v>0</v>
      </c>
      <c r="LS13" s="4">
        <v>2</v>
      </c>
      <c r="LT13" s="4">
        <f>(Foglio1!$KE13+Foglio1!$KH13+Foglio1!$KK13+Foglio1!$KN13+Foglio1!$KQ13+Foglio1!$KT13+Foglio1!$KW13+Foglio1!$KZ13+Foglio1!$LC13+Foglio1!$LF13+Foglio1!$LI13+Foglio1!$LL13+Foglio1!$LO13+Foglio1!$LR13)</f>
        <v>9</v>
      </c>
      <c r="LU13" s="4">
        <f>(Foglio1!$KI13+Foglio1!$KF13+Foglio1!$KL13+Foglio1!$KO13+Foglio1!$KR13+Foglio1!$KU13+Foglio1!$KX13+Foglio1!$LA13+Foglio1!$LD13+Foglio1!$LG13+Foglio1!$LJ13+Foglio1!$LM13+Foglio1!$LP13+Foglio1!$LS13)</f>
        <v>17</v>
      </c>
      <c r="LV13" s="4">
        <v>20</v>
      </c>
      <c r="LW13" s="4">
        <v>38</v>
      </c>
      <c r="LX13" s="4">
        <v>15</v>
      </c>
      <c r="LY13" s="4">
        <v>27</v>
      </c>
      <c r="LZ13" s="3">
        <v>0</v>
      </c>
      <c r="MA13" s="3">
        <v>5</v>
      </c>
      <c r="MB13" s="3">
        <v>3</v>
      </c>
      <c r="MC13" s="3">
        <v>3</v>
      </c>
      <c r="MD13" s="3">
        <f t="shared" si="7"/>
        <v>11</v>
      </c>
      <c r="ME13" s="3">
        <v>0</v>
      </c>
      <c r="MF13" s="3">
        <v>0</v>
      </c>
      <c r="MG13" s="3">
        <v>0</v>
      </c>
      <c r="MH13" s="3">
        <v>0</v>
      </c>
      <c r="MI13" s="3">
        <f t="shared" si="8"/>
        <v>0</v>
      </c>
    </row>
    <row r="14" spans="1:347" ht="15.75" customHeight="1" x14ac:dyDescent="0.25">
      <c r="A14" s="4" t="s">
        <v>729</v>
      </c>
      <c r="B14" s="4">
        <v>38</v>
      </c>
      <c r="C14" s="4" t="s">
        <v>349</v>
      </c>
      <c r="D14" s="4">
        <v>13</v>
      </c>
      <c r="E14" s="4">
        <v>1</v>
      </c>
      <c r="F14" s="4" t="s">
        <v>350</v>
      </c>
      <c r="G14" s="4" t="s">
        <v>404</v>
      </c>
      <c r="H14" s="4" t="s">
        <v>352</v>
      </c>
      <c r="I14" s="4" t="s">
        <v>405</v>
      </c>
      <c r="J14" s="4" t="s">
        <v>730</v>
      </c>
      <c r="K14" s="4"/>
      <c r="L14" s="4" t="s">
        <v>731</v>
      </c>
      <c r="M14" s="4" t="s">
        <v>357</v>
      </c>
      <c r="N14" s="4" t="s">
        <v>732</v>
      </c>
      <c r="O14" s="9">
        <v>45532</v>
      </c>
      <c r="P14" s="9">
        <v>45541</v>
      </c>
      <c r="Q14" s="4" t="s">
        <v>733</v>
      </c>
      <c r="R14" s="4" t="s">
        <v>734</v>
      </c>
      <c r="S14" s="4"/>
      <c r="T14" s="4"/>
      <c r="U14" s="4"/>
      <c r="V14" s="4"/>
      <c r="W14" s="4"/>
      <c r="X14" s="4"/>
      <c r="Y14" s="4"/>
      <c r="Z14" s="4"/>
      <c r="AA14" s="4"/>
      <c r="AB14" s="4"/>
      <c r="AC14" s="4"/>
      <c r="AD14" s="4"/>
      <c r="AE14" s="4"/>
      <c r="AF14" s="4"/>
      <c r="AG14" s="4"/>
      <c r="AH14" s="4" t="s">
        <v>735</v>
      </c>
      <c r="AI14" s="4" t="s">
        <v>736</v>
      </c>
      <c r="AJ14" s="4" t="s">
        <v>411</v>
      </c>
      <c r="AK14" s="4" t="s">
        <v>737</v>
      </c>
      <c r="AL14" s="5" t="s">
        <v>356</v>
      </c>
      <c r="AM14" s="5" t="s">
        <v>356</v>
      </c>
      <c r="AN14" s="5" t="s">
        <v>356</v>
      </c>
      <c r="AO14" s="5" t="s">
        <v>356</v>
      </c>
      <c r="AP14" s="5" t="s">
        <v>356</v>
      </c>
      <c r="AQ14" s="5" t="s">
        <v>356</v>
      </c>
      <c r="AR14" s="5" t="s">
        <v>356</v>
      </c>
      <c r="AS14" s="5" t="s">
        <v>356</v>
      </c>
      <c r="AT14" s="5" t="s">
        <v>356</v>
      </c>
      <c r="AU14" s="5" t="s">
        <v>356</v>
      </c>
      <c r="AV14" s="5" t="s">
        <v>356</v>
      </c>
      <c r="AW14" s="5" t="s">
        <v>356</v>
      </c>
      <c r="AX14" s="4">
        <v>2</v>
      </c>
      <c r="AY14" s="4"/>
      <c r="AZ14" s="4" t="s">
        <v>360</v>
      </c>
      <c r="BA14" s="4">
        <f t="shared" si="9"/>
        <v>9</v>
      </c>
      <c r="BB14" s="4"/>
      <c r="BC14" s="4"/>
      <c r="BD14" s="4" t="s">
        <v>738</v>
      </c>
      <c r="BE14" s="4"/>
      <c r="BF14" s="4"/>
      <c r="BG14" s="6">
        <v>45538</v>
      </c>
      <c r="BH14" s="4">
        <v>2</v>
      </c>
      <c r="BI14" s="4">
        <v>1</v>
      </c>
      <c r="BJ14" s="4">
        <v>3</v>
      </c>
      <c r="BK14" s="4">
        <v>4</v>
      </c>
      <c r="BL14" s="4">
        <v>3</v>
      </c>
      <c r="BM14" s="4">
        <v>3</v>
      </c>
      <c r="BN14" s="4">
        <v>3</v>
      </c>
      <c r="BO14" s="4">
        <f>SUM(Foglio1!$BH14:$BM14)</f>
        <v>16</v>
      </c>
      <c r="BP14" s="4">
        <v>4</v>
      </c>
      <c r="BQ14" s="4">
        <v>4</v>
      </c>
      <c r="BR14" s="4">
        <v>10</v>
      </c>
      <c r="BS14" s="4">
        <v>40</v>
      </c>
      <c r="BT14" s="4">
        <v>4</v>
      </c>
      <c r="BU14" s="4">
        <v>2</v>
      </c>
      <c r="BV14" s="4">
        <v>1</v>
      </c>
      <c r="BW14" s="4">
        <v>2</v>
      </c>
      <c r="BX14" s="4">
        <v>4</v>
      </c>
      <c r="BY14" s="4">
        <v>4</v>
      </c>
      <c r="BZ14" s="4">
        <v>4</v>
      </c>
      <c r="CA14" s="4">
        <v>2</v>
      </c>
      <c r="CB14" s="4">
        <v>2</v>
      </c>
      <c r="CC14" s="4">
        <v>1</v>
      </c>
      <c r="CD14" s="4">
        <v>1</v>
      </c>
      <c r="CE14" s="4">
        <v>1</v>
      </c>
      <c r="CF14" s="4">
        <v>1</v>
      </c>
      <c r="CG14" s="4">
        <v>1</v>
      </c>
      <c r="CH14" s="4">
        <v>1</v>
      </c>
      <c r="CI14" s="4">
        <v>1</v>
      </c>
      <c r="CJ14" s="4">
        <v>2</v>
      </c>
      <c r="CK14" s="4">
        <v>3</v>
      </c>
      <c r="CL14" s="4">
        <v>1</v>
      </c>
      <c r="CM14" s="4">
        <v>2</v>
      </c>
      <c r="CN14" s="4">
        <v>1</v>
      </c>
      <c r="CO14" s="4">
        <v>2</v>
      </c>
      <c r="CP14" s="4">
        <v>3</v>
      </c>
      <c r="CQ14" s="4">
        <v>1</v>
      </c>
      <c r="CR14" s="4">
        <v>1</v>
      </c>
      <c r="CS14" s="4">
        <v>2</v>
      </c>
      <c r="CT14" s="4">
        <v>2</v>
      </c>
      <c r="CU14" s="4">
        <v>3</v>
      </c>
      <c r="CV14" s="4">
        <v>4</v>
      </c>
      <c r="CW14" s="4">
        <v>2</v>
      </c>
      <c r="CX14" s="4">
        <f>SUM(Foglio1!$BT14:$CW14)</f>
        <v>61</v>
      </c>
      <c r="CY14" s="4">
        <f>SUM(Foglio1!$BT14+Foglio1!$BV14+Foglio1!$CP14+Foglio1!$BY14+Foglio1!$BX14+Foglio1!$CH14+Foglio1!$CS14+Foglio1!$CW14-Foglio1!$CE14)</f>
        <v>20</v>
      </c>
      <c r="CZ14" s="4">
        <f>SUM(Foglio1!$CF14+Foglio1!$CA14+Foglio1!$CB14+Foglio1!$CD14+Foglio1!$CN14+Foglio1!$CC14+Foglio1!$CW14+Foglio1!$CO14+Foglio1!$CT14-Foglio1!$BU14)</f>
        <v>12</v>
      </c>
      <c r="DA14" s="4">
        <f>SUM(Foglio1!$CG14+Foglio1!$CR14+Foglio1!$CQ14+Foglio1!$BU14+Foglio1!$CE14+Foglio1!$CL14+Foglio1!$CS14+Foglio1!$CT14+Foglio1!$CV14+Foglio1!$CP14)</f>
        <v>18</v>
      </c>
      <c r="DB14" s="4">
        <f>SUM(Foglio1!$CU14+Foglio1!$BW14+Foglio1!$BZ14+Foglio1!$CO14+Foglio1!$BX14+Foglio1!$CC14+Foglio1!$CK14+Foglio1!$CW14)</f>
        <v>21</v>
      </c>
      <c r="DC14" s="4">
        <f>SUM(Foglio1!$CI14+Foglio1!$CM14+Foglio1!$CJ14+Foglio1!$CK14+Foglio1!$BY14+Foglio1!$CH14+Foglio1!$CV14+Foglio1!$CW14)</f>
        <v>19</v>
      </c>
      <c r="DD14" s="4">
        <v>2</v>
      </c>
      <c r="DE14" s="4">
        <v>0</v>
      </c>
      <c r="DF14" s="4">
        <v>1</v>
      </c>
      <c r="DG14" s="4">
        <v>0</v>
      </c>
      <c r="DH14" s="4">
        <v>0</v>
      </c>
      <c r="DI14" s="4">
        <v>0</v>
      </c>
      <c r="DJ14" s="4">
        <v>0</v>
      </c>
      <c r="DK14" s="4">
        <v>0</v>
      </c>
      <c r="DL14" s="4">
        <v>0</v>
      </c>
      <c r="DM14" s="4">
        <v>1</v>
      </c>
      <c r="DN14" s="4">
        <v>0</v>
      </c>
      <c r="DO14" s="4">
        <v>0</v>
      </c>
      <c r="DP14" s="4">
        <v>0</v>
      </c>
      <c r="DQ14" s="4">
        <v>0</v>
      </c>
      <c r="DR14" s="4">
        <v>0</v>
      </c>
      <c r="DS14" s="4">
        <v>0</v>
      </c>
      <c r="DT14" s="4">
        <v>2</v>
      </c>
      <c r="DU14" s="4">
        <v>1</v>
      </c>
      <c r="DV14" s="4">
        <v>0</v>
      </c>
      <c r="DW14" s="4">
        <v>0</v>
      </c>
      <c r="DX14" s="4">
        <v>0</v>
      </c>
      <c r="DY14" s="4">
        <v>0</v>
      </c>
      <c r="DZ14" s="4">
        <v>0</v>
      </c>
      <c r="EA14" s="4">
        <v>1</v>
      </c>
      <c r="EB14" s="4">
        <v>1</v>
      </c>
      <c r="EC14" s="4">
        <v>0</v>
      </c>
      <c r="ED14" s="4">
        <v>0</v>
      </c>
      <c r="EE14" s="4">
        <v>0</v>
      </c>
      <c r="EF14" s="4">
        <v>0</v>
      </c>
      <c r="EG14" s="4">
        <v>1</v>
      </c>
      <c r="EH14" s="4">
        <f>(Foglio1!$DE14+Foglio1!$DH14+Foglio1!$DG14+Foglio1!$DF14+Foglio1!$DM14+Foglio1!$DD14+Foglio1!$DO14+Foglio1!$DL14+Foglio1!$DN14+Foglio1!$DQ14+Foglio1!$DP14+Foglio1!$DT14+Foglio1!$DI14+Foglio1!$DK14+Foglio1!$DU14)</f>
        <v>7</v>
      </c>
      <c r="EI14" s="4">
        <f>(Foglio1!$EA14+Foglio1!$EB14+Foglio1!$EE14+Foglio1!$EC14+Foglio1!$ED14+Foglio1!$DZ14+Foglio1!$DY14)</f>
        <v>2</v>
      </c>
      <c r="EJ14" s="4">
        <f>(Foglio1!$DW14+Foglio1!$DV14+Foglio1!$DX14)</f>
        <v>0</v>
      </c>
      <c r="EK14" s="4">
        <f>(Foglio1!$EG14+Foglio1!$EF14)</f>
        <v>1</v>
      </c>
      <c r="EL14" s="4">
        <v>1</v>
      </c>
      <c r="EM14" s="4">
        <v>0</v>
      </c>
      <c r="EN14" s="4">
        <v>1</v>
      </c>
      <c r="EO14" s="4">
        <v>1</v>
      </c>
      <c r="EP14" s="4">
        <f t="array" ref="EP14">SUM(EL14:EO14/4)</f>
        <v>0.75</v>
      </c>
      <c r="EQ14" s="4">
        <v>1</v>
      </c>
      <c r="ER14" s="4">
        <v>1</v>
      </c>
      <c r="ES14" s="4">
        <v>1</v>
      </c>
      <c r="ET14" s="4">
        <v>1</v>
      </c>
      <c r="EU14" s="4" t="s">
        <v>739</v>
      </c>
      <c r="EV14" s="4">
        <v>1</v>
      </c>
      <c r="EW14" s="4" t="s">
        <v>740</v>
      </c>
      <c r="EX14" s="4">
        <v>1</v>
      </c>
      <c r="EY14" s="4">
        <f>(Foglio1!$EQ14+Foglio1!$ER14+Foglio1!$ES14+Foglio1!$ET14+Foglio1!$EV14+Foglio1!$EX14)/6</f>
        <v>1</v>
      </c>
      <c r="EZ14" s="4">
        <v>1</v>
      </c>
      <c r="FA14" s="4">
        <v>1</v>
      </c>
      <c r="FB14" s="4">
        <v>1</v>
      </c>
      <c r="FC14" s="4">
        <f>(Foglio1!$EZ14+Foglio1!$FA14+Foglio1!$FB14)/3</f>
        <v>1</v>
      </c>
      <c r="FD14" s="4">
        <v>1</v>
      </c>
      <c r="FE14" s="4">
        <v>1</v>
      </c>
      <c r="FF14" s="4">
        <f>(Foglio1!$FD14+Foglio1!$FE14)/2</f>
        <v>1</v>
      </c>
      <c r="FG14" s="4" t="s">
        <v>741</v>
      </c>
      <c r="FH14" s="4">
        <v>1</v>
      </c>
      <c r="FI14" s="4" t="s">
        <v>742</v>
      </c>
      <c r="FJ14" s="4">
        <v>0</v>
      </c>
      <c r="FK14" s="4" t="s">
        <v>743</v>
      </c>
      <c r="FL14" s="4">
        <v>1</v>
      </c>
      <c r="FM14" s="4">
        <f>(Foglio1!$FH14+Foglio1!$FJ14+Foglio1!$FL14)/3</f>
        <v>0.66666666666666663</v>
      </c>
      <c r="FN14" s="4">
        <f>(Foglio1!$EP14)</f>
        <v>0.75</v>
      </c>
      <c r="FO14" s="4">
        <f>(Foglio1!$EY14+Foglio1!$FC14+Foglio1!$FF14+Foglio1!$FM14)/4</f>
        <v>0.91666666666666663</v>
      </c>
      <c r="FP14" s="4">
        <f>(Foglio1!$EP14+Foglio1!$EY14+Foglio1!$FC14+Foglio1!$FF14+Foglio1!$FM14)/5</f>
        <v>0.88333333333333341</v>
      </c>
      <c r="FQ14" s="6">
        <v>45541</v>
      </c>
      <c r="FR14" s="4">
        <v>2</v>
      </c>
      <c r="FS14" s="4">
        <v>1</v>
      </c>
      <c r="FT14" s="4">
        <v>2</v>
      </c>
      <c r="FU14" s="4">
        <v>2</v>
      </c>
      <c r="FV14" s="4">
        <v>2</v>
      </c>
      <c r="FW14" s="4">
        <v>3</v>
      </c>
      <c r="FX14" s="4">
        <v>2</v>
      </c>
      <c r="FY14" s="4">
        <v>4</v>
      </c>
      <c r="FZ14" s="4">
        <v>3</v>
      </c>
      <c r="GA14" s="4">
        <v>10</v>
      </c>
      <c r="GB14" s="4">
        <v>52</v>
      </c>
      <c r="GC14" s="4">
        <v>2</v>
      </c>
      <c r="GD14" s="4">
        <v>1</v>
      </c>
      <c r="GE14" s="4">
        <v>0</v>
      </c>
      <c r="GF14" s="4">
        <v>0</v>
      </c>
      <c r="GG14" s="4">
        <v>2</v>
      </c>
      <c r="GH14" s="4">
        <v>2</v>
      </c>
      <c r="GI14" s="4">
        <v>2</v>
      </c>
      <c r="GJ14" s="4">
        <v>1</v>
      </c>
      <c r="GK14" s="4">
        <v>1</v>
      </c>
      <c r="GL14" s="4">
        <v>2</v>
      </c>
      <c r="GM14" s="4">
        <v>1</v>
      </c>
      <c r="GN14" s="4">
        <v>0</v>
      </c>
      <c r="GO14" s="4">
        <v>0</v>
      </c>
      <c r="GP14" s="4">
        <v>0</v>
      </c>
      <c r="GQ14" s="4">
        <v>0</v>
      </c>
      <c r="GR14" s="4">
        <v>1</v>
      </c>
      <c r="GS14" s="4">
        <v>3</v>
      </c>
      <c r="GT14" s="4">
        <v>3</v>
      </c>
      <c r="GU14" s="4">
        <v>0</v>
      </c>
      <c r="GV14" s="4">
        <v>2</v>
      </c>
      <c r="GW14" s="4">
        <v>0</v>
      </c>
      <c r="GX14" s="4">
        <v>2</v>
      </c>
      <c r="GY14" s="4">
        <v>2</v>
      </c>
      <c r="GZ14" s="4">
        <v>0</v>
      </c>
      <c r="HA14" s="4">
        <v>2</v>
      </c>
      <c r="HB14" s="4">
        <v>2</v>
      </c>
      <c r="HC14" s="4">
        <v>2</v>
      </c>
      <c r="HD14" s="4">
        <v>2</v>
      </c>
      <c r="HE14" s="4">
        <v>2</v>
      </c>
      <c r="HF14" s="4">
        <v>1</v>
      </c>
      <c r="HG14" s="4">
        <f t="shared" si="10"/>
        <v>38</v>
      </c>
      <c r="HH14" s="4">
        <f t="shared" si="11"/>
        <v>11</v>
      </c>
      <c r="HI14" s="4">
        <f t="shared" si="12"/>
        <v>9</v>
      </c>
      <c r="HJ14" s="4">
        <f t="shared" si="13"/>
        <v>11</v>
      </c>
      <c r="HK14" s="4">
        <f t="shared" si="14"/>
        <v>14</v>
      </c>
      <c r="HL14" s="4">
        <f t="shared" si="15"/>
        <v>14</v>
      </c>
      <c r="HM14" s="4">
        <v>0</v>
      </c>
      <c r="HN14" s="4">
        <v>0</v>
      </c>
      <c r="HO14" s="4">
        <v>0</v>
      </c>
      <c r="HP14" s="4">
        <v>0</v>
      </c>
      <c r="HQ14" s="4">
        <v>0</v>
      </c>
      <c r="HR14" s="4">
        <v>1</v>
      </c>
      <c r="HS14" s="4">
        <v>0</v>
      </c>
      <c r="HT14" s="4">
        <v>0</v>
      </c>
      <c r="HU14" s="4">
        <v>0</v>
      </c>
      <c r="HV14" s="4">
        <v>0</v>
      </c>
      <c r="HW14" s="4">
        <v>0</v>
      </c>
      <c r="HX14" s="4">
        <v>0</v>
      </c>
      <c r="HY14" s="4">
        <v>0</v>
      </c>
      <c r="HZ14" s="4">
        <v>0</v>
      </c>
      <c r="IA14" s="4">
        <v>0</v>
      </c>
      <c r="IB14" s="4">
        <v>0</v>
      </c>
      <c r="IC14" s="4">
        <v>1</v>
      </c>
      <c r="ID14" s="4">
        <v>0</v>
      </c>
      <c r="IE14" s="4">
        <v>0</v>
      </c>
      <c r="IF14" s="4">
        <v>0</v>
      </c>
      <c r="IG14" s="4">
        <v>0</v>
      </c>
      <c r="IH14" s="4">
        <v>0</v>
      </c>
      <c r="II14" s="4">
        <v>0</v>
      </c>
      <c r="IJ14" s="4">
        <v>0</v>
      </c>
      <c r="IK14" s="4">
        <v>1</v>
      </c>
      <c r="IL14" s="4">
        <v>0</v>
      </c>
      <c r="IM14" s="4">
        <v>0</v>
      </c>
      <c r="IN14" s="4">
        <v>0</v>
      </c>
      <c r="IO14" s="4">
        <v>0</v>
      </c>
      <c r="IP14" s="4">
        <v>1</v>
      </c>
      <c r="IQ14" s="4">
        <f t="shared" si="20"/>
        <v>2</v>
      </c>
      <c r="IR14" s="4">
        <f t="shared" si="21"/>
        <v>1</v>
      </c>
      <c r="IS14" s="4">
        <f t="shared" si="22"/>
        <v>0</v>
      </c>
      <c r="IT14" s="4">
        <f t="shared" si="23"/>
        <v>1</v>
      </c>
      <c r="IU14" s="4" t="s">
        <v>383</v>
      </c>
      <c r="IV14" s="4" t="s">
        <v>383</v>
      </c>
      <c r="IW14" s="4" t="s">
        <v>383</v>
      </c>
      <c r="IX14" s="4" t="s">
        <v>383</v>
      </c>
      <c r="IY14" s="4">
        <v>1</v>
      </c>
      <c r="IZ14" s="4">
        <v>0</v>
      </c>
      <c r="JA14" s="4">
        <v>1</v>
      </c>
      <c r="JB14" s="4">
        <v>1</v>
      </c>
      <c r="JC14" s="4">
        <f>(Foglio1!$IY14+Foglio1!$IZ14+Foglio1!$JA14+Foglio1!$JB14)/4</f>
        <v>0.75</v>
      </c>
      <c r="JD14" s="4">
        <v>1</v>
      </c>
      <c r="JE14" s="4">
        <v>1</v>
      </c>
      <c r="JF14" s="4">
        <v>1</v>
      </c>
      <c r="JG14" s="4">
        <v>1</v>
      </c>
      <c r="JH14" s="4" t="s">
        <v>744</v>
      </c>
      <c r="JI14" s="4">
        <v>0</v>
      </c>
      <c r="JJ14" s="4" t="s">
        <v>745</v>
      </c>
      <c r="JK14" s="4">
        <v>0</v>
      </c>
      <c r="JL14" s="4">
        <f>(Foglio1!$JD14+Foglio1!$JE14+Foglio1!$JF14+Foglio1!$JG14+Foglio1!$JI14+Foglio1!$JK14)/6</f>
        <v>0.66666666666666663</v>
      </c>
      <c r="JM14" s="4">
        <v>1</v>
      </c>
      <c r="JN14" s="4">
        <v>1</v>
      </c>
      <c r="JO14" s="4">
        <v>1</v>
      </c>
      <c r="JP14" s="4">
        <f>(Foglio1!$JM14+Foglio1!$JN14+Foglio1!$JO14)/3</f>
        <v>1</v>
      </c>
      <c r="JQ14" s="4">
        <v>1</v>
      </c>
      <c r="JR14" s="4">
        <v>1</v>
      </c>
      <c r="JS14" s="4">
        <f>(Foglio1!$JQ14+Foglio1!$JR14)/2</f>
        <v>1</v>
      </c>
      <c r="JT14" s="4" t="s">
        <v>746</v>
      </c>
      <c r="JU14" s="4">
        <v>1</v>
      </c>
      <c r="JV14" s="4" t="s">
        <v>747</v>
      </c>
      <c r="JW14" s="4">
        <v>1</v>
      </c>
      <c r="JX14" s="4" t="s">
        <v>748</v>
      </c>
      <c r="JY14" s="4">
        <v>1</v>
      </c>
      <c r="JZ14" s="4">
        <f>(Foglio1!$JU14+Foglio1!$JW14+Foglio1!$JY14)/3</f>
        <v>1</v>
      </c>
      <c r="KA14" s="4">
        <f>(Foglio1!$JC14)</f>
        <v>0.75</v>
      </c>
      <c r="KB14" s="4">
        <f>(Foglio1!$JL14+Foglio1!$JP14+Foglio1!$JS14+Foglio1!$JZ14)/4</f>
        <v>0.91666666666666663</v>
      </c>
      <c r="KC14" s="4">
        <f>(Foglio1!$JC14+Foglio1!$JL14+Foglio1!$JP14+Foglio1!$JS14+Foglio1!$JZ14)/5</f>
        <v>0.88333333333333319</v>
      </c>
      <c r="KD14" s="4" t="s">
        <v>749</v>
      </c>
      <c r="KE14" s="4">
        <v>2</v>
      </c>
      <c r="KF14" s="4">
        <v>3</v>
      </c>
      <c r="KG14" s="4" t="s">
        <v>507</v>
      </c>
      <c r="KH14" s="4">
        <v>2</v>
      </c>
      <c r="KI14" s="4">
        <v>1</v>
      </c>
      <c r="KJ14" s="4" t="s">
        <v>750</v>
      </c>
      <c r="KK14" s="4">
        <v>2</v>
      </c>
      <c r="KL14" s="4">
        <v>3</v>
      </c>
      <c r="KM14" s="4" t="s">
        <v>751</v>
      </c>
      <c r="KN14" s="4">
        <v>2</v>
      </c>
      <c r="KO14" s="4">
        <v>1</v>
      </c>
      <c r="KP14" s="4" t="s">
        <v>752</v>
      </c>
      <c r="KQ14" s="4">
        <v>1</v>
      </c>
      <c r="KR14" s="4">
        <v>2</v>
      </c>
      <c r="KS14" s="4" t="s">
        <v>393</v>
      </c>
      <c r="KT14" s="4">
        <v>2</v>
      </c>
      <c r="KU14" s="4">
        <v>1</v>
      </c>
      <c r="KV14" s="4" t="s">
        <v>753</v>
      </c>
      <c r="KW14" s="4">
        <v>2</v>
      </c>
      <c r="KX14" s="4">
        <v>1</v>
      </c>
      <c r="KY14" s="4" t="s">
        <v>754</v>
      </c>
      <c r="KZ14" s="4">
        <v>2</v>
      </c>
      <c r="LA14" s="4">
        <v>2</v>
      </c>
      <c r="LB14" s="4" t="s">
        <v>755</v>
      </c>
      <c r="LC14" s="4">
        <v>1</v>
      </c>
      <c r="LD14" s="4">
        <v>2</v>
      </c>
      <c r="LE14" s="4" t="s">
        <v>756</v>
      </c>
      <c r="LF14" s="4">
        <v>2</v>
      </c>
      <c r="LG14" s="4">
        <v>2</v>
      </c>
      <c r="LH14" s="4" t="s">
        <v>757</v>
      </c>
      <c r="LI14" s="4">
        <v>2</v>
      </c>
      <c r="LJ14" s="4">
        <v>1</v>
      </c>
      <c r="LK14" s="4" t="s">
        <v>758</v>
      </c>
      <c r="LL14" s="4">
        <v>0</v>
      </c>
      <c r="LM14" s="4">
        <v>2</v>
      </c>
      <c r="LN14" s="4" t="s">
        <v>759</v>
      </c>
      <c r="LO14" s="4">
        <v>1</v>
      </c>
      <c r="LP14" s="4">
        <v>1</v>
      </c>
      <c r="LQ14" s="4" t="s">
        <v>760</v>
      </c>
      <c r="LR14" s="4">
        <v>2</v>
      </c>
      <c r="LS14" s="4">
        <v>2</v>
      </c>
      <c r="LT14" s="4">
        <f>(Foglio1!$KE14+Foglio1!$KH14+Foglio1!$KK14+Foglio1!$KN14+Foglio1!$KQ14+Foglio1!$KT14+Foglio1!$KW14+Foglio1!$KZ14+Foglio1!$LC14+Foglio1!$LF14+Foglio1!$LI14+Foglio1!$LL14+Foglio1!$LO14+Foglio1!$LR14)</f>
        <v>23</v>
      </c>
      <c r="LU14" s="4">
        <f>(Foglio1!$KI14+Foglio1!$KF14+Foglio1!$KL14+Foglio1!$KO14+Foglio1!$KR14+Foglio1!$KU14+Foglio1!$KX14+Foglio1!$LA14+Foglio1!$LD14+Foglio1!$LG14+Foglio1!$LJ14+Foglio1!$LM14+Foglio1!$LP14+Foglio1!$LS14)</f>
        <v>24</v>
      </c>
      <c r="LV14" s="4">
        <v>25</v>
      </c>
      <c r="LW14" s="4">
        <v>46</v>
      </c>
      <c r="LX14" s="4">
        <v>21</v>
      </c>
      <c r="LY14" s="4">
        <v>29</v>
      </c>
      <c r="LZ14" s="3">
        <v>0</v>
      </c>
      <c r="MA14" s="3">
        <v>1</v>
      </c>
      <c r="MB14" s="3">
        <v>0</v>
      </c>
      <c r="MC14" s="3">
        <v>3</v>
      </c>
      <c r="MD14" s="3">
        <f t="shared" si="7"/>
        <v>4</v>
      </c>
      <c r="ME14" s="3">
        <v>0</v>
      </c>
      <c r="MF14" s="3">
        <v>0</v>
      </c>
      <c r="MG14" s="3">
        <v>0</v>
      </c>
      <c r="MH14" s="3">
        <v>0</v>
      </c>
      <c r="MI14" s="3">
        <f t="shared" si="8"/>
        <v>0</v>
      </c>
    </row>
    <row r="15" spans="1:347" ht="15.75" customHeight="1" x14ac:dyDescent="0.25">
      <c r="A15" s="4" t="s">
        <v>761</v>
      </c>
      <c r="B15" s="4">
        <v>54</v>
      </c>
      <c r="C15" s="4" t="s">
        <v>403</v>
      </c>
      <c r="D15" s="4">
        <v>8</v>
      </c>
      <c r="E15" s="4">
        <v>1</v>
      </c>
      <c r="F15" s="4" t="s">
        <v>350</v>
      </c>
      <c r="G15" s="4" t="s">
        <v>762</v>
      </c>
      <c r="H15" s="4" t="s">
        <v>763</v>
      </c>
      <c r="I15" s="4" t="s">
        <v>764</v>
      </c>
      <c r="J15" s="4"/>
      <c r="K15" s="4"/>
      <c r="L15" s="5" t="s">
        <v>356</v>
      </c>
      <c r="M15" s="4" t="s">
        <v>449</v>
      </c>
      <c r="N15" s="4" t="s">
        <v>406</v>
      </c>
      <c r="O15" s="9">
        <v>45537</v>
      </c>
      <c r="P15" s="9">
        <v>45559</v>
      </c>
      <c r="Q15" s="4" t="s">
        <v>765</v>
      </c>
      <c r="R15" s="4"/>
      <c r="S15" s="4"/>
      <c r="T15" s="4"/>
      <c r="U15" s="4"/>
      <c r="V15" s="4"/>
      <c r="W15" s="4"/>
      <c r="X15" s="4"/>
      <c r="Y15" s="4"/>
      <c r="Z15" s="4"/>
      <c r="AA15" s="4"/>
      <c r="AB15" s="4"/>
      <c r="AC15" s="4"/>
      <c r="AD15" s="4"/>
      <c r="AE15" s="4"/>
      <c r="AF15" s="4"/>
      <c r="AG15" s="4"/>
      <c r="AH15" s="4" t="s">
        <v>766</v>
      </c>
      <c r="AI15" s="4" t="s">
        <v>767</v>
      </c>
      <c r="AJ15" s="4" t="s">
        <v>768</v>
      </c>
      <c r="AK15" s="4" t="s">
        <v>769</v>
      </c>
      <c r="AL15" s="4" t="s">
        <v>453</v>
      </c>
      <c r="AM15" s="4" t="s">
        <v>704</v>
      </c>
      <c r="AN15" s="4" t="s">
        <v>770</v>
      </c>
      <c r="AO15" s="4" t="s">
        <v>771</v>
      </c>
      <c r="AP15" s="5" t="s">
        <v>356</v>
      </c>
      <c r="AQ15" s="5" t="s">
        <v>356</v>
      </c>
      <c r="AR15" s="5" t="s">
        <v>356</v>
      </c>
      <c r="AS15" s="5" t="s">
        <v>356</v>
      </c>
      <c r="AT15" s="5" t="s">
        <v>356</v>
      </c>
      <c r="AU15" s="5" t="s">
        <v>356</v>
      </c>
      <c r="AV15" s="5" t="s">
        <v>356</v>
      </c>
      <c r="AW15" s="5" t="s">
        <v>356</v>
      </c>
      <c r="AX15" s="4">
        <v>4</v>
      </c>
      <c r="AY15" s="4"/>
      <c r="AZ15" s="4" t="s">
        <v>360</v>
      </c>
      <c r="BA15" s="4">
        <f t="shared" si="9"/>
        <v>22</v>
      </c>
      <c r="BB15" s="4"/>
      <c r="BC15" s="4"/>
      <c r="BD15" s="4"/>
      <c r="BE15" s="4"/>
      <c r="BF15" s="4"/>
      <c r="BG15" s="6">
        <v>45539</v>
      </c>
      <c r="BH15" s="4">
        <v>4</v>
      </c>
      <c r="BI15" s="4">
        <v>2</v>
      </c>
      <c r="BJ15" s="4">
        <v>4</v>
      </c>
      <c r="BK15" s="4">
        <v>3</v>
      </c>
      <c r="BL15" s="4">
        <v>4</v>
      </c>
      <c r="BM15" s="4">
        <v>4</v>
      </c>
      <c r="BN15" s="4">
        <v>4</v>
      </c>
      <c r="BO15" s="4">
        <f>SUM(Foglio1!$BH15:$BM15)</f>
        <v>21</v>
      </c>
      <c r="BP15" s="4">
        <v>6</v>
      </c>
      <c r="BQ15" s="4">
        <v>0</v>
      </c>
      <c r="BR15" s="4">
        <v>9</v>
      </c>
      <c r="BS15" s="4">
        <v>19</v>
      </c>
      <c r="BT15" s="4">
        <v>4</v>
      </c>
      <c r="BU15" s="4">
        <v>1</v>
      </c>
      <c r="BV15" s="4">
        <v>1</v>
      </c>
      <c r="BW15" s="4">
        <v>1</v>
      </c>
      <c r="BX15" s="4">
        <v>1</v>
      </c>
      <c r="BY15" s="4">
        <v>3</v>
      </c>
      <c r="BZ15" s="4">
        <v>1</v>
      </c>
      <c r="CA15" s="4">
        <v>5</v>
      </c>
      <c r="CB15" s="4">
        <v>5</v>
      </c>
      <c r="CC15" s="4">
        <v>5</v>
      </c>
      <c r="CD15" s="4">
        <v>5</v>
      </c>
      <c r="CE15" s="4">
        <v>2</v>
      </c>
      <c r="CF15" s="4">
        <v>3</v>
      </c>
      <c r="CG15" s="4">
        <v>3</v>
      </c>
      <c r="CH15" s="4">
        <v>1</v>
      </c>
      <c r="CI15" s="4">
        <v>1</v>
      </c>
      <c r="CJ15" s="4">
        <v>1</v>
      </c>
      <c r="CK15" s="4">
        <v>2</v>
      </c>
      <c r="CL15" s="4">
        <v>1</v>
      </c>
      <c r="CM15" s="4">
        <v>5</v>
      </c>
      <c r="CN15" s="4">
        <v>4</v>
      </c>
      <c r="CO15" s="4">
        <v>4</v>
      </c>
      <c r="CP15" s="4">
        <v>3</v>
      </c>
      <c r="CQ15" s="4">
        <v>1</v>
      </c>
      <c r="CR15" s="4">
        <v>2</v>
      </c>
      <c r="CS15" s="4">
        <v>3</v>
      </c>
      <c r="CT15" s="4">
        <v>2</v>
      </c>
      <c r="CU15" s="4">
        <v>1</v>
      </c>
      <c r="CV15" s="4">
        <v>1</v>
      </c>
      <c r="CW15" s="4">
        <v>5</v>
      </c>
      <c r="CX15" s="4">
        <f>SUM(Foglio1!$BT15:$CW15)</f>
        <v>77</v>
      </c>
      <c r="CY15" s="4">
        <f>SUM(Foglio1!$BT15+Foglio1!$BV15+Foglio1!$CP15+Foglio1!$BY15+Foglio1!$BX15+Foglio1!$CH15+Foglio1!$CS15+Foglio1!$CW15-Foglio1!$CE15)</f>
        <v>19</v>
      </c>
      <c r="CZ15" s="4">
        <f>SUM(Foglio1!$CF15+Foglio1!$CA15+Foglio1!$CB15+Foglio1!$CD15+Foglio1!$CN15+Foglio1!$CC15+Foglio1!$CW15+Foglio1!$CO15+Foglio1!$CT15-Foglio1!$BU15)</f>
        <v>37</v>
      </c>
      <c r="DA15" s="4">
        <f>SUM(Foglio1!$CG15+Foglio1!$CR15+Foglio1!$CQ15+Foglio1!$BU15+Foglio1!$CE15+Foglio1!$CL15+Foglio1!$CS15+Foglio1!$CT15+Foglio1!$CV15+Foglio1!$CP15)</f>
        <v>19</v>
      </c>
      <c r="DB15" s="4">
        <f>SUM(Foglio1!$CU15+Foglio1!$BW15+Foglio1!$BZ15+Foglio1!$CO15+Foglio1!$BX15+Foglio1!$CC15+Foglio1!$CK15+Foglio1!$CW15)</f>
        <v>20</v>
      </c>
      <c r="DC15" s="4">
        <f>SUM(Foglio1!$CI15+Foglio1!$CM15+Foglio1!$CJ15+Foglio1!$CK15+Foglio1!$BY15+Foglio1!$CH15+Foglio1!$CV15+Foglio1!$CW15)</f>
        <v>19</v>
      </c>
      <c r="DD15" s="4">
        <v>0</v>
      </c>
      <c r="DE15" s="4">
        <v>0</v>
      </c>
      <c r="DF15" s="4">
        <v>0</v>
      </c>
      <c r="DG15" s="4">
        <v>0</v>
      </c>
      <c r="DH15" s="4">
        <v>0</v>
      </c>
      <c r="DI15" s="4">
        <v>0</v>
      </c>
      <c r="DJ15" s="4">
        <v>0</v>
      </c>
      <c r="DK15" s="4">
        <v>0</v>
      </c>
      <c r="DL15" s="4">
        <v>0</v>
      </c>
      <c r="DM15" s="4">
        <v>0</v>
      </c>
      <c r="DN15" s="4">
        <v>0</v>
      </c>
      <c r="DO15" s="4">
        <v>0</v>
      </c>
      <c r="DP15" s="4">
        <v>0</v>
      </c>
      <c r="DQ15" s="4">
        <v>0</v>
      </c>
      <c r="DR15" s="4">
        <v>0</v>
      </c>
      <c r="DS15" s="4">
        <v>0</v>
      </c>
      <c r="DT15" s="4">
        <v>2</v>
      </c>
      <c r="DU15" s="4">
        <v>0</v>
      </c>
      <c r="DV15" s="4">
        <v>1</v>
      </c>
      <c r="DW15" s="4">
        <v>2</v>
      </c>
      <c r="DX15" s="4">
        <v>0</v>
      </c>
      <c r="DY15" s="4">
        <v>0</v>
      </c>
      <c r="DZ15" s="4">
        <v>2</v>
      </c>
      <c r="EA15" s="4">
        <v>2</v>
      </c>
      <c r="EB15" s="4">
        <v>0</v>
      </c>
      <c r="EC15" s="4">
        <v>0</v>
      </c>
      <c r="ED15" s="4">
        <v>0</v>
      </c>
      <c r="EE15" s="4">
        <v>0</v>
      </c>
      <c r="EF15" s="4">
        <v>0</v>
      </c>
      <c r="EG15" s="4">
        <v>0</v>
      </c>
      <c r="EH15" s="4">
        <f>(Foglio1!$DE15+Foglio1!$DH15+Foglio1!$DG15+Foglio1!$DF15+Foglio1!$DM15+Foglio1!$DD15+Foglio1!$DO15+Foglio1!$DL15+Foglio1!$DN15+Foglio1!$DQ15+Foglio1!$DP15+Foglio1!$DT15+Foglio1!$DI15+Foglio1!$DK15+Foglio1!$DU15)</f>
        <v>2</v>
      </c>
      <c r="EI15" s="4">
        <f>(Foglio1!$EA15+Foglio1!$EB15+Foglio1!$EE15+Foglio1!$EC15+Foglio1!$ED15+Foglio1!$DZ15+Foglio1!$DY15)</f>
        <v>4</v>
      </c>
      <c r="EJ15" s="4">
        <f>(Foglio1!$DW15+Foglio1!$DV15+Foglio1!$DX15)</f>
        <v>3</v>
      </c>
      <c r="EK15" s="4">
        <f>(Foglio1!$EG15+Foglio1!$EF15)</f>
        <v>0</v>
      </c>
      <c r="EL15" s="4">
        <v>1</v>
      </c>
      <c r="EM15" s="4">
        <v>0</v>
      </c>
      <c r="EN15" s="4">
        <v>1</v>
      </c>
      <c r="EO15" s="4">
        <v>1</v>
      </c>
      <c r="EP15" s="4">
        <f t="array" ref="EP15">SUM(EL15:EO15/4)</f>
        <v>0.75</v>
      </c>
      <c r="EQ15" s="4">
        <v>1</v>
      </c>
      <c r="ER15" s="4">
        <v>1</v>
      </c>
      <c r="ES15" s="4">
        <v>1</v>
      </c>
      <c r="ET15" s="4">
        <v>0</v>
      </c>
      <c r="EU15" s="4" t="s">
        <v>772</v>
      </c>
      <c r="EV15" s="4">
        <v>1</v>
      </c>
      <c r="EW15" s="4" t="s">
        <v>773</v>
      </c>
      <c r="EX15" s="4">
        <v>1</v>
      </c>
      <c r="EY15" s="4">
        <f>(Foglio1!$EQ15+Foglio1!$ER15+Foglio1!$ES15+Foglio1!$ET15+Foglio1!$EV15+Foglio1!$EX15)/6</f>
        <v>0.83333333333333337</v>
      </c>
      <c r="EZ15" s="4">
        <v>1</v>
      </c>
      <c r="FA15" s="4">
        <v>1</v>
      </c>
      <c r="FB15" s="4">
        <v>0</v>
      </c>
      <c r="FC15" s="4">
        <f>(Foglio1!$EZ15+Foglio1!$FA15+Foglio1!$FB15)/3</f>
        <v>0.66666666666666663</v>
      </c>
      <c r="FD15" s="4">
        <v>0</v>
      </c>
      <c r="FE15" s="4">
        <v>1</v>
      </c>
      <c r="FF15" s="4">
        <f>(Foglio1!$FD15+Foglio1!$FE15)/2</f>
        <v>0.5</v>
      </c>
      <c r="FG15" s="4" t="s">
        <v>774</v>
      </c>
      <c r="FH15" s="4">
        <v>1</v>
      </c>
      <c r="FI15" s="4" t="s">
        <v>775</v>
      </c>
      <c r="FJ15" s="4">
        <v>0</v>
      </c>
      <c r="FK15" s="4" t="s">
        <v>776</v>
      </c>
      <c r="FL15" s="4">
        <v>1</v>
      </c>
      <c r="FM15" s="4">
        <f>(Foglio1!$FH15+Foglio1!$FJ15+Foglio1!$FL15)/3</f>
        <v>0.66666666666666663</v>
      </c>
      <c r="FN15" s="4">
        <f>(Foglio1!$EP15)</f>
        <v>0.75</v>
      </c>
      <c r="FO15" s="4">
        <f>(Foglio1!$EY15+Foglio1!$FC15+Foglio1!$FF15+Foglio1!$FM15)/4</f>
        <v>0.66666666666666663</v>
      </c>
      <c r="FP15" s="4">
        <f>(Foglio1!$EP15+Foglio1!$EY15+Foglio1!$FC15+Foglio1!$FF15+Foglio1!$FM15)/5</f>
        <v>0.68333333333333335</v>
      </c>
      <c r="FQ15" s="6">
        <v>45554</v>
      </c>
      <c r="FR15" s="4">
        <v>2</v>
      </c>
      <c r="FS15" s="4">
        <v>1</v>
      </c>
      <c r="FT15" s="4">
        <v>2</v>
      </c>
      <c r="FU15" s="4">
        <v>2</v>
      </c>
      <c r="FV15" s="4">
        <v>2</v>
      </c>
      <c r="FW15" s="4">
        <v>4</v>
      </c>
      <c r="FX15" s="4">
        <v>2</v>
      </c>
      <c r="FY15" s="4">
        <v>4</v>
      </c>
      <c r="FZ15" s="4">
        <v>2</v>
      </c>
      <c r="GA15" s="4">
        <v>5</v>
      </c>
      <c r="GB15" s="4">
        <v>55</v>
      </c>
      <c r="GC15" s="4">
        <v>2</v>
      </c>
      <c r="GD15" s="4">
        <v>0</v>
      </c>
      <c r="GE15" s="4">
        <v>2</v>
      </c>
      <c r="GF15" s="4">
        <v>0</v>
      </c>
      <c r="GG15" s="4">
        <v>0</v>
      </c>
      <c r="GH15" s="4">
        <v>2</v>
      </c>
      <c r="GI15" s="4">
        <v>0</v>
      </c>
      <c r="GJ15" s="4">
        <v>2</v>
      </c>
      <c r="GK15" s="4">
        <v>3</v>
      </c>
      <c r="GL15" s="4">
        <v>3</v>
      </c>
      <c r="GM15" s="4">
        <v>3</v>
      </c>
      <c r="GN15" s="4">
        <v>3</v>
      </c>
      <c r="GO15" s="4">
        <v>2</v>
      </c>
      <c r="GP15" s="4">
        <v>1</v>
      </c>
      <c r="GQ15" s="4">
        <v>1</v>
      </c>
      <c r="GR15" s="4">
        <v>1</v>
      </c>
      <c r="GS15" s="4">
        <v>2</v>
      </c>
      <c r="GT15" s="4">
        <v>2</v>
      </c>
      <c r="GU15" s="4">
        <v>0</v>
      </c>
      <c r="GV15" s="4">
        <v>2</v>
      </c>
      <c r="GW15" s="4">
        <v>2</v>
      </c>
      <c r="GX15" s="4">
        <v>0</v>
      </c>
      <c r="GY15" s="4">
        <v>2</v>
      </c>
      <c r="GZ15" s="4">
        <v>0</v>
      </c>
      <c r="HA15" s="4">
        <v>0</v>
      </c>
      <c r="HB15" s="4">
        <v>0</v>
      </c>
      <c r="HC15" s="4">
        <v>2</v>
      </c>
      <c r="HD15" s="4">
        <v>0</v>
      </c>
      <c r="HE15" s="4">
        <v>3</v>
      </c>
      <c r="HF15" s="4">
        <v>3</v>
      </c>
      <c r="HG15" s="4">
        <f t="shared" si="10"/>
        <v>43</v>
      </c>
      <c r="HH15" s="4">
        <f t="shared" si="11"/>
        <v>9</v>
      </c>
      <c r="HI15" s="4">
        <f t="shared" si="12"/>
        <v>20</v>
      </c>
      <c r="HJ15" s="4">
        <f t="shared" si="13"/>
        <v>11</v>
      </c>
      <c r="HK15" s="4">
        <f t="shared" si="14"/>
        <v>8</v>
      </c>
      <c r="HL15" s="4">
        <f t="shared" si="15"/>
        <v>16</v>
      </c>
      <c r="HM15" s="4">
        <v>0</v>
      </c>
      <c r="HN15" s="4">
        <v>0</v>
      </c>
      <c r="HO15" s="4">
        <v>0</v>
      </c>
      <c r="HP15" s="4">
        <v>0</v>
      </c>
      <c r="HQ15" s="4">
        <v>0</v>
      </c>
      <c r="HR15" s="4">
        <v>0</v>
      </c>
      <c r="HS15" s="4">
        <v>0</v>
      </c>
      <c r="HT15" s="4">
        <v>0</v>
      </c>
      <c r="HU15" s="4">
        <v>0</v>
      </c>
      <c r="HV15" s="4">
        <v>0</v>
      </c>
      <c r="HW15" s="4">
        <v>0</v>
      </c>
      <c r="HX15" s="4">
        <v>0</v>
      </c>
      <c r="HY15" s="4">
        <v>0</v>
      </c>
      <c r="HZ15" s="4">
        <v>0</v>
      </c>
      <c r="IA15" s="4">
        <v>0</v>
      </c>
      <c r="IB15" s="4">
        <v>0</v>
      </c>
      <c r="IC15" s="4">
        <v>2</v>
      </c>
      <c r="ID15" s="4">
        <v>0</v>
      </c>
      <c r="IE15" s="4">
        <v>2</v>
      </c>
      <c r="IF15" s="4">
        <v>2</v>
      </c>
      <c r="IG15" s="4">
        <v>1</v>
      </c>
      <c r="IH15" s="4">
        <v>0</v>
      </c>
      <c r="II15" s="4">
        <v>0</v>
      </c>
      <c r="IJ15" s="4">
        <v>0</v>
      </c>
      <c r="IK15" s="4">
        <v>2</v>
      </c>
      <c r="IL15" s="4">
        <v>0</v>
      </c>
      <c r="IM15" s="4">
        <v>0</v>
      </c>
      <c r="IN15" s="4">
        <v>3</v>
      </c>
      <c r="IO15" s="4">
        <v>1</v>
      </c>
      <c r="IP15" s="4">
        <v>0</v>
      </c>
      <c r="IQ15" s="4">
        <f t="shared" si="20"/>
        <v>2</v>
      </c>
      <c r="IR15" s="4">
        <f t="shared" si="21"/>
        <v>5</v>
      </c>
      <c r="IS15" s="4">
        <f t="shared" si="22"/>
        <v>5</v>
      </c>
      <c r="IT15" s="4">
        <f t="shared" si="23"/>
        <v>1</v>
      </c>
      <c r="IU15" s="4" t="s">
        <v>383</v>
      </c>
      <c r="IV15" s="4" t="s">
        <v>383</v>
      </c>
      <c r="IW15" s="4" t="s">
        <v>383</v>
      </c>
      <c r="IX15" s="4" t="s">
        <v>383</v>
      </c>
      <c r="IY15" s="4">
        <v>1</v>
      </c>
      <c r="IZ15" s="4">
        <v>0</v>
      </c>
      <c r="JA15" s="4">
        <v>1</v>
      </c>
      <c r="JB15" s="4">
        <v>1</v>
      </c>
      <c r="JC15" s="4">
        <f>(Foglio1!$IY15+Foglio1!$IZ15+Foglio1!$JA15+Foglio1!$JB15)/4</f>
        <v>0.75</v>
      </c>
      <c r="JD15" s="4">
        <v>1</v>
      </c>
      <c r="JE15" s="4">
        <v>1</v>
      </c>
      <c r="JF15" s="4">
        <v>1</v>
      </c>
      <c r="JG15" s="4">
        <v>0</v>
      </c>
      <c r="JH15" s="4" t="s">
        <v>777</v>
      </c>
      <c r="JI15" s="4">
        <v>1</v>
      </c>
      <c r="JJ15" s="4" t="s">
        <v>778</v>
      </c>
      <c r="JK15" s="4">
        <v>0</v>
      </c>
      <c r="JL15" s="4">
        <f>(Foglio1!$JD15+Foglio1!$JE15+Foglio1!$JF15+Foglio1!$JG15+Foglio1!$JI15+Foglio1!$JK15)/6</f>
        <v>0.66666666666666663</v>
      </c>
      <c r="JM15" s="4">
        <v>1</v>
      </c>
      <c r="JN15" s="4">
        <v>1</v>
      </c>
      <c r="JO15" s="4">
        <v>1</v>
      </c>
      <c r="JP15" s="4">
        <f>(Foglio1!$JM15+Foglio1!$JN15+Foglio1!$JO15)/3</f>
        <v>1</v>
      </c>
      <c r="JQ15" s="4">
        <v>0</v>
      </c>
      <c r="JR15" s="4">
        <v>1</v>
      </c>
      <c r="JS15" s="4">
        <f>(Foglio1!$JQ15+Foglio1!$JR15)/2</f>
        <v>0.5</v>
      </c>
      <c r="JT15" s="4" t="s">
        <v>779</v>
      </c>
      <c r="JU15" s="4">
        <v>0</v>
      </c>
      <c r="JV15" s="4" t="s">
        <v>780</v>
      </c>
      <c r="JW15" s="4">
        <v>0</v>
      </c>
      <c r="JX15" s="4" t="s">
        <v>781</v>
      </c>
      <c r="JY15" s="4">
        <v>0</v>
      </c>
      <c r="JZ15" s="4">
        <f>(Foglio1!$JU15+Foglio1!$JW15+Foglio1!$JY15)/3</f>
        <v>0</v>
      </c>
      <c r="KA15" s="4">
        <f>(Foglio1!$JC15)</f>
        <v>0.75</v>
      </c>
      <c r="KB15" s="4">
        <f>(Foglio1!$JL15+Foglio1!$JP15+Foglio1!$JS15+Foglio1!$JZ15)/4</f>
        <v>0.54166666666666663</v>
      </c>
      <c r="KC15" s="4">
        <f>(Foglio1!$JC15+Foglio1!$JL15+Foglio1!$JP15+Foglio1!$JS15+Foglio1!$JZ15)/5</f>
        <v>0.58333333333333326</v>
      </c>
      <c r="KD15" s="4" t="s">
        <v>782</v>
      </c>
      <c r="KE15" s="4">
        <v>0</v>
      </c>
      <c r="KF15" s="4">
        <v>1</v>
      </c>
      <c r="KG15" s="4" t="s">
        <v>783</v>
      </c>
      <c r="KH15" s="4">
        <v>0</v>
      </c>
      <c r="KI15" s="4">
        <v>0</v>
      </c>
      <c r="KJ15" s="4" t="s">
        <v>784</v>
      </c>
      <c r="KK15" s="4">
        <v>1</v>
      </c>
      <c r="KL15" s="4">
        <v>2</v>
      </c>
      <c r="KM15" s="4" t="s">
        <v>785</v>
      </c>
      <c r="KN15" s="4">
        <v>1</v>
      </c>
      <c r="KO15" s="4">
        <v>2</v>
      </c>
      <c r="KP15" s="4" t="s">
        <v>786</v>
      </c>
      <c r="KQ15" s="4">
        <v>1</v>
      </c>
      <c r="KR15" s="4">
        <v>2</v>
      </c>
      <c r="KS15" s="4" t="s">
        <v>393</v>
      </c>
      <c r="KT15" s="4">
        <v>2</v>
      </c>
      <c r="KU15" s="4">
        <v>1</v>
      </c>
      <c r="KV15" s="4" t="s">
        <v>787</v>
      </c>
      <c r="KW15" s="4">
        <v>0</v>
      </c>
      <c r="KX15" s="4">
        <v>2</v>
      </c>
      <c r="KY15" s="4" t="s">
        <v>788</v>
      </c>
      <c r="KZ15" s="4">
        <v>0</v>
      </c>
      <c r="LA15" s="4">
        <v>3</v>
      </c>
      <c r="LB15" s="4" t="s">
        <v>789</v>
      </c>
      <c r="LC15" s="4">
        <v>0</v>
      </c>
      <c r="LD15" s="4">
        <v>0</v>
      </c>
      <c r="LE15" s="4" t="s">
        <v>790</v>
      </c>
      <c r="LF15" s="4">
        <v>1</v>
      </c>
      <c r="LG15" s="4">
        <v>2</v>
      </c>
      <c r="LH15" s="4" t="s">
        <v>398</v>
      </c>
      <c r="LI15" s="4">
        <v>2</v>
      </c>
      <c r="LJ15" s="4">
        <v>1</v>
      </c>
      <c r="LK15" s="4" t="s">
        <v>791</v>
      </c>
      <c r="LL15" s="4">
        <v>2</v>
      </c>
      <c r="LM15" s="4">
        <v>2</v>
      </c>
      <c r="LN15" s="4" t="s">
        <v>792</v>
      </c>
      <c r="LO15" s="4">
        <v>2</v>
      </c>
      <c r="LP15" s="4">
        <v>2</v>
      </c>
      <c r="LQ15" s="4" t="s">
        <v>793</v>
      </c>
      <c r="LR15" s="4">
        <v>1</v>
      </c>
      <c r="LS15" s="4">
        <v>2</v>
      </c>
      <c r="LT15" s="4">
        <f>(Foglio1!$KE15+Foglio1!$KH15+Foglio1!$KK15+Foglio1!$KN15+Foglio1!$KQ15+Foglio1!$KT15+Foglio1!$KW15+Foglio1!$KZ15+Foglio1!$LC15+Foglio1!$LF15+Foglio1!$LI15+Foglio1!$LL15+Foglio1!$LO15+Foglio1!$LR15)</f>
        <v>13</v>
      </c>
      <c r="LU15" s="4">
        <f>(Foglio1!$KI15+Foglio1!$KF15+Foglio1!$KL15+Foglio1!$KO15+Foglio1!$KR15+Foglio1!$KU15+Foglio1!$KX15+Foglio1!$LA15+Foglio1!$LD15+Foglio1!$LG15+Foglio1!$LJ15+Foglio1!$LM15+Foglio1!$LP15+Foglio1!$LS15)</f>
        <v>22</v>
      </c>
      <c r="LV15" s="4">
        <v>4</v>
      </c>
      <c r="LW15" s="4">
        <v>14</v>
      </c>
      <c r="LX15" s="4">
        <v>3</v>
      </c>
      <c r="LY15" s="4">
        <v>15</v>
      </c>
      <c r="LZ15" s="3">
        <v>1</v>
      </c>
      <c r="MA15" s="3">
        <v>0</v>
      </c>
      <c r="MB15" s="3">
        <v>0</v>
      </c>
      <c r="MC15" s="3">
        <v>3</v>
      </c>
      <c r="MD15" s="3">
        <f t="shared" si="7"/>
        <v>4</v>
      </c>
      <c r="ME15" s="3">
        <v>0</v>
      </c>
      <c r="MF15" s="3">
        <v>0</v>
      </c>
      <c r="MG15" s="3">
        <v>0</v>
      </c>
      <c r="MH15" s="3">
        <v>0</v>
      </c>
      <c r="MI15" s="3">
        <f t="shared" si="8"/>
        <v>0</v>
      </c>
    </row>
    <row r="16" spans="1:347" ht="15.75" customHeight="1" x14ac:dyDescent="0.25">
      <c r="A16" s="8" t="s">
        <v>794</v>
      </c>
      <c r="B16" s="4">
        <v>19</v>
      </c>
      <c r="C16" s="4" t="s">
        <v>403</v>
      </c>
      <c r="D16" s="4">
        <v>13</v>
      </c>
      <c r="E16" s="4">
        <v>0</v>
      </c>
      <c r="F16" s="4" t="s">
        <v>350</v>
      </c>
      <c r="G16" s="4" t="s">
        <v>356</v>
      </c>
      <c r="H16" s="4" t="s">
        <v>795</v>
      </c>
      <c r="I16" s="4" t="s">
        <v>796</v>
      </c>
      <c r="J16" s="4"/>
      <c r="K16" s="4"/>
      <c r="L16" s="5" t="s">
        <v>356</v>
      </c>
      <c r="M16" s="4" t="s">
        <v>449</v>
      </c>
      <c r="N16" s="4" t="s">
        <v>797</v>
      </c>
      <c r="O16" s="6">
        <v>45484</v>
      </c>
      <c r="P16" s="6">
        <v>45504</v>
      </c>
      <c r="Q16" s="4" t="s">
        <v>359</v>
      </c>
      <c r="R16" s="4"/>
      <c r="S16" s="4"/>
      <c r="T16" s="4"/>
      <c r="U16" s="4"/>
      <c r="V16" s="4" t="s">
        <v>798</v>
      </c>
      <c r="W16" s="4" t="s">
        <v>412</v>
      </c>
      <c r="X16" s="4" t="s">
        <v>408</v>
      </c>
      <c r="Y16" s="4" t="s">
        <v>364</v>
      </c>
      <c r="Z16" s="4" t="s">
        <v>799</v>
      </c>
      <c r="AA16" s="4" t="s">
        <v>800</v>
      </c>
      <c r="AB16" s="4"/>
      <c r="AC16" s="4"/>
      <c r="AD16" s="4"/>
      <c r="AE16" s="4"/>
      <c r="AF16" s="4"/>
      <c r="AG16" s="4"/>
      <c r="AH16" s="4" t="s">
        <v>798</v>
      </c>
      <c r="AI16" s="4" t="s">
        <v>801</v>
      </c>
      <c r="AJ16" s="4" t="s">
        <v>408</v>
      </c>
      <c r="AK16" s="4" t="s">
        <v>802</v>
      </c>
      <c r="AL16" s="4" t="s">
        <v>803</v>
      </c>
      <c r="AM16" s="4" t="s">
        <v>804</v>
      </c>
      <c r="AN16" s="5" t="s">
        <v>356</v>
      </c>
      <c r="AO16" s="5" t="s">
        <v>356</v>
      </c>
      <c r="AP16" s="5" t="s">
        <v>356</v>
      </c>
      <c r="AQ16" s="5" t="s">
        <v>356</v>
      </c>
      <c r="AR16" s="5" t="s">
        <v>356</v>
      </c>
      <c r="AS16" s="5" t="s">
        <v>356</v>
      </c>
      <c r="AT16" s="5" t="s">
        <v>356</v>
      </c>
      <c r="AU16" s="5" t="s">
        <v>356</v>
      </c>
      <c r="AV16" s="5" t="s">
        <v>356</v>
      </c>
      <c r="AW16" s="5" t="s">
        <v>356</v>
      </c>
      <c r="AX16" s="4">
        <v>3</v>
      </c>
      <c r="AY16" s="4"/>
      <c r="AZ16" s="5" t="s">
        <v>383</v>
      </c>
      <c r="BA16" s="4">
        <f t="shared" si="9"/>
        <v>20</v>
      </c>
      <c r="BB16" s="4"/>
      <c r="BC16" s="4"/>
      <c r="BD16" s="4"/>
      <c r="BE16" s="4"/>
      <c r="BF16" s="4"/>
      <c r="BG16" s="6">
        <v>45497</v>
      </c>
      <c r="BH16" s="4" t="s">
        <v>356</v>
      </c>
      <c r="BI16" s="4" t="s">
        <v>356</v>
      </c>
      <c r="BJ16" s="4" t="s">
        <v>356</v>
      </c>
      <c r="BK16" s="4" t="s">
        <v>356</v>
      </c>
      <c r="BL16" s="4" t="s">
        <v>356</v>
      </c>
      <c r="BM16" s="4" t="s">
        <v>356</v>
      </c>
      <c r="BN16" s="4" t="s">
        <v>356</v>
      </c>
      <c r="BO16" s="4" t="s">
        <v>356</v>
      </c>
      <c r="BP16" s="4">
        <v>6</v>
      </c>
      <c r="BQ16" s="4">
        <v>4</v>
      </c>
      <c r="BR16" s="4">
        <v>13</v>
      </c>
      <c r="BS16" s="4">
        <v>16</v>
      </c>
      <c r="BT16" s="4">
        <v>1</v>
      </c>
      <c r="BU16" s="4">
        <v>1</v>
      </c>
      <c r="BV16" s="4">
        <v>1</v>
      </c>
      <c r="BW16" s="4">
        <v>1</v>
      </c>
      <c r="BX16" s="4">
        <v>1</v>
      </c>
      <c r="BY16" s="4">
        <v>1</v>
      </c>
      <c r="BZ16" s="4">
        <v>1</v>
      </c>
      <c r="CA16" s="4">
        <v>1</v>
      </c>
      <c r="CB16" s="4">
        <v>1</v>
      </c>
      <c r="CC16" s="4">
        <v>2</v>
      </c>
      <c r="CD16" s="4">
        <v>5</v>
      </c>
      <c r="CE16" s="4">
        <v>5</v>
      </c>
      <c r="CF16" s="4">
        <v>5</v>
      </c>
      <c r="CG16" s="4">
        <v>3</v>
      </c>
      <c r="CH16" s="4">
        <v>1</v>
      </c>
      <c r="CI16" s="4">
        <v>1</v>
      </c>
      <c r="CJ16" s="4">
        <v>6</v>
      </c>
      <c r="CK16" s="4">
        <v>6</v>
      </c>
      <c r="CL16" s="4">
        <v>1</v>
      </c>
      <c r="CM16" s="4">
        <v>5</v>
      </c>
      <c r="CN16" s="4">
        <v>6</v>
      </c>
      <c r="CO16" s="4">
        <v>1</v>
      </c>
      <c r="CP16" s="4">
        <v>1</v>
      </c>
      <c r="CQ16" s="4">
        <v>1</v>
      </c>
      <c r="CR16" s="4">
        <v>4</v>
      </c>
      <c r="CS16" s="4">
        <v>1</v>
      </c>
      <c r="CT16" s="4">
        <v>5</v>
      </c>
      <c r="CU16" s="4">
        <v>3</v>
      </c>
      <c r="CV16" s="4">
        <v>5</v>
      </c>
      <c r="CW16" s="4">
        <v>5</v>
      </c>
      <c r="CX16" s="4">
        <f>SUM(Foglio1!$BT16:$CW16)</f>
        <v>81</v>
      </c>
      <c r="CY16" s="4">
        <f>SUM(Foglio1!$BT16+Foglio1!$BV16+Foglio1!$CP16+Foglio1!$BY16+Foglio1!$BX16+Foglio1!$CH16+Foglio1!$CS16+Foglio1!$CW16-Foglio1!$CE16)</f>
        <v>7</v>
      </c>
      <c r="CZ16" s="4">
        <f>SUM(Foglio1!$CF16+Foglio1!$CA16+Foglio1!$CB16+Foglio1!$CD16+Foglio1!$CN16+Foglio1!$CC16+Foglio1!$CW16+Foglio1!$CO16+Foglio1!$CT16-Foglio1!$BU16)</f>
        <v>30</v>
      </c>
      <c r="DA16" s="4">
        <f>SUM(Foglio1!$CG16+Foglio1!$CR16+Foglio1!$CQ16+Foglio1!$BU16+Foglio1!$CE16+Foglio1!$CL16+Foglio1!$CS16+Foglio1!$CT16+Foglio1!$CV16+Foglio1!$CP16)</f>
        <v>27</v>
      </c>
      <c r="DB16" s="4">
        <f>SUM(Foglio1!$CU16+Foglio1!$BW16+Foglio1!$BZ16+Foglio1!$CO16+Foglio1!$BX16+Foglio1!$CC16+Foglio1!$CK16+Foglio1!$CW16)</f>
        <v>20</v>
      </c>
      <c r="DC16" s="4">
        <f>SUM(Foglio1!$CI16+Foglio1!$CM16+Foglio1!$CJ16+Foglio1!$CK16+Foglio1!$BY16+Foglio1!$CH16+Foglio1!$CV16+Foglio1!$CW16)</f>
        <v>30</v>
      </c>
      <c r="DD16" s="4">
        <v>0</v>
      </c>
      <c r="DE16" s="4">
        <v>0</v>
      </c>
      <c r="DF16" s="4">
        <v>0</v>
      </c>
      <c r="DG16" s="4">
        <v>0</v>
      </c>
      <c r="DH16" s="4">
        <v>0</v>
      </c>
      <c r="DI16" s="4">
        <v>0</v>
      </c>
      <c r="DJ16" s="4">
        <v>0</v>
      </c>
      <c r="DK16" s="4">
        <v>0</v>
      </c>
      <c r="DL16" s="4">
        <v>0</v>
      </c>
      <c r="DM16" s="4">
        <v>0</v>
      </c>
      <c r="DN16" s="4">
        <v>0</v>
      </c>
      <c r="DO16" s="4">
        <v>0</v>
      </c>
      <c r="DP16" s="4">
        <v>0</v>
      </c>
      <c r="DQ16" s="4">
        <v>0</v>
      </c>
      <c r="DR16" s="4">
        <v>0</v>
      </c>
      <c r="DS16" s="4">
        <v>0</v>
      </c>
      <c r="DT16" s="4">
        <v>0</v>
      </c>
      <c r="DU16" s="4">
        <v>0</v>
      </c>
      <c r="DV16" s="4">
        <v>3</v>
      </c>
      <c r="DW16" s="4">
        <v>0</v>
      </c>
      <c r="DX16" s="4">
        <v>2</v>
      </c>
      <c r="DY16" s="4">
        <v>2</v>
      </c>
      <c r="DZ16" s="4">
        <v>1</v>
      </c>
      <c r="EA16" s="4">
        <v>3</v>
      </c>
      <c r="EB16" s="4">
        <v>0</v>
      </c>
      <c r="EC16" s="4">
        <v>0</v>
      </c>
      <c r="ED16" s="4">
        <v>2</v>
      </c>
      <c r="EE16" s="4">
        <v>0</v>
      </c>
      <c r="EF16" s="4">
        <v>2</v>
      </c>
      <c r="EG16" s="4">
        <v>3</v>
      </c>
      <c r="EH16" s="4">
        <f>(Foglio1!$DE16+Foglio1!$DH16+Foglio1!$DG16+Foglio1!$DF16+Foglio1!$DM16+Foglio1!$DD16+Foglio1!$DO16+Foglio1!$DL16+Foglio1!$DN16+Foglio1!$DQ16+Foglio1!$DP16+Foglio1!$DT16+Foglio1!$DI16+Foglio1!$DK16+Foglio1!$DU16)</f>
        <v>0</v>
      </c>
      <c r="EI16" s="4">
        <f>(Foglio1!$EA16+Foglio1!$EB16+Foglio1!$EE16+Foglio1!$EC16+Foglio1!$ED16+Foglio1!$DZ16+Foglio1!$DY16)</f>
        <v>8</v>
      </c>
      <c r="EJ16" s="4">
        <f>(Foglio1!$DW16+Foglio1!$DV16+Foglio1!$DX16)</f>
        <v>5</v>
      </c>
      <c r="EK16" s="4">
        <f>(Foglio1!$EG16+Foglio1!$EF16)</f>
        <v>5</v>
      </c>
      <c r="EL16" s="4">
        <v>1</v>
      </c>
      <c r="EM16" s="4">
        <v>0</v>
      </c>
      <c r="EN16" s="4">
        <v>1</v>
      </c>
      <c r="EO16" s="4">
        <v>1</v>
      </c>
      <c r="EP16" s="4">
        <f t="array" ref="EP16">SUM(EL16:EO16/4)</f>
        <v>0.75</v>
      </c>
      <c r="EQ16" s="4">
        <v>1</v>
      </c>
      <c r="ER16" s="4">
        <v>1</v>
      </c>
      <c r="ES16" s="4">
        <v>1</v>
      </c>
      <c r="ET16" s="4">
        <v>1</v>
      </c>
      <c r="EU16" s="4" t="s">
        <v>805</v>
      </c>
      <c r="EV16" s="4">
        <v>1</v>
      </c>
      <c r="EW16" s="4" t="s">
        <v>806</v>
      </c>
      <c r="EX16" s="4">
        <v>1</v>
      </c>
      <c r="EY16" s="4">
        <f>(Foglio1!$EQ16+Foglio1!$ER16+Foglio1!$ES16+Foglio1!$ET16+Foglio1!$EV16+Foglio1!$EX16)/6</f>
        <v>1</v>
      </c>
      <c r="EZ16" s="4">
        <v>1</v>
      </c>
      <c r="FA16" s="4">
        <v>1</v>
      </c>
      <c r="FB16" s="4">
        <v>1</v>
      </c>
      <c r="FC16" s="4">
        <f>(Foglio1!$EZ16+Foglio1!$FA16+Foglio1!$FB16)/3</f>
        <v>1</v>
      </c>
      <c r="FD16" s="4">
        <v>1</v>
      </c>
      <c r="FE16" s="4">
        <v>0</v>
      </c>
      <c r="FF16" s="4">
        <f>(Foglio1!$FD16+Foglio1!$FE16)/2</f>
        <v>0.5</v>
      </c>
      <c r="FG16" s="4" t="s">
        <v>807</v>
      </c>
      <c r="FH16" s="4">
        <v>0</v>
      </c>
      <c r="FI16" s="4" t="s">
        <v>808</v>
      </c>
      <c r="FJ16" s="4">
        <v>0</v>
      </c>
      <c r="FK16" s="4" t="s">
        <v>809</v>
      </c>
      <c r="FL16" s="4">
        <v>0</v>
      </c>
      <c r="FM16" s="4">
        <f>(Foglio1!$FH16+Foglio1!$FJ16+Foglio1!$FL16)/3</f>
        <v>0</v>
      </c>
      <c r="FN16" s="4">
        <f>(Foglio1!$EP16)</f>
        <v>0.75</v>
      </c>
      <c r="FO16" s="4">
        <f>(Foglio1!$EY16+Foglio1!$FC16+Foglio1!$FF16+Foglio1!$FM16)/4</f>
        <v>0.625</v>
      </c>
      <c r="FP16" s="4">
        <f>(Foglio1!$EP16+Foglio1!$EY16+Foglio1!$FC16+Foglio1!$FF16+Foglio1!$FM16)/5</f>
        <v>0.65</v>
      </c>
      <c r="FQ16" s="6">
        <v>45503</v>
      </c>
      <c r="FR16" s="4" t="s">
        <v>356</v>
      </c>
      <c r="FS16" s="4" t="s">
        <v>356</v>
      </c>
      <c r="FT16" s="4" t="s">
        <v>356</v>
      </c>
      <c r="FU16" s="4" t="s">
        <v>356</v>
      </c>
      <c r="FV16" s="4" t="s">
        <v>356</v>
      </c>
      <c r="FW16" s="4" t="s">
        <v>356</v>
      </c>
      <c r="FX16" s="4" t="s">
        <v>356</v>
      </c>
      <c r="FY16" s="4">
        <v>5</v>
      </c>
      <c r="FZ16" s="4">
        <v>2</v>
      </c>
      <c r="GA16" s="4">
        <v>5</v>
      </c>
      <c r="GB16" s="4">
        <v>45</v>
      </c>
      <c r="GC16" s="4">
        <v>0</v>
      </c>
      <c r="GD16" s="4">
        <v>0</v>
      </c>
      <c r="GE16" s="4">
        <v>0</v>
      </c>
      <c r="GF16" s="4">
        <v>0</v>
      </c>
      <c r="GG16" s="4">
        <v>0</v>
      </c>
      <c r="GH16" s="4">
        <v>0</v>
      </c>
      <c r="GI16" s="4">
        <v>0</v>
      </c>
      <c r="GJ16" s="4">
        <v>0</v>
      </c>
      <c r="GK16" s="4">
        <v>0</v>
      </c>
      <c r="GL16" s="4">
        <v>2</v>
      </c>
      <c r="GM16" s="4">
        <v>3</v>
      </c>
      <c r="GN16" s="4">
        <v>3</v>
      </c>
      <c r="GO16" s="4">
        <v>3</v>
      </c>
      <c r="GP16" s="4">
        <v>2</v>
      </c>
      <c r="GQ16" s="4">
        <v>0</v>
      </c>
      <c r="GR16" s="4">
        <v>0</v>
      </c>
      <c r="GS16" s="4">
        <v>2</v>
      </c>
      <c r="GT16" s="4">
        <v>2</v>
      </c>
      <c r="GU16" s="4">
        <v>0</v>
      </c>
      <c r="GV16" s="4">
        <v>3</v>
      </c>
      <c r="GW16" s="4">
        <v>3</v>
      </c>
      <c r="GX16" s="4">
        <v>0</v>
      </c>
      <c r="GY16" s="4">
        <v>0</v>
      </c>
      <c r="GZ16" s="4">
        <v>0</v>
      </c>
      <c r="HA16" s="4">
        <v>2</v>
      </c>
      <c r="HB16" s="4">
        <v>2</v>
      </c>
      <c r="HC16" s="4">
        <v>2</v>
      </c>
      <c r="HD16" s="4">
        <v>0</v>
      </c>
      <c r="HE16" s="4">
        <v>2</v>
      </c>
      <c r="HF16" s="4">
        <v>2</v>
      </c>
      <c r="HG16" s="4">
        <f t="shared" si="10"/>
        <v>33</v>
      </c>
      <c r="HH16" s="4">
        <f t="shared" si="11"/>
        <v>1</v>
      </c>
      <c r="HI16" s="4">
        <f t="shared" si="12"/>
        <v>15</v>
      </c>
      <c r="HJ16" s="4">
        <f t="shared" si="13"/>
        <v>13</v>
      </c>
      <c r="HK16" s="4">
        <f t="shared" si="14"/>
        <v>6</v>
      </c>
      <c r="HL16" s="4">
        <f t="shared" si="15"/>
        <v>11</v>
      </c>
      <c r="HM16" s="4">
        <v>0</v>
      </c>
      <c r="HN16" s="4">
        <v>0</v>
      </c>
      <c r="HO16" s="4">
        <v>0</v>
      </c>
      <c r="HP16" s="4">
        <v>0</v>
      </c>
      <c r="HQ16" s="4">
        <v>0</v>
      </c>
      <c r="HR16" s="4">
        <v>0</v>
      </c>
      <c r="HS16" s="4">
        <v>0</v>
      </c>
      <c r="HT16" s="4">
        <v>0</v>
      </c>
      <c r="HU16" s="4">
        <v>0</v>
      </c>
      <c r="HV16" s="4">
        <v>0</v>
      </c>
      <c r="HW16" s="4">
        <v>0</v>
      </c>
      <c r="HX16" s="4">
        <v>0</v>
      </c>
      <c r="HY16" s="4">
        <v>0</v>
      </c>
      <c r="HZ16" s="4">
        <v>0</v>
      </c>
      <c r="IA16" s="4">
        <v>0</v>
      </c>
      <c r="IB16" s="4">
        <v>0</v>
      </c>
      <c r="IC16" s="4">
        <v>2</v>
      </c>
      <c r="ID16" s="4">
        <v>0</v>
      </c>
      <c r="IE16" s="4">
        <v>1</v>
      </c>
      <c r="IF16" s="4">
        <v>2</v>
      </c>
      <c r="IG16" s="4">
        <v>1</v>
      </c>
      <c r="IH16" s="4">
        <v>2</v>
      </c>
      <c r="II16" s="4">
        <v>0</v>
      </c>
      <c r="IJ16" s="4">
        <v>0</v>
      </c>
      <c r="IK16" s="4">
        <v>0</v>
      </c>
      <c r="IL16" s="4">
        <v>0</v>
      </c>
      <c r="IM16" s="4">
        <v>2</v>
      </c>
      <c r="IN16" s="4">
        <v>0</v>
      </c>
      <c r="IO16" s="4">
        <v>3</v>
      </c>
      <c r="IP16" s="4">
        <v>3</v>
      </c>
      <c r="IQ16" s="4">
        <f t="shared" si="20"/>
        <v>2</v>
      </c>
      <c r="IR16" s="4">
        <f t="shared" si="21"/>
        <v>4</v>
      </c>
      <c r="IS16" s="4">
        <f t="shared" si="22"/>
        <v>4</v>
      </c>
      <c r="IT16" s="4">
        <f t="shared" si="23"/>
        <v>6</v>
      </c>
      <c r="IU16" s="4" t="s">
        <v>383</v>
      </c>
      <c r="IV16" s="4" t="s">
        <v>383</v>
      </c>
      <c r="IW16" s="4" t="s">
        <v>383</v>
      </c>
      <c r="IX16" s="4" t="s">
        <v>383</v>
      </c>
      <c r="IY16" s="4">
        <v>1</v>
      </c>
      <c r="IZ16" s="4">
        <v>0</v>
      </c>
      <c r="JA16" s="4">
        <v>1</v>
      </c>
      <c r="JB16" s="4">
        <v>1</v>
      </c>
      <c r="JC16" s="4">
        <f>(Foglio1!$IY16+Foglio1!$IZ16+Foglio1!$JA16+Foglio1!$JB16)/4</f>
        <v>0.75</v>
      </c>
      <c r="JD16" s="4">
        <v>1</v>
      </c>
      <c r="JE16" s="4">
        <v>1</v>
      </c>
      <c r="JF16" s="4">
        <v>1</v>
      </c>
      <c r="JG16" s="4">
        <v>1</v>
      </c>
      <c r="JH16" s="4" t="s">
        <v>810</v>
      </c>
      <c r="JI16" s="4">
        <v>1</v>
      </c>
      <c r="JJ16" s="4" t="s">
        <v>811</v>
      </c>
      <c r="JK16" s="4">
        <v>0</v>
      </c>
      <c r="JL16" s="4">
        <f>(Foglio1!$JD16+Foglio1!$JE16+Foglio1!$JF16+Foglio1!$JG16+Foglio1!$JI16+Foglio1!$JK16)/6</f>
        <v>0.83333333333333337</v>
      </c>
      <c r="JM16" s="4">
        <v>1</v>
      </c>
      <c r="JN16" s="4">
        <v>1</v>
      </c>
      <c r="JO16" s="4">
        <v>1</v>
      </c>
      <c r="JP16" s="4">
        <f>(Foglio1!$JM16+Foglio1!$JN16+Foglio1!$JO16)/3</f>
        <v>1</v>
      </c>
      <c r="JQ16" s="4">
        <v>1</v>
      </c>
      <c r="JR16" s="4">
        <v>1</v>
      </c>
      <c r="JS16" s="4">
        <f>(Foglio1!$JQ16+Foglio1!$JR16)/2</f>
        <v>1</v>
      </c>
      <c r="JT16" s="4" t="s">
        <v>812</v>
      </c>
      <c r="JU16" s="4">
        <v>1</v>
      </c>
      <c r="JV16" s="4" t="s">
        <v>813</v>
      </c>
      <c r="JW16" s="4">
        <v>1</v>
      </c>
      <c r="JX16" s="4" t="s">
        <v>814</v>
      </c>
      <c r="JY16" s="4">
        <v>1</v>
      </c>
      <c r="JZ16" s="4">
        <f>(Foglio1!$JU16+Foglio1!$JW16+Foglio1!$JY16)/3</f>
        <v>1</v>
      </c>
      <c r="KA16" s="4">
        <f>(Foglio1!$JC16)</f>
        <v>0.75</v>
      </c>
      <c r="KB16" s="4">
        <f>(Foglio1!$JL16+Foglio1!$JP16+Foglio1!$JS16+Foglio1!$JZ16)/4</f>
        <v>0.95833333333333337</v>
      </c>
      <c r="KC16" s="4">
        <f>(Foglio1!$JC16+Foglio1!$JL16+Foglio1!$JP16+Foglio1!$JS16+Foglio1!$JZ16)/5</f>
        <v>0.91666666666666674</v>
      </c>
      <c r="KD16" s="4" t="s">
        <v>815</v>
      </c>
      <c r="KE16" s="4">
        <v>0</v>
      </c>
      <c r="KF16" s="4">
        <v>2</v>
      </c>
      <c r="KG16" s="4" t="s">
        <v>816</v>
      </c>
      <c r="KH16" s="4">
        <v>0</v>
      </c>
      <c r="KI16" s="4">
        <v>2</v>
      </c>
      <c r="KJ16" s="4" t="s">
        <v>817</v>
      </c>
      <c r="KK16" s="4">
        <v>2</v>
      </c>
      <c r="KL16" s="4">
        <v>2</v>
      </c>
      <c r="KM16" s="4" t="s">
        <v>477</v>
      </c>
      <c r="KN16" s="4">
        <v>0</v>
      </c>
      <c r="KO16" s="4">
        <v>1</v>
      </c>
      <c r="KP16" s="4" t="s">
        <v>818</v>
      </c>
      <c r="KQ16" s="4">
        <v>2</v>
      </c>
      <c r="KR16" s="4">
        <v>2</v>
      </c>
      <c r="KS16" s="4" t="s">
        <v>819</v>
      </c>
      <c r="KT16" s="4">
        <v>1</v>
      </c>
      <c r="KU16" s="4">
        <v>3</v>
      </c>
      <c r="KV16" s="4" t="s">
        <v>820</v>
      </c>
      <c r="KW16" s="4">
        <v>0</v>
      </c>
      <c r="KX16" s="4">
        <v>1</v>
      </c>
      <c r="KY16" s="4" t="s">
        <v>512</v>
      </c>
      <c r="KZ16" s="4">
        <v>0</v>
      </c>
      <c r="LA16" s="4">
        <v>0</v>
      </c>
      <c r="LB16" s="4" t="s">
        <v>821</v>
      </c>
      <c r="LC16" s="4">
        <v>2</v>
      </c>
      <c r="LD16" s="4">
        <v>1</v>
      </c>
      <c r="LE16" s="4" t="s">
        <v>822</v>
      </c>
      <c r="LF16" s="4">
        <v>1</v>
      </c>
      <c r="LG16" s="4">
        <v>3</v>
      </c>
      <c r="LH16" s="4" t="s">
        <v>823</v>
      </c>
      <c r="LI16" s="4">
        <v>0</v>
      </c>
      <c r="LJ16" s="4">
        <v>1</v>
      </c>
      <c r="LK16" s="4" t="s">
        <v>824</v>
      </c>
      <c r="LL16" s="4">
        <v>2</v>
      </c>
      <c r="LM16" s="4">
        <v>2</v>
      </c>
      <c r="LN16" s="4" t="s">
        <v>825</v>
      </c>
      <c r="LO16" s="4">
        <v>2</v>
      </c>
      <c r="LP16" s="4">
        <v>1</v>
      </c>
      <c r="LQ16" s="4" t="s">
        <v>826</v>
      </c>
      <c r="LR16" s="4">
        <v>0</v>
      </c>
      <c r="LS16" s="4">
        <v>0</v>
      </c>
      <c r="LT16" s="4">
        <f>(Foglio1!$KE16+Foglio1!$KH16+Foglio1!$KK16+Foglio1!$KN16+Foglio1!$KQ16+Foglio1!$KT16+Foglio1!$KW16+Foglio1!$KZ16+Foglio1!$LC16+Foglio1!$LF16+Foglio1!$LI16+Foglio1!$LL16+Foglio1!$LO16+Foglio1!$LR16)</f>
        <v>12</v>
      </c>
      <c r="LU16" s="4">
        <f>(Foglio1!$KI16+Foglio1!$KF16+Foglio1!$KL16+Foglio1!$KO16+Foglio1!$KR16+Foglio1!$KU16+Foglio1!$KX16+Foglio1!$LA16+Foglio1!$LD16+Foglio1!$LG16+Foglio1!$LJ16+Foglio1!$LM16+Foglio1!$LP16+Foglio1!$LS16)</f>
        <v>21</v>
      </c>
      <c r="LV16" s="4">
        <v>15</v>
      </c>
      <c r="LW16" s="4">
        <v>39</v>
      </c>
      <c r="LX16" s="4">
        <v>14</v>
      </c>
      <c r="LY16" s="4">
        <v>30</v>
      </c>
      <c r="LZ16" s="3">
        <v>0</v>
      </c>
      <c r="MA16" s="3">
        <v>0</v>
      </c>
      <c r="MB16" s="3">
        <v>1</v>
      </c>
      <c r="MC16" s="3">
        <v>0</v>
      </c>
      <c r="MD16" s="3">
        <f t="shared" si="7"/>
        <v>1</v>
      </c>
      <c r="ME16" s="3">
        <v>0</v>
      </c>
      <c r="MF16" s="3">
        <v>0</v>
      </c>
      <c r="MG16" s="3">
        <v>0</v>
      </c>
      <c r="MH16" s="3">
        <v>0</v>
      </c>
      <c r="MI16" s="3">
        <f t="shared" si="8"/>
        <v>0</v>
      </c>
    </row>
    <row r="17" spans="1:347" ht="15.75" customHeight="1" x14ac:dyDescent="0.25">
      <c r="A17" s="4" t="s">
        <v>827</v>
      </c>
      <c r="B17" s="4">
        <v>23</v>
      </c>
      <c r="C17" s="4" t="s">
        <v>349</v>
      </c>
      <c r="D17" s="4">
        <v>13</v>
      </c>
      <c r="E17" s="4">
        <v>1</v>
      </c>
      <c r="F17" s="4" t="s">
        <v>360</v>
      </c>
      <c r="G17" s="4" t="s">
        <v>652</v>
      </c>
      <c r="H17" s="4" t="s">
        <v>828</v>
      </c>
      <c r="I17" s="4" t="s">
        <v>829</v>
      </c>
      <c r="J17" s="4"/>
      <c r="K17" s="4"/>
      <c r="L17" s="5" t="s">
        <v>356</v>
      </c>
      <c r="M17" s="4" t="s">
        <v>357</v>
      </c>
      <c r="N17" s="4" t="s">
        <v>406</v>
      </c>
      <c r="O17" s="9">
        <v>45550</v>
      </c>
      <c r="P17" s="9">
        <v>45559</v>
      </c>
      <c r="Q17" s="4" t="s">
        <v>359</v>
      </c>
      <c r="R17" s="4"/>
      <c r="S17" s="4"/>
      <c r="T17" s="4"/>
      <c r="U17" s="4"/>
      <c r="V17" s="4"/>
      <c r="W17" s="4"/>
      <c r="X17" s="4"/>
      <c r="Y17" s="4"/>
      <c r="Z17" s="4"/>
      <c r="AA17" s="4"/>
      <c r="AB17" s="4"/>
      <c r="AC17" s="4"/>
      <c r="AD17" s="4"/>
      <c r="AE17" s="4"/>
      <c r="AF17" s="4"/>
      <c r="AG17" s="4"/>
      <c r="AH17" s="4" t="s">
        <v>411</v>
      </c>
      <c r="AI17" s="4" t="s">
        <v>830</v>
      </c>
      <c r="AJ17" s="4" t="s">
        <v>364</v>
      </c>
      <c r="AK17" s="4" t="s">
        <v>831</v>
      </c>
      <c r="AL17" s="5" t="s">
        <v>356</v>
      </c>
      <c r="AM17" s="5" t="s">
        <v>356</v>
      </c>
      <c r="AN17" s="5" t="s">
        <v>356</v>
      </c>
      <c r="AO17" s="5" t="s">
        <v>356</v>
      </c>
      <c r="AP17" s="5" t="s">
        <v>356</v>
      </c>
      <c r="AQ17" s="5" t="s">
        <v>356</v>
      </c>
      <c r="AR17" s="5" t="s">
        <v>356</v>
      </c>
      <c r="AS17" s="5" t="s">
        <v>356</v>
      </c>
      <c r="AT17" s="5" t="s">
        <v>356</v>
      </c>
      <c r="AU17" s="5" t="s">
        <v>356</v>
      </c>
      <c r="AV17" s="5" t="s">
        <v>356</v>
      </c>
      <c r="AW17" s="5" t="s">
        <v>356</v>
      </c>
      <c r="AX17" s="4">
        <v>2</v>
      </c>
      <c r="AY17" s="4"/>
      <c r="AZ17" s="5" t="s">
        <v>383</v>
      </c>
      <c r="BA17" s="4">
        <f t="shared" si="9"/>
        <v>9</v>
      </c>
      <c r="BB17" s="4"/>
      <c r="BC17" s="4"/>
      <c r="BD17" s="4"/>
      <c r="BE17" s="4"/>
      <c r="BF17" s="4"/>
      <c r="BG17" s="6">
        <v>45553</v>
      </c>
      <c r="BH17" s="4">
        <v>3</v>
      </c>
      <c r="BI17" s="4">
        <v>2</v>
      </c>
      <c r="BJ17" s="4">
        <v>3</v>
      </c>
      <c r="BK17" s="4">
        <v>3</v>
      </c>
      <c r="BL17" s="4">
        <v>3</v>
      </c>
      <c r="BM17" s="4">
        <v>4</v>
      </c>
      <c r="BN17" s="4">
        <v>3</v>
      </c>
      <c r="BO17" s="4">
        <f>SUM(Foglio1!$BH17:$BM17)</f>
        <v>18</v>
      </c>
      <c r="BP17" s="4">
        <v>6</v>
      </c>
      <c r="BQ17" s="4">
        <v>0</v>
      </c>
      <c r="BR17" s="4">
        <v>0</v>
      </c>
      <c r="BS17" s="4">
        <v>21</v>
      </c>
      <c r="BT17" s="4">
        <v>3</v>
      </c>
      <c r="BU17" s="4">
        <v>3</v>
      </c>
      <c r="BV17" s="4">
        <v>1</v>
      </c>
      <c r="BW17" s="4">
        <v>1</v>
      </c>
      <c r="BX17" s="4">
        <v>1</v>
      </c>
      <c r="BY17" s="4">
        <v>3</v>
      </c>
      <c r="BZ17" s="4">
        <v>3</v>
      </c>
      <c r="CA17" s="4">
        <v>5</v>
      </c>
      <c r="CB17" s="4">
        <v>5</v>
      </c>
      <c r="CC17" s="4">
        <v>5</v>
      </c>
      <c r="CD17" s="4">
        <v>5</v>
      </c>
      <c r="CE17" s="4">
        <v>1</v>
      </c>
      <c r="CF17" s="4">
        <v>1</v>
      </c>
      <c r="CG17" s="4">
        <v>1</v>
      </c>
      <c r="CH17" s="4">
        <v>2</v>
      </c>
      <c r="CI17" s="4">
        <v>2</v>
      </c>
      <c r="CJ17" s="4">
        <v>1</v>
      </c>
      <c r="CK17" s="4">
        <v>1</v>
      </c>
      <c r="CL17" s="4">
        <v>1</v>
      </c>
      <c r="CM17" s="4">
        <v>3</v>
      </c>
      <c r="CN17" s="4">
        <v>3</v>
      </c>
      <c r="CO17" s="4">
        <v>2</v>
      </c>
      <c r="CP17" s="4">
        <v>3</v>
      </c>
      <c r="CQ17" s="4">
        <v>1</v>
      </c>
      <c r="CR17" s="4">
        <v>1</v>
      </c>
      <c r="CS17" s="4">
        <v>2</v>
      </c>
      <c r="CT17" s="4">
        <v>2</v>
      </c>
      <c r="CU17" s="4">
        <v>1</v>
      </c>
      <c r="CV17" s="4">
        <v>2</v>
      </c>
      <c r="CW17" s="4">
        <v>5</v>
      </c>
      <c r="CX17" s="4">
        <f>SUM(Foglio1!$BT17:$CW17)</f>
        <v>70</v>
      </c>
      <c r="CY17" s="4">
        <f>SUM(Foglio1!$BT17+Foglio1!$BV17+Foglio1!$CP17+Foglio1!$BY17+Foglio1!$BX17+Foglio1!$CH17+Foglio1!$CS17+Foglio1!$CW17-Foglio1!$CE17)</f>
        <v>19</v>
      </c>
      <c r="CZ17" s="4">
        <f>SUM(Foglio1!$CF17+Foglio1!$CA17+Foglio1!$CB17+Foglio1!$CD17+Foglio1!$CN17+Foglio1!$CC17+Foglio1!$CW17+Foglio1!$CO17+Foglio1!$CT17-Foglio1!$BU17)</f>
        <v>30</v>
      </c>
      <c r="DA17" s="4">
        <f>SUM(Foglio1!$CG17+Foglio1!$CR17+Foglio1!$CQ17+Foglio1!$BU17+Foglio1!$CE17+Foglio1!$CL17+Foglio1!$CS17+Foglio1!$CT17+Foglio1!$CV17+Foglio1!$CP17)</f>
        <v>17</v>
      </c>
      <c r="DB17" s="4">
        <f>SUM(Foglio1!$CU17+Foglio1!$BW17+Foglio1!$BZ17+Foglio1!$CO17+Foglio1!$BX17+Foglio1!$CC17+Foglio1!$CK17+Foglio1!$CW17)</f>
        <v>19</v>
      </c>
      <c r="DC17" s="4">
        <f>SUM(Foglio1!$CI17+Foglio1!$CM17+Foglio1!$CJ17+Foglio1!$CK17+Foglio1!$BY17+Foglio1!$CH17+Foglio1!$CV17+Foglio1!$CW17)</f>
        <v>19</v>
      </c>
      <c r="DD17" s="4">
        <v>2</v>
      </c>
      <c r="DE17" s="4">
        <v>0</v>
      </c>
      <c r="DF17" s="4">
        <v>1</v>
      </c>
      <c r="DG17" s="4">
        <v>0</v>
      </c>
      <c r="DH17" s="4">
        <v>0</v>
      </c>
      <c r="DI17" s="4">
        <v>0</v>
      </c>
      <c r="DJ17" s="4">
        <v>0</v>
      </c>
      <c r="DK17" s="4">
        <v>0</v>
      </c>
      <c r="DL17" s="4">
        <v>0</v>
      </c>
      <c r="DM17" s="4">
        <v>0</v>
      </c>
      <c r="DN17" s="4">
        <v>0</v>
      </c>
      <c r="DO17" s="4">
        <v>0</v>
      </c>
      <c r="DP17" s="4">
        <v>0</v>
      </c>
      <c r="DQ17" s="4">
        <v>0</v>
      </c>
      <c r="DR17" s="4">
        <v>0</v>
      </c>
      <c r="DS17" s="4">
        <v>0</v>
      </c>
      <c r="DT17" s="4">
        <v>0</v>
      </c>
      <c r="DU17" s="4">
        <v>0</v>
      </c>
      <c r="DV17" s="4">
        <v>0</v>
      </c>
      <c r="DW17" s="4">
        <v>0</v>
      </c>
      <c r="DX17" s="4">
        <v>2</v>
      </c>
      <c r="DY17" s="4">
        <v>0</v>
      </c>
      <c r="DZ17" s="4">
        <v>1</v>
      </c>
      <c r="EA17" s="4">
        <v>0</v>
      </c>
      <c r="EB17" s="4">
        <v>1</v>
      </c>
      <c r="EC17" s="4">
        <v>0</v>
      </c>
      <c r="ED17" s="4">
        <v>0</v>
      </c>
      <c r="EE17" s="4">
        <v>1</v>
      </c>
      <c r="EF17" s="4">
        <v>0</v>
      </c>
      <c r="EG17" s="4">
        <v>1</v>
      </c>
      <c r="EH17" s="4">
        <f>(Foglio1!$DE17+Foglio1!$DH17+Foglio1!$DG17+Foglio1!$DF17+Foglio1!$DM17+Foglio1!$DD17+Foglio1!$DO17+Foglio1!$DL17+Foglio1!$DN17+Foglio1!$DQ17+Foglio1!$DP17+Foglio1!$DT17+Foglio1!$DI17+Foglio1!$DK17+Foglio1!$DU17)</f>
        <v>3</v>
      </c>
      <c r="EI17" s="4">
        <f>(Foglio1!$EA17+Foglio1!$EB17+Foglio1!$EE17+Foglio1!$EC17+Foglio1!$ED17+Foglio1!$DZ17+Foglio1!$DY17)</f>
        <v>3</v>
      </c>
      <c r="EJ17" s="4">
        <f>(Foglio1!$DW17+Foglio1!$DV17+Foglio1!$DX17)</f>
        <v>2</v>
      </c>
      <c r="EK17" s="4">
        <f>(Foglio1!$EG17+Foglio1!$EF17)</f>
        <v>1</v>
      </c>
      <c r="EL17" s="4">
        <v>1</v>
      </c>
      <c r="EM17" s="4">
        <v>1</v>
      </c>
      <c r="EN17" s="4">
        <v>1</v>
      </c>
      <c r="EO17" s="4">
        <v>0</v>
      </c>
      <c r="EP17" s="4">
        <f t="array" ref="EP17">SUM(EL17:EO17/4)</f>
        <v>0.75</v>
      </c>
      <c r="EQ17" s="4">
        <v>0</v>
      </c>
      <c r="ER17" s="4">
        <v>0</v>
      </c>
      <c r="ES17" s="4">
        <v>1</v>
      </c>
      <c r="ET17" s="4">
        <v>0</v>
      </c>
      <c r="EU17" s="4" t="s">
        <v>832</v>
      </c>
      <c r="EV17" s="4">
        <v>0</v>
      </c>
      <c r="EW17" s="4" t="s">
        <v>833</v>
      </c>
      <c r="EX17" s="4">
        <v>0</v>
      </c>
      <c r="EY17" s="4">
        <f>(Foglio1!$EQ17+Foglio1!$ER17+Foglio1!$ES17+Foglio1!$ET17+Foglio1!$EV17+Foglio1!$EX17)/6</f>
        <v>0.16666666666666666</v>
      </c>
      <c r="EZ17" s="4">
        <v>0</v>
      </c>
      <c r="FA17" s="4">
        <v>0</v>
      </c>
      <c r="FB17" s="4">
        <v>1</v>
      </c>
      <c r="FC17" s="4">
        <f>(Foglio1!$EZ17+Foglio1!$FA17+Foglio1!$FB17)/3</f>
        <v>0.33333333333333331</v>
      </c>
      <c r="FD17" s="4">
        <v>1</v>
      </c>
      <c r="FE17" s="4">
        <v>1</v>
      </c>
      <c r="FF17" s="4">
        <f>(Foglio1!$FD17+Foglio1!$FE17)/2</f>
        <v>1</v>
      </c>
      <c r="FG17" s="4" t="s">
        <v>834</v>
      </c>
      <c r="FH17" s="4">
        <v>1</v>
      </c>
      <c r="FI17" s="4" t="s">
        <v>835</v>
      </c>
      <c r="FJ17" s="4">
        <v>0</v>
      </c>
      <c r="FK17" s="4" t="s">
        <v>836</v>
      </c>
      <c r="FL17" s="4">
        <v>0</v>
      </c>
      <c r="FM17" s="4">
        <f>(Foglio1!$FH17+Foglio1!$FJ17+Foglio1!$FL17)/3</f>
        <v>0.33333333333333331</v>
      </c>
      <c r="FN17" s="4">
        <f>(Foglio1!$EP17)</f>
        <v>0.75</v>
      </c>
      <c r="FO17" s="4">
        <f>(Foglio1!$EY17+Foglio1!$FC17+Foglio1!$FF17+Foglio1!$FM17)/4</f>
        <v>0.45833333333333331</v>
      </c>
      <c r="FP17" s="4">
        <f>(Foglio1!$EP17+Foglio1!$EY17+Foglio1!$FC17+Foglio1!$FF17+Foglio1!$FM17)/5</f>
        <v>0.51666666666666672</v>
      </c>
      <c r="FQ17" s="4" t="s">
        <v>359</v>
      </c>
      <c r="FR17" s="4" t="s">
        <v>356</v>
      </c>
      <c r="FS17" s="4" t="s">
        <v>356</v>
      </c>
      <c r="FT17" s="4" t="s">
        <v>356</v>
      </c>
      <c r="FU17" s="4" t="s">
        <v>356</v>
      </c>
      <c r="FV17" s="4" t="s">
        <v>356</v>
      </c>
      <c r="FW17" s="4" t="s">
        <v>356</v>
      </c>
      <c r="FX17" s="4" t="s">
        <v>356</v>
      </c>
      <c r="FY17" s="4" t="s">
        <v>356</v>
      </c>
      <c r="FZ17" s="4" t="s">
        <v>356</v>
      </c>
      <c r="GA17" s="4" t="s">
        <v>356</v>
      </c>
      <c r="GB17" s="4" t="s">
        <v>356</v>
      </c>
      <c r="GC17" s="4" t="s">
        <v>356</v>
      </c>
      <c r="GD17" s="4" t="s">
        <v>356</v>
      </c>
      <c r="GE17" s="4" t="s">
        <v>356</v>
      </c>
      <c r="GF17" s="4" t="s">
        <v>356</v>
      </c>
      <c r="GG17" s="4" t="s">
        <v>356</v>
      </c>
      <c r="GH17" s="4" t="s">
        <v>356</v>
      </c>
      <c r="GI17" s="4" t="s">
        <v>356</v>
      </c>
      <c r="GJ17" s="4" t="s">
        <v>356</v>
      </c>
      <c r="GK17" s="4" t="s">
        <v>356</v>
      </c>
      <c r="GL17" s="4" t="s">
        <v>356</v>
      </c>
      <c r="GM17" s="4" t="s">
        <v>356</v>
      </c>
      <c r="GN17" s="4" t="s">
        <v>356</v>
      </c>
      <c r="GO17" s="4" t="s">
        <v>356</v>
      </c>
      <c r="GP17" s="4" t="s">
        <v>356</v>
      </c>
      <c r="GQ17" s="4" t="s">
        <v>356</v>
      </c>
      <c r="GR17" s="4" t="s">
        <v>356</v>
      </c>
      <c r="GS17" s="4" t="s">
        <v>356</v>
      </c>
      <c r="GT17" s="4" t="s">
        <v>356</v>
      </c>
      <c r="GU17" s="4" t="s">
        <v>356</v>
      </c>
      <c r="GV17" s="4" t="s">
        <v>356</v>
      </c>
      <c r="GW17" s="4" t="s">
        <v>356</v>
      </c>
      <c r="GX17" s="4" t="s">
        <v>356</v>
      </c>
      <c r="GY17" s="4" t="s">
        <v>356</v>
      </c>
      <c r="GZ17" s="4" t="s">
        <v>356</v>
      </c>
      <c r="HA17" s="4" t="s">
        <v>356</v>
      </c>
      <c r="HB17" s="4" t="s">
        <v>356</v>
      </c>
      <c r="HC17" s="4" t="s">
        <v>356</v>
      </c>
      <c r="HD17" s="4" t="s">
        <v>356</v>
      </c>
      <c r="HE17" s="4" t="s">
        <v>356</v>
      </c>
      <c r="HF17" s="4" t="s">
        <v>356</v>
      </c>
      <c r="HG17" s="4" t="s">
        <v>356</v>
      </c>
      <c r="HH17" s="4" t="s">
        <v>356</v>
      </c>
      <c r="HI17" s="4" t="s">
        <v>356</v>
      </c>
      <c r="HJ17" s="4" t="s">
        <v>356</v>
      </c>
      <c r="HK17" s="4" t="s">
        <v>356</v>
      </c>
      <c r="HL17" s="4" t="s">
        <v>356</v>
      </c>
      <c r="HM17" s="4" t="s">
        <v>356</v>
      </c>
      <c r="HN17" s="4" t="s">
        <v>356</v>
      </c>
      <c r="HO17" s="4" t="s">
        <v>356</v>
      </c>
      <c r="HP17" s="4" t="s">
        <v>356</v>
      </c>
      <c r="HQ17" s="4" t="s">
        <v>356</v>
      </c>
      <c r="HR17" s="4" t="s">
        <v>356</v>
      </c>
      <c r="HS17" s="4" t="s">
        <v>356</v>
      </c>
      <c r="HT17" s="4" t="s">
        <v>356</v>
      </c>
      <c r="HU17" s="4" t="s">
        <v>356</v>
      </c>
      <c r="HV17" s="4" t="s">
        <v>356</v>
      </c>
      <c r="HW17" s="4" t="s">
        <v>356</v>
      </c>
      <c r="HX17" s="4" t="s">
        <v>356</v>
      </c>
      <c r="HY17" s="4" t="s">
        <v>356</v>
      </c>
      <c r="HZ17" s="4" t="s">
        <v>356</v>
      </c>
      <c r="IA17" s="4" t="s">
        <v>356</v>
      </c>
      <c r="IB17" s="4" t="s">
        <v>356</v>
      </c>
      <c r="IC17" s="4" t="s">
        <v>356</v>
      </c>
      <c r="ID17" s="4" t="s">
        <v>356</v>
      </c>
      <c r="IE17" s="4" t="s">
        <v>356</v>
      </c>
      <c r="IF17" s="4" t="s">
        <v>356</v>
      </c>
      <c r="IG17" s="4" t="s">
        <v>356</v>
      </c>
      <c r="IH17" s="4" t="s">
        <v>356</v>
      </c>
      <c r="II17" s="4" t="s">
        <v>356</v>
      </c>
      <c r="IJ17" s="4" t="s">
        <v>356</v>
      </c>
      <c r="IK17" s="4" t="s">
        <v>356</v>
      </c>
      <c r="IL17" s="4" t="s">
        <v>356</v>
      </c>
      <c r="IM17" s="4" t="s">
        <v>356</v>
      </c>
      <c r="IN17" s="4" t="s">
        <v>356</v>
      </c>
      <c r="IO17" s="4" t="s">
        <v>356</v>
      </c>
      <c r="IP17" s="4" t="s">
        <v>356</v>
      </c>
      <c r="IQ17" s="4" t="s">
        <v>356</v>
      </c>
      <c r="IR17" s="4" t="s">
        <v>356</v>
      </c>
      <c r="IS17" s="4" t="s">
        <v>356</v>
      </c>
      <c r="IT17" s="4" t="s">
        <v>356</v>
      </c>
      <c r="IU17" s="4" t="s">
        <v>356</v>
      </c>
      <c r="IV17" s="4" t="s">
        <v>356</v>
      </c>
      <c r="IW17" s="4" t="s">
        <v>356</v>
      </c>
      <c r="IX17" s="4" t="s">
        <v>356</v>
      </c>
      <c r="IY17" s="4" t="s">
        <v>356</v>
      </c>
      <c r="IZ17" s="4" t="s">
        <v>356</v>
      </c>
      <c r="JA17" s="4" t="s">
        <v>356</v>
      </c>
      <c r="JB17" s="4" t="s">
        <v>356</v>
      </c>
      <c r="JC17" s="4" t="s">
        <v>356</v>
      </c>
      <c r="JD17" s="4" t="s">
        <v>356</v>
      </c>
      <c r="JE17" s="4" t="s">
        <v>356</v>
      </c>
      <c r="JF17" s="4" t="s">
        <v>356</v>
      </c>
      <c r="JG17" s="4" t="s">
        <v>356</v>
      </c>
      <c r="JH17" s="4" t="s">
        <v>356</v>
      </c>
      <c r="JI17" s="4" t="s">
        <v>356</v>
      </c>
      <c r="JJ17" s="4" t="s">
        <v>356</v>
      </c>
      <c r="JK17" s="4" t="s">
        <v>356</v>
      </c>
      <c r="JL17" s="4" t="s">
        <v>356</v>
      </c>
      <c r="JM17" s="4" t="s">
        <v>356</v>
      </c>
      <c r="JN17" s="4" t="s">
        <v>356</v>
      </c>
      <c r="JO17" s="4" t="s">
        <v>356</v>
      </c>
      <c r="JP17" s="4" t="s">
        <v>356</v>
      </c>
      <c r="JQ17" s="4" t="s">
        <v>356</v>
      </c>
      <c r="JR17" s="4" t="s">
        <v>356</v>
      </c>
      <c r="JS17" s="4" t="s">
        <v>356</v>
      </c>
      <c r="JT17" s="4" t="s">
        <v>356</v>
      </c>
      <c r="JU17" s="4" t="s">
        <v>356</v>
      </c>
      <c r="JV17" s="4" t="s">
        <v>356</v>
      </c>
      <c r="JW17" s="4" t="s">
        <v>356</v>
      </c>
      <c r="JX17" s="4" t="s">
        <v>356</v>
      </c>
      <c r="JY17" s="4" t="s">
        <v>356</v>
      </c>
      <c r="JZ17" s="4" t="s">
        <v>356</v>
      </c>
      <c r="KA17" s="4" t="str">
        <f>(Foglio1!$JC17)</f>
        <v>BBB</v>
      </c>
      <c r="KB17" s="4" t="s">
        <v>356</v>
      </c>
      <c r="KC17" s="4" t="s">
        <v>356</v>
      </c>
      <c r="KD17" s="4" t="s">
        <v>356</v>
      </c>
      <c r="KE17" s="4" t="s">
        <v>356</v>
      </c>
      <c r="KF17" s="4" t="s">
        <v>356</v>
      </c>
      <c r="KG17" s="4" t="s">
        <v>356</v>
      </c>
      <c r="KH17" s="4" t="s">
        <v>356</v>
      </c>
      <c r="KI17" s="4" t="s">
        <v>356</v>
      </c>
      <c r="KJ17" s="4" t="s">
        <v>356</v>
      </c>
      <c r="KK17" s="4" t="s">
        <v>356</v>
      </c>
      <c r="KL17" s="4" t="s">
        <v>356</v>
      </c>
      <c r="KM17" s="4" t="s">
        <v>356</v>
      </c>
      <c r="KN17" s="4" t="s">
        <v>356</v>
      </c>
      <c r="KO17" s="4" t="s">
        <v>356</v>
      </c>
      <c r="KP17" s="4" t="s">
        <v>356</v>
      </c>
      <c r="KQ17" s="4" t="s">
        <v>356</v>
      </c>
      <c r="KR17" s="4" t="s">
        <v>356</v>
      </c>
      <c r="KS17" s="4" t="s">
        <v>356</v>
      </c>
      <c r="KT17" s="4" t="s">
        <v>356</v>
      </c>
      <c r="KU17" s="4" t="s">
        <v>356</v>
      </c>
      <c r="KV17" s="4" t="s">
        <v>356</v>
      </c>
      <c r="KW17" s="4" t="s">
        <v>356</v>
      </c>
      <c r="KX17" s="4" t="s">
        <v>356</v>
      </c>
      <c r="KY17" s="4" t="s">
        <v>356</v>
      </c>
      <c r="KZ17" s="4" t="s">
        <v>356</v>
      </c>
      <c r="LA17" s="4" t="s">
        <v>356</v>
      </c>
      <c r="LB17" s="4" t="s">
        <v>356</v>
      </c>
      <c r="LC17" s="4" t="s">
        <v>356</v>
      </c>
      <c r="LD17" s="4" t="s">
        <v>356</v>
      </c>
      <c r="LE17" s="4" t="s">
        <v>356</v>
      </c>
      <c r="LF17" s="4" t="s">
        <v>356</v>
      </c>
      <c r="LG17" s="4" t="s">
        <v>356</v>
      </c>
      <c r="LH17" s="4" t="s">
        <v>356</v>
      </c>
      <c r="LI17" s="4" t="s">
        <v>356</v>
      </c>
      <c r="LJ17" s="4" t="s">
        <v>356</v>
      </c>
      <c r="LK17" s="4" t="s">
        <v>356</v>
      </c>
      <c r="LL17" s="4" t="s">
        <v>356</v>
      </c>
      <c r="LM17" s="4" t="s">
        <v>356</v>
      </c>
      <c r="LN17" s="4" t="s">
        <v>356</v>
      </c>
      <c r="LO17" s="4" t="s">
        <v>356</v>
      </c>
      <c r="LP17" s="4" t="s">
        <v>356</v>
      </c>
      <c r="LQ17" s="4" t="s">
        <v>356</v>
      </c>
      <c r="LR17" s="4" t="s">
        <v>356</v>
      </c>
      <c r="LS17" s="4" t="s">
        <v>356</v>
      </c>
      <c r="LT17" s="4" t="s">
        <v>356</v>
      </c>
      <c r="LU17" s="4" t="s">
        <v>356</v>
      </c>
      <c r="LV17" s="4" t="s">
        <v>356</v>
      </c>
      <c r="LW17" s="4" t="s">
        <v>356</v>
      </c>
      <c r="LX17" s="4" t="s">
        <v>356</v>
      </c>
      <c r="LY17" s="4" t="s">
        <v>356</v>
      </c>
      <c r="LZ17" s="3">
        <v>0</v>
      </c>
      <c r="MA17" s="3">
        <v>1</v>
      </c>
      <c r="MB17" s="3">
        <v>1</v>
      </c>
      <c r="MC17" s="3">
        <v>0</v>
      </c>
      <c r="MD17" s="3">
        <f t="shared" si="7"/>
        <v>2</v>
      </c>
      <c r="ME17" s="3">
        <v>0</v>
      </c>
      <c r="MF17" s="3">
        <v>0</v>
      </c>
      <c r="MG17" s="3">
        <v>0</v>
      </c>
      <c r="MH17" s="3">
        <v>0</v>
      </c>
      <c r="MI17" s="3">
        <f t="shared" si="8"/>
        <v>0</v>
      </c>
    </row>
    <row r="18" spans="1:347" ht="15.75" customHeight="1" x14ac:dyDescent="0.25">
      <c r="A18" s="4" t="s">
        <v>837</v>
      </c>
      <c r="B18" s="4">
        <v>48</v>
      </c>
      <c r="C18" s="4" t="s">
        <v>403</v>
      </c>
      <c r="D18" s="4">
        <v>13</v>
      </c>
      <c r="E18" s="4">
        <v>0</v>
      </c>
      <c r="F18" s="4" t="s">
        <v>350</v>
      </c>
      <c r="G18" s="4" t="s">
        <v>356</v>
      </c>
      <c r="H18" s="4" t="s">
        <v>838</v>
      </c>
      <c r="I18" s="4" t="s">
        <v>839</v>
      </c>
      <c r="J18" s="4"/>
      <c r="K18" s="4"/>
      <c r="L18" s="5" t="s">
        <v>356</v>
      </c>
      <c r="M18" s="4" t="s">
        <v>449</v>
      </c>
      <c r="N18" s="4" t="s">
        <v>840</v>
      </c>
      <c r="O18" s="9">
        <v>45569</v>
      </c>
      <c r="P18" s="6">
        <v>45587</v>
      </c>
      <c r="Q18" s="4" t="s">
        <v>841</v>
      </c>
      <c r="R18" s="4"/>
      <c r="S18" s="4"/>
      <c r="T18" s="4"/>
      <c r="U18" s="4"/>
      <c r="V18" s="4"/>
      <c r="W18" s="4"/>
      <c r="X18" s="4"/>
      <c r="Y18" s="4"/>
      <c r="Z18" s="4"/>
      <c r="AA18" s="4"/>
      <c r="AB18" s="4"/>
      <c r="AC18" s="4"/>
      <c r="AD18" s="4"/>
      <c r="AE18" s="4"/>
      <c r="AF18" s="4"/>
      <c r="AG18" s="4"/>
      <c r="AH18" s="4" t="s">
        <v>842</v>
      </c>
      <c r="AI18" s="4" t="s">
        <v>843</v>
      </c>
      <c r="AJ18" s="4" t="s">
        <v>844</v>
      </c>
      <c r="AK18" s="4" t="s">
        <v>845</v>
      </c>
      <c r="AL18" s="4" t="s">
        <v>846</v>
      </c>
      <c r="AM18" s="4" t="s">
        <v>847</v>
      </c>
      <c r="AN18" s="5" t="s">
        <v>356</v>
      </c>
      <c r="AO18" s="5" t="s">
        <v>356</v>
      </c>
      <c r="AP18" s="5" t="s">
        <v>356</v>
      </c>
      <c r="AQ18" s="5" t="s">
        <v>356</v>
      </c>
      <c r="AR18" s="5" t="s">
        <v>356</v>
      </c>
      <c r="AS18" s="5" t="s">
        <v>356</v>
      </c>
      <c r="AT18" s="5" t="s">
        <v>356</v>
      </c>
      <c r="AU18" s="5" t="s">
        <v>356</v>
      </c>
      <c r="AV18" s="5" t="s">
        <v>356</v>
      </c>
      <c r="AW18" s="5" t="s">
        <v>356</v>
      </c>
      <c r="AX18" s="4">
        <v>3</v>
      </c>
      <c r="AY18" s="4"/>
      <c r="AZ18" s="4" t="s">
        <v>360</v>
      </c>
      <c r="BA18" s="4">
        <f t="shared" si="9"/>
        <v>18</v>
      </c>
      <c r="BB18" s="4"/>
      <c r="BC18" s="4"/>
      <c r="BD18" s="4"/>
      <c r="BE18" s="4"/>
      <c r="BF18" s="4"/>
      <c r="BG18" s="6">
        <v>45573</v>
      </c>
      <c r="BH18" s="4" t="s">
        <v>356</v>
      </c>
      <c r="BI18" s="4" t="s">
        <v>356</v>
      </c>
      <c r="BJ18" s="4" t="s">
        <v>356</v>
      </c>
      <c r="BK18" s="4" t="s">
        <v>356</v>
      </c>
      <c r="BL18" s="4" t="s">
        <v>356</v>
      </c>
      <c r="BM18" s="4" t="s">
        <v>356</v>
      </c>
      <c r="BN18" s="4" t="s">
        <v>356</v>
      </c>
      <c r="BO18" s="4" t="s">
        <v>356</v>
      </c>
      <c r="BP18" s="4">
        <v>3</v>
      </c>
      <c r="BQ18" s="4">
        <v>0</v>
      </c>
      <c r="BR18" s="4">
        <v>0</v>
      </c>
      <c r="BS18" s="4">
        <v>50</v>
      </c>
      <c r="BT18" s="4">
        <v>1</v>
      </c>
      <c r="BU18" s="4">
        <v>1</v>
      </c>
      <c r="BV18" s="4">
        <v>1</v>
      </c>
      <c r="BW18" s="4">
        <v>1</v>
      </c>
      <c r="BX18" s="4">
        <v>1</v>
      </c>
      <c r="BY18" s="4">
        <v>1</v>
      </c>
      <c r="BZ18" s="4">
        <v>1</v>
      </c>
      <c r="CA18" s="4">
        <v>4</v>
      </c>
      <c r="CB18" s="4">
        <v>4</v>
      </c>
      <c r="CC18" s="4">
        <v>1</v>
      </c>
      <c r="CD18" s="4">
        <v>5</v>
      </c>
      <c r="CE18" s="4">
        <v>1</v>
      </c>
      <c r="CF18" s="4">
        <v>1</v>
      </c>
      <c r="CG18" s="4">
        <v>1</v>
      </c>
      <c r="CH18" s="4">
        <v>1</v>
      </c>
      <c r="CI18" s="4">
        <v>4</v>
      </c>
      <c r="CJ18" s="4">
        <v>2</v>
      </c>
      <c r="CK18" s="4">
        <v>1</v>
      </c>
      <c r="CL18" s="4">
        <v>1</v>
      </c>
      <c r="CM18" s="4">
        <v>3</v>
      </c>
      <c r="CN18" s="4">
        <v>1</v>
      </c>
      <c r="CO18" s="4">
        <v>1</v>
      </c>
      <c r="CP18" s="4">
        <v>1</v>
      </c>
      <c r="CQ18" s="4">
        <v>1</v>
      </c>
      <c r="CR18" s="4">
        <v>1</v>
      </c>
      <c r="CS18" s="4">
        <v>1</v>
      </c>
      <c r="CT18" s="4">
        <v>1</v>
      </c>
      <c r="CU18" s="4">
        <v>1</v>
      </c>
      <c r="CV18" s="4">
        <v>3</v>
      </c>
      <c r="CW18" s="4">
        <v>1</v>
      </c>
      <c r="CX18" s="4">
        <f>SUM(Foglio1!$BT18:$CW18)</f>
        <v>48</v>
      </c>
      <c r="CY18" s="4">
        <f>SUM(Foglio1!$BT18+Foglio1!$BV18+Foglio1!$CP18+Foglio1!$BY18+Foglio1!$BX18+Foglio1!$CH18+Foglio1!$CS18+Foglio1!$CW18-Foglio1!$CE18)</f>
        <v>7</v>
      </c>
      <c r="CZ18" s="4">
        <f>SUM(Foglio1!$CF18+Foglio1!$CA18+Foglio1!$CB18+Foglio1!$CD18+Foglio1!$CN18+Foglio1!$CC18+Foglio1!$CW18+Foglio1!$CO18+Foglio1!$CT18-Foglio1!$BU18)</f>
        <v>18</v>
      </c>
      <c r="DA18" s="4">
        <f>SUM(Foglio1!$CG18+Foglio1!$CR18+Foglio1!$CQ18+Foglio1!$BU18+Foglio1!$CE18+Foglio1!$CL18+Foglio1!$CS18+Foglio1!$CT18+Foglio1!$CV18+Foglio1!$CP18)</f>
        <v>12</v>
      </c>
      <c r="DB18" s="4">
        <f>SUM(Foglio1!$CU18+Foglio1!$BW18+Foglio1!$BZ18+Foglio1!$CO18+Foglio1!$BX18+Foglio1!$CC18+Foglio1!$CK18+Foglio1!$CW18)</f>
        <v>8</v>
      </c>
      <c r="DC18" s="4">
        <f>SUM(Foglio1!$CI18+Foglio1!$CM18+Foglio1!$CJ18+Foglio1!$CK18+Foglio1!$BY18+Foglio1!$CH18+Foglio1!$CV18+Foglio1!$CW18)</f>
        <v>16</v>
      </c>
      <c r="DD18" s="4">
        <v>2</v>
      </c>
      <c r="DE18" s="4">
        <v>0</v>
      </c>
      <c r="DF18" s="4">
        <v>0</v>
      </c>
      <c r="DG18" s="4">
        <v>0</v>
      </c>
      <c r="DH18" s="4">
        <v>0</v>
      </c>
      <c r="DI18" s="4">
        <v>0</v>
      </c>
      <c r="DJ18" s="4">
        <v>0</v>
      </c>
      <c r="DK18" s="4">
        <v>0</v>
      </c>
      <c r="DL18" s="4">
        <v>0</v>
      </c>
      <c r="DM18" s="4">
        <v>0</v>
      </c>
      <c r="DN18" s="4">
        <v>0</v>
      </c>
      <c r="DO18" s="4">
        <v>0</v>
      </c>
      <c r="DP18" s="4">
        <v>0</v>
      </c>
      <c r="DQ18" s="4">
        <v>0</v>
      </c>
      <c r="DR18" s="4">
        <v>0</v>
      </c>
      <c r="DS18" s="4">
        <v>0</v>
      </c>
      <c r="DT18" s="4">
        <v>0</v>
      </c>
      <c r="DU18" s="4">
        <v>0</v>
      </c>
      <c r="DV18" s="4">
        <v>0</v>
      </c>
      <c r="DW18" s="4">
        <v>0</v>
      </c>
      <c r="DX18" s="4">
        <v>2</v>
      </c>
      <c r="DY18" s="4">
        <v>3</v>
      </c>
      <c r="DZ18" s="4">
        <v>1</v>
      </c>
      <c r="EA18" s="4">
        <v>1</v>
      </c>
      <c r="EB18" s="4">
        <v>4</v>
      </c>
      <c r="EC18" s="4">
        <v>2</v>
      </c>
      <c r="ED18" s="4">
        <v>0</v>
      </c>
      <c r="EE18" s="4">
        <v>2</v>
      </c>
      <c r="EF18" s="4">
        <v>3</v>
      </c>
      <c r="EG18" s="4">
        <v>0</v>
      </c>
      <c r="EH18" s="4">
        <f>(Foglio1!$DE18+Foglio1!$DH18+Foglio1!$DG18+Foglio1!$DF18+Foglio1!$DM18+Foglio1!$DD18+Foglio1!$DO18+Foglio1!$DL18+Foglio1!$DN18+Foglio1!$DQ18+Foglio1!$DP18+Foglio1!$DT18+Foglio1!$DI18+Foglio1!$DK18+Foglio1!$DU18)</f>
        <v>2</v>
      </c>
      <c r="EI18" s="4">
        <f>(Foglio1!$EA18+Foglio1!$EB18+Foglio1!$EE18+Foglio1!$EC18+Foglio1!$ED18+Foglio1!$DZ18+Foglio1!$DY18)</f>
        <v>13</v>
      </c>
      <c r="EJ18" s="4">
        <f>(Foglio1!$DW18+Foglio1!$DV18+Foglio1!$DX18)</f>
        <v>2</v>
      </c>
      <c r="EK18" s="4">
        <f>(Foglio1!$EG18+Foglio1!$EF18)</f>
        <v>3</v>
      </c>
      <c r="EL18" s="4">
        <v>1</v>
      </c>
      <c r="EM18" s="4">
        <v>1</v>
      </c>
      <c r="EN18" s="4">
        <v>1</v>
      </c>
      <c r="EO18" s="4">
        <v>1</v>
      </c>
      <c r="EP18" s="4">
        <f t="array" ref="EP18">SUM(EL18:EO18/4)</f>
        <v>1</v>
      </c>
      <c r="EQ18" s="4">
        <v>1</v>
      </c>
      <c r="ER18" s="4">
        <v>0</v>
      </c>
      <c r="ES18" s="4">
        <v>0</v>
      </c>
      <c r="ET18" s="4">
        <v>0</v>
      </c>
      <c r="EU18" s="4" t="s">
        <v>848</v>
      </c>
      <c r="EV18" s="4">
        <v>1</v>
      </c>
      <c r="EW18" s="4" t="s">
        <v>849</v>
      </c>
      <c r="EX18" s="4">
        <v>0</v>
      </c>
      <c r="EY18" s="4">
        <f>(Foglio1!$EQ18+Foglio1!$ER18+Foglio1!$ES18+Foglio1!$ET18+Foglio1!$EV18+Foglio1!$EX18)/6</f>
        <v>0.33333333333333331</v>
      </c>
      <c r="EZ18" s="4">
        <v>1</v>
      </c>
      <c r="FA18" s="4">
        <v>1</v>
      </c>
      <c r="FB18" s="4">
        <v>1</v>
      </c>
      <c r="FC18" s="4">
        <f>(Foglio1!$EZ18+Foglio1!$FA18+Foglio1!$FB18)/3</f>
        <v>1</v>
      </c>
      <c r="FD18" s="4">
        <v>1</v>
      </c>
      <c r="FE18" s="4">
        <v>0</v>
      </c>
      <c r="FF18" s="4">
        <f>(Foglio1!$FD18+Foglio1!$FE18)/2</f>
        <v>0.5</v>
      </c>
      <c r="FG18" s="4" t="s">
        <v>850</v>
      </c>
      <c r="FH18" s="4">
        <v>1</v>
      </c>
      <c r="FI18" s="4" t="s">
        <v>851</v>
      </c>
      <c r="FJ18" s="4">
        <v>0</v>
      </c>
      <c r="FK18" s="4" t="s">
        <v>852</v>
      </c>
      <c r="FL18" s="4">
        <v>0</v>
      </c>
      <c r="FM18" s="4">
        <f>(Foglio1!$FH18+Foglio1!$FJ18+Foglio1!$FL18)/3</f>
        <v>0.33333333333333331</v>
      </c>
      <c r="FN18" s="4">
        <f>(Foglio1!$EP18)</f>
        <v>1</v>
      </c>
      <c r="FO18" s="4">
        <f>(Foglio1!$EY18+Foglio1!$FC18+Foglio1!$FF18+Foglio1!$FM18)/4</f>
        <v>0.54166666666666663</v>
      </c>
      <c r="FP18" s="4">
        <f>(Foglio1!$EP18+Foglio1!$EY18+Foglio1!$FC18+Foglio1!$FF18+Foglio1!$FM18)/5</f>
        <v>0.6333333333333333</v>
      </c>
      <c r="FQ18" s="6">
        <v>45581</v>
      </c>
      <c r="FR18" s="4" t="s">
        <v>356</v>
      </c>
      <c r="FS18" s="4" t="s">
        <v>356</v>
      </c>
      <c r="FT18" s="4" t="s">
        <v>356</v>
      </c>
      <c r="FU18" s="4" t="s">
        <v>356</v>
      </c>
      <c r="FV18" s="4" t="s">
        <v>356</v>
      </c>
      <c r="FW18" s="4" t="s">
        <v>356</v>
      </c>
      <c r="FX18" s="4" t="s">
        <v>356</v>
      </c>
      <c r="FY18" s="4">
        <v>2</v>
      </c>
      <c r="FZ18" s="4">
        <v>2</v>
      </c>
      <c r="GA18" s="4">
        <v>2</v>
      </c>
      <c r="GB18" s="4">
        <v>70</v>
      </c>
      <c r="GC18" s="4">
        <v>0</v>
      </c>
      <c r="GD18" s="4">
        <v>0</v>
      </c>
      <c r="GE18" s="4">
        <v>1</v>
      </c>
      <c r="GF18" s="4">
        <v>0</v>
      </c>
      <c r="GG18" s="4">
        <v>0</v>
      </c>
      <c r="GH18" s="4">
        <v>1</v>
      </c>
      <c r="GI18" s="4">
        <v>0</v>
      </c>
      <c r="GJ18" s="4">
        <v>2</v>
      </c>
      <c r="GK18" s="4">
        <v>2</v>
      </c>
      <c r="GL18" s="4">
        <v>2</v>
      </c>
      <c r="GM18" s="4">
        <v>1</v>
      </c>
      <c r="GN18" s="4">
        <v>1</v>
      </c>
      <c r="GO18" s="4">
        <v>1</v>
      </c>
      <c r="GP18" s="4">
        <v>1</v>
      </c>
      <c r="GQ18" s="4">
        <v>3</v>
      </c>
      <c r="GR18" s="4">
        <v>3</v>
      </c>
      <c r="GS18" s="4">
        <v>3</v>
      </c>
      <c r="GT18" s="4">
        <v>3</v>
      </c>
      <c r="GU18" s="4">
        <v>0</v>
      </c>
      <c r="GV18" s="4">
        <v>2</v>
      </c>
      <c r="GW18" s="4">
        <v>0</v>
      </c>
      <c r="GX18" s="4">
        <v>0</v>
      </c>
      <c r="GY18" s="4">
        <v>1</v>
      </c>
      <c r="GZ18" s="4">
        <v>0</v>
      </c>
      <c r="HA18" s="4">
        <v>1</v>
      </c>
      <c r="HB18" s="4">
        <v>0</v>
      </c>
      <c r="HC18" s="4">
        <v>0</v>
      </c>
      <c r="HD18" s="4">
        <v>0</v>
      </c>
      <c r="HE18" s="4">
        <v>3</v>
      </c>
      <c r="HF18" s="4">
        <v>1</v>
      </c>
      <c r="HG18" s="4">
        <f t="shared" ref="HG18:HG33" si="24">SUM(GC18:HF18)</f>
        <v>32</v>
      </c>
      <c r="HH18" s="4">
        <f t="shared" ref="HH18:HH33" si="25">SUM(GC18+GE18+GY18+GH18+GG18+GQ18+HB18+HF18-GN18)</f>
        <v>6</v>
      </c>
      <c r="HI18" s="4">
        <f t="shared" ref="HI18:HI33" si="26">SUM(GO18+GJ18+GK18+GM18+GW18+GL18+HF18+GX18+HC18-GD18)</f>
        <v>9</v>
      </c>
      <c r="HJ18" s="4">
        <f t="shared" ref="HJ18:HJ33" si="27">SUM(GP18+HA18+GZ18+GD18+GN18+GU18+HB18+HC18+HE18+GY18)</f>
        <v>7</v>
      </c>
      <c r="HK18" s="4">
        <f t="shared" ref="HK18:HK33" si="28">SUM(HD18+GF18+GI18+GX18+GG18+GL18+GT18+HF18)</f>
        <v>6</v>
      </c>
      <c r="HL18" s="4">
        <f t="shared" ref="HL18:HL33" si="29">SUM(GR18+GV18+GS18+GT18+GH18+GQ18+HE18+HF18)</f>
        <v>19</v>
      </c>
      <c r="HM18" s="4">
        <v>0</v>
      </c>
      <c r="HN18" s="4">
        <v>0</v>
      </c>
      <c r="HO18" s="4">
        <v>0</v>
      </c>
      <c r="HP18" s="4">
        <v>0</v>
      </c>
      <c r="HQ18" s="4">
        <v>0</v>
      </c>
      <c r="HR18" s="4">
        <v>0</v>
      </c>
      <c r="HS18" s="4">
        <v>0</v>
      </c>
      <c r="HT18" s="4">
        <v>0</v>
      </c>
      <c r="HU18" s="4">
        <v>1</v>
      </c>
      <c r="HV18" s="4">
        <v>0</v>
      </c>
      <c r="HW18" s="4">
        <v>0</v>
      </c>
      <c r="HX18" s="4">
        <v>0</v>
      </c>
      <c r="HY18" s="4">
        <v>0</v>
      </c>
      <c r="HZ18" s="4">
        <v>0</v>
      </c>
      <c r="IA18" s="4">
        <v>0</v>
      </c>
      <c r="IB18" s="4">
        <v>0</v>
      </c>
      <c r="IC18" s="4">
        <v>0</v>
      </c>
      <c r="ID18" s="4">
        <v>0</v>
      </c>
      <c r="IE18" s="4">
        <v>0</v>
      </c>
      <c r="IF18" s="4">
        <v>1</v>
      </c>
      <c r="IG18" s="4">
        <v>0</v>
      </c>
      <c r="IH18" s="4">
        <v>0</v>
      </c>
      <c r="II18" s="4">
        <v>2</v>
      </c>
      <c r="IJ18" s="4">
        <v>1</v>
      </c>
      <c r="IK18" s="4">
        <v>0</v>
      </c>
      <c r="IL18" s="4">
        <v>0</v>
      </c>
      <c r="IM18" s="4">
        <v>0</v>
      </c>
      <c r="IN18" s="4">
        <v>2</v>
      </c>
      <c r="IO18" s="4">
        <v>3</v>
      </c>
      <c r="IP18" s="4">
        <v>2</v>
      </c>
      <c r="IQ18" s="4">
        <f t="shared" ref="IQ18:IQ21" si="30">SUM(HN18+HQ18+HP18+HO18+HV18+HM18+HX18+HU18+HW18+HZ18+HY18+IC18+HR18+HT18+ID18)</f>
        <v>1</v>
      </c>
      <c r="IR18" s="4">
        <f t="shared" ref="IR18:IR21" si="31">SUM(IJ18+IK18+IN18+IL18+IM18+II18+IH18)</f>
        <v>5</v>
      </c>
      <c r="IS18" s="4">
        <f t="shared" ref="IS18:IS21" si="32">SUM(IF18+IE18+IG18)</f>
        <v>1</v>
      </c>
      <c r="IT18" s="4">
        <f t="shared" ref="IT18:IT21" si="33">SUM(IP18+IO18)</f>
        <v>5</v>
      </c>
      <c r="IU18" s="4" t="s">
        <v>383</v>
      </c>
      <c r="IV18" s="4" t="s">
        <v>383</v>
      </c>
      <c r="IW18" s="4" t="s">
        <v>383</v>
      </c>
      <c r="IX18" s="4" t="s">
        <v>383</v>
      </c>
      <c r="IY18" s="4">
        <v>1</v>
      </c>
      <c r="IZ18" s="4">
        <v>0</v>
      </c>
      <c r="JA18" s="4">
        <v>1</v>
      </c>
      <c r="JB18" s="4">
        <v>1</v>
      </c>
      <c r="JC18" s="4">
        <f>(Foglio1!$IY18+Foglio1!$IZ18+Foglio1!$JA18+Foglio1!$JB18)/4</f>
        <v>0.75</v>
      </c>
      <c r="JD18" s="4">
        <v>1</v>
      </c>
      <c r="JE18" s="4">
        <v>1</v>
      </c>
      <c r="JF18" s="4">
        <v>1</v>
      </c>
      <c r="JG18" s="4">
        <v>0</v>
      </c>
      <c r="JH18" s="4" t="s">
        <v>853</v>
      </c>
      <c r="JI18" s="4">
        <v>0</v>
      </c>
      <c r="JJ18" s="4" t="s">
        <v>854</v>
      </c>
      <c r="JK18" s="4">
        <v>0</v>
      </c>
      <c r="JL18" s="4">
        <f>(Foglio1!$JD18+Foglio1!$JE18+Foglio1!$JF18+Foglio1!$JG18+Foglio1!$JI18+Foglio1!$JK18)/6</f>
        <v>0.5</v>
      </c>
      <c r="JM18" s="4">
        <v>1</v>
      </c>
      <c r="JN18" s="4">
        <v>1</v>
      </c>
      <c r="JO18" s="4">
        <v>1</v>
      </c>
      <c r="JP18" s="4">
        <f>(Foglio1!$JM18+Foglio1!$JN18+Foglio1!$JO18)/3</f>
        <v>1</v>
      </c>
      <c r="JQ18" s="4">
        <v>1</v>
      </c>
      <c r="JR18" s="4">
        <v>0</v>
      </c>
      <c r="JS18" s="4">
        <f>(Foglio1!$JQ18+Foglio1!$JR18)/2</f>
        <v>0.5</v>
      </c>
      <c r="JT18" s="4" t="s">
        <v>855</v>
      </c>
      <c r="JU18" s="4">
        <v>1</v>
      </c>
      <c r="JV18" s="4" t="s">
        <v>856</v>
      </c>
      <c r="JW18" s="4">
        <v>0</v>
      </c>
      <c r="JX18" s="4" t="s">
        <v>857</v>
      </c>
      <c r="JY18" s="4">
        <v>1</v>
      </c>
      <c r="JZ18" s="4">
        <f>(Foglio1!$JU18+Foglio1!$JW18+Foglio1!$JY18)/3</f>
        <v>0.66666666666666663</v>
      </c>
      <c r="KA18" s="4">
        <f>(Foglio1!$JC18)</f>
        <v>0.75</v>
      </c>
      <c r="KB18" s="4">
        <f>(Foglio1!$JL18+Foglio1!$JP18+Foglio1!$JS18+Foglio1!$JZ18)/4</f>
        <v>0.66666666666666663</v>
      </c>
      <c r="KC18" s="4">
        <f>(Foglio1!$JC18+Foglio1!$JL18+Foglio1!$JP18+Foglio1!$JS18+Foglio1!$JZ18)/5</f>
        <v>0.68333333333333335</v>
      </c>
      <c r="KD18" s="4" t="s">
        <v>858</v>
      </c>
      <c r="KE18" s="4">
        <v>1</v>
      </c>
      <c r="KF18" s="4">
        <v>2</v>
      </c>
      <c r="KG18" s="4" t="s">
        <v>859</v>
      </c>
      <c r="KH18" s="4">
        <v>1</v>
      </c>
      <c r="KI18" s="4">
        <v>2</v>
      </c>
      <c r="KJ18" s="4" t="s">
        <v>860</v>
      </c>
      <c r="KK18" s="4">
        <v>0</v>
      </c>
      <c r="KL18" s="4">
        <v>1</v>
      </c>
      <c r="KM18" s="4" t="s">
        <v>861</v>
      </c>
      <c r="KN18" s="4">
        <v>0</v>
      </c>
      <c r="KO18" s="4">
        <v>2</v>
      </c>
      <c r="KP18" s="4" t="s">
        <v>862</v>
      </c>
      <c r="KQ18" s="4">
        <v>2</v>
      </c>
      <c r="KR18" s="4">
        <v>3</v>
      </c>
      <c r="KS18" s="4" t="s">
        <v>863</v>
      </c>
      <c r="KT18" s="4">
        <v>2</v>
      </c>
      <c r="KU18" s="4">
        <v>1</v>
      </c>
      <c r="KV18" s="4" t="s">
        <v>864</v>
      </c>
      <c r="KW18" s="4">
        <v>2</v>
      </c>
      <c r="KX18" s="4">
        <v>1</v>
      </c>
      <c r="KY18" s="4" t="s">
        <v>865</v>
      </c>
      <c r="KZ18" s="4">
        <v>1</v>
      </c>
      <c r="LA18" s="4">
        <v>3</v>
      </c>
      <c r="LB18" s="4" t="s">
        <v>866</v>
      </c>
      <c r="LC18" s="4">
        <v>2</v>
      </c>
      <c r="LD18" s="4">
        <v>1</v>
      </c>
      <c r="LE18" s="4" t="s">
        <v>867</v>
      </c>
      <c r="LF18" s="4">
        <v>0</v>
      </c>
      <c r="LG18" s="4">
        <v>2</v>
      </c>
      <c r="LH18" s="4" t="s">
        <v>868</v>
      </c>
      <c r="LI18" s="4">
        <v>0</v>
      </c>
      <c r="LJ18" s="4">
        <v>1</v>
      </c>
      <c r="LK18" s="4" t="s">
        <v>869</v>
      </c>
      <c r="LL18" s="4">
        <v>2</v>
      </c>
      <c r="LM18" s="4">
        <v>3</v>
      </c>
      <c r="LN18" s="4" t="s">
        <v>870</v>
      </c>
      <c r="LO18" s="4">
        <v>2</v>
      </c>
      <c r="LP18" s="4">
        <v>1</v>
      </c>
      <c r="LQ18" s="4" t="s">
        <v>871</v>
      </c>
      <c r="LR18" s="4">
        <v>1</v>
      </c>
      <c r="LS18" s="4">
        <v>3</v>
      </c>
      <c r="LT18" s="4">
        <f>(Foglio1!$KE18+Foglio1!$KH18+Foglio1!$KK18+Foglio1!$KN18+Foglio1!$KQ18+Foglio1!$KT18+Foglio1!$KW18+Foglio1!$KZ18+Foglio1!$LC18+Foglio1!$LF18+Foglio1!$LI18+Foglio1!$LL18+Foglio1!$LO18+Foglio1!$LR18)</f>
        <v>16</v>
      </c>
      <c r="LU18" s="4">
        <f>(Foglio1!$KI18+Foglio1!$KF18+Foglio1!$KL18+Foglio1!$KO18+Foglio1!$KR18+Foglio1!$KU18+Foglio1!$KX18+Foglio1!$LA18+Foglio1!$LD18+Foglio1!$LG18+Foglio1!$LJ18+Foglio1!$LM18+Foglio1!$LP18+Foglio1!$LS18)</f>
        <v>26</v>
      </c>
      <c r="LV18" s="4">
        <v>27</v>
      </c>
      <c r="LW18" s="4">
        <v>43</v>
      </c>
      <c r="LX18" s="4">
        <v>21</v>
      </c>
      <c r="LY18" s="4">
        <v>23</v>
      </c>
      <c r="LZ18" s="3">
        <v>0</v>
      </c>
      <c r="MA18" s="3">
        <v>0</v>
      </c>
      <c r="MB18" s="3">
        <v>0</v>
      </c>
      <c r="MC18" s="3">
        <v>0</v>
      </c>
      <c r="MD18" s="3">
        <f t="shared" si="7"/>
        <v>0</v>
      </c>
      <c r="ME18" s="3">
        <v>0</v>
      </c>
      <c r="MF18" s="3">
        <v>0</v>
      </c>
      <c r="MG18" s="3">
        <v>0</v>
      </c>
      <c r="MH18" s="3">
        <v>0</v>
      </c>
      <c r="MI18" s="3">
        <f t="shared" si="8"/>
        <v>0</v>
      </c>
    </row>
    <row r="19" spans="1:347" ht="15.75" customHeight="1" x14ac:dyDescent="0.25">
      <c r="A19" s="4" t="s">
        <v>872</v>
      </c>
      <c r="B19" s="4">
        <v>51</v>
      </c>
      <c r="C19" s="4" t="s">
        <v>403</v>
      </c>
      <c r="D19" s="4">
        <v>13</v>
      </c>
      <c r="E19" s="4">
        <v>1</v>
      </c>
      <c r="F19" s="4" t="s">
        <v>350</v>
      </c>
      <c r="G19" s="4" t="s">
        <v>762</v>
      </c>
      <c r="H19" s="4" t="s">
        <v>873</v>
      </c>
      <c r="I19" s="4" t="s">
        <v>874</v>
      </c>
      <c r="J19" s="4"/>
      <c r="K19" s="4"/>
      <c r="L19" s="5" t="s">
        <v>356</v>
      </c>
      <c r="M19" s="4" t="s">
        <v>449</v>
      </c>
      <c r="N19" s="4" t="s">
        <v>875</v>
      </c>
      <c r="O19" s="9">
        <v>45562</v>
      </c>
      <c r="P19" s="6">
        <v>45588</v>
      </c>
      <c r="Q19" s="4" t="s">
        <v>876</v>
      </c>
      <c r="R19" s="4"/>
      <c r="S19" s="4"/>
      <c r="T19" s="4"/>
      <c r="U19" s="4"/>
      <c r="V19" s="4"/>
      <c r="W19" s="4"/>
      <c r="X19" s="4"/>
      <c r="Y19" s="4"/>
      <c r="Z19" s="4"/>
      <c r="AA19" s="4"/>
      <c r="AB19" s="4"/>
      <c r="AC19" s="4"/>
      <c r="AD19" s="4"/>
      <c r="AE19" s="4"/>
      <c r="AF19" s="4"/>
      <c r="AG19" s="4"/>
      <c r="AH19" s="4" t="s">
        <v>877</v>
      </c>
      <c r="AI19" s="4" t="s">
        <v>878</v>
      </c>
      <c r="AJ19" s="4" t="s">
        <v>408</v>
      </c>
      <c r="AK19" s="4" t="s">
        <v>879</v>
      </c>
      <c r="AL19" s="5" t="s">
        <v>356</v>
      </c>
      <c r="AM19" s="5" t="s">
        <v>356</v>
      </c>
      <c r="AN19" s="5" t="s">
        <v>356</v>
      </c>
      <c r="AO19" s="5" t="s">
        <v>356</v>
      </c>
      <c r="AP19" s="5" t="s">
        <v>356</v>
      </c>
      <c r="AQ19" s="5" t="s">
        <v>356</v>
      </c>
      <c r="AR19" s="5" t="s">
        <v>356</v>
      </c>
      <c r="AS19" s="5" t="s">
        <v>356</v>
      </c>
      <c r="AT19" s="5" t="s">
        <v>356</v>
      </c>
      <c r="AU19" s="5" t="s">
        <v>356</v>
      </c>
      <c r="AV19" s="5" t="s">
        <v>356</v>
      </c>
      <c r="AW19" s="5" t="s">
        <v>356</v>
      </c>
      <c r="AX19" s="4">
        <v>2</v>
      </c>
      <c r="AY19" s="4"/>
      <c r="AZ19" s="5" t="s">
        <v>383</v>
      </c>
      <c r="BA19" s="4">
        <f t="shared" si="9"/>
        <v>26</v>
      </c>
      <c r="BB19" s="4"/>
      <c r="BC19" s="4"/>
      <c r="BD19" s="4"/>
      <c r="BE19" s="4"/>
      <c r="BF19" s="4"/>
      <c r="BG19" s="6">
        <v>45565</v>
      </c>
      <c r="BH19" s="4">
        <v>4</v>
      </c>
      <c r="BI19" s="4">
        <v>3</v>
      </c>
      <c r="BJ19" s="4">
        <v>3</v>
      </c>
      <c r="BK19" s="4">
        <v>2</v>
      </c>
      <c r="BL19" s="4">
        <v>3</v>
      </c>
      <c r="BM19" s="4">
        <v>4</v>
      </c>
      <c r="BN19" s="4">
        <v>2</v>
      </c>
      <c r="BO19" s="4">
        <f>SUM(Foglio1!$BH19:$BM19)</f>
        <v>19</v>
      </c>
      <c r="BP19" s="4">
        <v>5</v>
      </c>
      <c r="BQ19" s="4">
        <v>1</v>
      </c>
      <c r="BR19" s="4">
        <v>13</v>
      </c>
      <c r="BS19" s="4">
        <v>25</v>
      </c>
      <c r="BT19" s="4">
        <v>5</v>
      </c>
      <c r="BU19" s="4">
        <v>1</v>
      </c>
      <c r="BV19" s="4">
        <v>1</v>
      </c>
      <c r="BW19" s="4">
        <v>1</v>
      </c>
      <c r="BX19" s="4">
        <v>1</v>
      </c>
      <c r="BY19" s="4">
        <v>3</v>
      </c>
      <c r="BZ19" s="4">
        <v>1</v>
      </c>
      <c r="CA19" s="4">
        <v>1</v>
      </c>
      <c r="CB19" s="4">
        <v>1</v>
      </c>
      <c r="CC19" s="4">
        <v>1</v>
      </c>
      <c r="CD19" s="4">
        <v>3</v>
      </c>
      <c r="CE19" s="4">
        <v>1</v>
      </c>
      <c r="CF19" s="4">
        <v>1</v>
      </c>
      <c r="CG19" s="4">
        <v>2</v>
      </c>
      <c r="CH19" s="4">
        <v>2</v>
      </c>
      <c r="CI19" s="4">
        <v>3</v>
      </c>
      <c r="CJ19" s="4">
        <v>2</v>
      </c>
      <c r="CK19" s="4">
        <v>3</v>
      </c>
      <c r="CL19" s="4">
        <v>1</v>
      </c>
      <c r="CM19" s="4">
        <v>3</v>
      </c>
      <c r="CN19" s="4">
        <v>1</v>
      </c>
      <c r="CO19" s="4">
        <v>1</v>
      </c>
      <c r="CP19" s="4">
        <v>3</v>
      </c>
      <c r="CQ19" s="4">
        <v>1</v>
      </c>
      <c r="CR19" s="4">
        <v>1</v>
      </c>
      <c r="CS19" s="4">
        <v>3</v>
      </c>
      <c r="CT19" s="4">
        <v>1</v>
      </c>
      <c r="CU19" s="4">
        <v>1</v>
      </c>
      <c r="CV19" s="4">
        <v>4</v>
      </c>
      <c r="CW19" s="4">
        <v>2</v>
      </c>
      <c r="CX19" s="4">
        <f>SUM(Foglio1!$BT19:$CW19)</f>
        <v>55</v>
      </c>
      <c r="CY19" s="4">
        <f>SUM(Foglio1!$BT19+Foglio1!$BV19+Foglio1!$CP19+Foglio1!$BY19+Foglio1!$BX19+Foglio1!$CH19+Foglio1!$CS19+Foglio1!$CW19-Foglio1!$CE19)</f>
        <v>19</v>
      </c>
      <c r="CZ19" s="4">
        <f>SUM(Foglio1!$CF19+Foglio1!$CA19+Foglio1!$CB19+Foglio1!$CD19+Foglio1!$CN19+Foglio1!$CC19+Foglio1!$CW19+Foglio1!$CO19+Foglio1!$CT19-Foglio1!$BU19)</f>
        <v>11</v>
      </c>
      <c r="DA19" s="4">
        <f>SUM(Foglio1!$CG19+Foglio1!$CR19+Foglio1!$CQ19+Foglio1!$BU19+Foglio1!$CE19+Foglio1!$CL19+Foglio1!$CS19+Foglio1!$CT19+Foglio1!$CV19+Foglio1!$CP19)</f>
        <v>18</v>
      </c>
      <c r="DB19" s="4">
        <f>SUM(Foglio1!$CU19+Foglio1!$BW19+Foglio1!$BZ19+Foglio1!$CO19+Foglio1!$BX19+Foglio1!$CC19+Foglio1!$CK19+Foglio1!$CW19)</f>
        <v>11</v>
      </c>
      <c r="DC19" s="4">
        <f>SUM(Foglio1!$CI19+Foglio1!$CM19+Foglio1!$CJ19+Foglio1!$CK19+Foglio1!$BY19+Foglio1!$CH19+Foglio1!$CV19+Foglio1!$CW19)</f>
        <v>22</v>
      </c>
      <c r="DD19" s="4">
        <v>1</v>
      </c>
      <c r="DE19" s="4">
        <v>0</v>
      </c>
      <c r="DF19" s="4">
        <v>0</v>
      </c>
      <c r="DG19" s="4">
        <v>0</v>
      </c>
      <c r="DH19" s="4">
        <v>0</v>
      </c>
      <c r="DI19" s="4">
        <v>0</v>
      </c>
      <c r="DJ19" s="4">
        <v>0</v>
      </c>
      <c r="DK19" s="4">
        <v>0</v>
      </c>
      <c r="DL19" s="4">
        <v>0</v>
      </c>
      <c r="DM19" s="4">
        <v>0</v>
      </c>
      <c r="DN19" s="4">
        <v>0</v>
      </c>
      <c r="DO19" s="4">
        <v>0</v>
      </c>
      <c r="DP19" s="4">
        <v>0</v>
      </c>
      <c r="DQ19" s="4">
        <v>0</v>
      </c>
      <c r="DR19" s="4">
        <v>0</v>
      </c>
      <c r="DS19" s="4">
        <v>0</v>
      </c>
      <c r="DT19" s="4">
        <v>2</v>
      </c>
      <c r="DU19" s="4">
        <v>0</v>
      </c>
      <c r="DV19" s="4">
        <v>0</v>
      </c>
      <c r="DW19" s="4">
        <v>0</v>
      </c>
      <c r="DX19" s="4">
        <v>1</v>
      </c>
      <c r="DY19" s="4">
        <v>0</v>
      </c>
      <c r="DZ19" s="4">
        <v>0</v>
      </c>
      <c r="EA19" s="4">
        <v>0</v>
      </c>
      <c r="EB19" s="4">
        <v>1</v>
      </c>
      <c r="EC19" s="4">
        <v>0</v>
      </c>
      <c r="ED19" s="4">
        <v>0</v>
      </c>
      <c r="EE19" s="4">
        <v>0</v>
      </c>
      <c r="EF19" s="4">
        <v>0</v>
      </c>
      <c r="EG19" s="4">
        <v>0</v>
      </c>
      <c r="EH19" s="4">
        <f>(Foglio1!$DE19+Foglio1!$DH19+Foglio1!$DG19+Foglio1!$DF19+Foglio1!$DM19+Foglio1!$DD19+Foglio1!$DO19+Foglio1!$DL19+Foglio1!$DN19+Foglio1!$DQ19+Foglio1!$DP19+Foglio1!$DT19+Foglio1!$DI19+Foglio1!$DK19+Foglio1!$DU19)</f>
        <v>3</v>
      </c>
      <c r="EI19" s="4">
        <f>(Foglio1!$EA19+Foglio1!$EB19+Foglio1!$EE19+Foglio1!$EC19+Foglio1!$ED19+Foglio1!$DZ19+Foglio1!$DY19)</f>
        <v>1</v>
      </c>
      <c r="EJ19" s="4">
        <f>(Foglio1!$DW19+Foglio1!$DV19+Foglio1!$DX19)</f>
        <v>1</v>
      </c>
      <c r="EK19" s="4">
        <f>(Foglio1!$EG19+Foglio1!$EF19)</f>
        <v>0</v>
      </c>
      <c r="EL19" s="4">
        <v>1</v>
      </c>
      <c r="EM19" s="4">
        <v>0</v>
      </c>
      <c r="EN19" s="4">
        <v>0</v>
      </c>
      <c r="EO19" s="4">
        <v>1</v>
      </c>
      <c r="EP19" s="4">
        <f t="array" ref="EP19">SUM(EL19:EO19/4)</f>
        <v>0.5</v>
      </c>
      <c r="EQ19" s="4">
        <v>1</v>
      </c>
      <c r="ER19" s="4">
        <v>1</v>
      </c>
      <c r="ES19" s="4">
        <v>1</v>
      </c>
      <c r="ET19" s="4">
        <v>0</v>
      </c>
      <c r="EU19" s="4" t="s">
        <v>880</v>
      </c>
      <c r="EV19" s="4">
        <v>0</v>
      </c>
      <c r="EW19" s="4" t="s">
        <v>881</v>
      </c>
      <c r="EX19" s="4">
        <v>1</v>
      </c>
      <c r="EY19" s="4">
        <f>(Foglio1!$EQ19+Foglio1!$ER19+Foglio1!$ES19+Foglio1!$ET19+Foglio1!$EV19+Foglio1!$EX19)/6</f>
        <v>0.66666666666666663</v>
      </c>
      <c r="EZ19" s="4">
        <v>1</v>
      </c>
      <c r="FA19" s="4">
        <v>1</v>
      </c>
      <c r="FB19" s="4">
        <v>1</v>
      </c>
      <c r="FC19" s="4">
        <f>(Foglio1!$EZ19+Foglio1!$FA19+Foglio1!$FB19)/3</f>
        <v>1</v>
      </c>
      <c r="FD19" s="4">
        <v>0</v>
      </c>
      <c r="FE19" s="4">
        <v>1</v>
      </c>
      <c r="FF19" s="4">
        <f>(Foglio1!$FD19+Foglio1!$FE19)/2</f>
        <v>0.5</v>
      </c>
      <c r="FG19" s="4" t="s">
        <v>882</v>
      </c>
      <c r="FH19" s="4">
        <v>0</v>
      </c>
      <c r="FI19" s="4" t="s">
        <v>883</v>
      </c>
      <c r="FJ19" s="4">
        <v>0</v>
      </c>
      <c r="FK19" s="4" t="s">
        <v>884</v>
      </c>
      <c r="FL19" s="4">
        <v>0</v>
      </c>
      <c r="FM19" s="4">
        <f>(Foglio1!$FH19+Foglio1!$FJ19+Foglio1!$FL19)/3</f>
        <v>0</v>
      </c>
      <c r="FN19" s="4">
        <f>(Foglio1!$EP19)</f>
        <v>0.5</v>
      </c>
      <c r="FO19" s="4">
        <f>(Foglio1!$EY19+Foglio1!$FC19+Foglio1!$FF19+Foglio1!$FM19)/4</f>
        <v>0.54166666666666663</v>
      </c>
      <c r="FP19" s="4">
        <f>(Foglio1!$EP19+Foglio1!$EY19+Foglio1!$FC19+Foglio1!$FF19+Foglio1!$FM19)/5</f>
        <v>0.53333333333333333</v>
      </c>
      <c r="FQ19" s="6">
        <v>45574</v>
      </c>
      <c r="FR19" s="4">
        <v>0</v>
      </c>
      <c r="FS19" s="4">
        <v>1</v>
      </c>
      <c r="FT19" s="4">
        <v>1</v>
      </c>
      <c r="FU19" s="4">
        <v>0</v>
      </c>
      <c r="FV19" s="4">
        <v>1</v>
      </c>
      <c r="FW19" s="4">
        <v>0</v>
      </c>
      <c r="FX19" s="4">
        <v>0</v>
      </c>
      <c r="FY19" s="4">
        <v>3</v>
      </c>
      <c r="FZ19" s="4">
        <v>1</v>
      </c>
      <c r="GA19" s="4">
        <v>1</v>
      </c>
      <c r="GB19" s="4">
        <v>65</v>
      </c>
      <c r="GC19" s="4">
        <v>1</v>
      </c>
      <c r="GD19" s="4">
        <v>0</v>
      </c>
      <c r="GE19" s="4">
        <v>0</v>
      </c>
      <c r="GF19" s="4">
        <v>0</v>
      </c>
      <c r="GG19" s="4">
        <v>0</v>
      </c>
      <c r="GH19" s="4">
        <v>1</v>
      </c>
      <c r="GI19" s="4">
        <v>0</v>
      </c>
      <c r="GJ19" s="4">
        <v>0</v>
      </c>
      <c r="GK19" s="4">
        <v>0</v>
      </c>
      <c r="GL19" s="4">
        <v>0</v>
      </c>
      <c r="GM19" s="4">
        <v>0</v>
      </c>
      <c r="GN19" s="4">
        <v>0</v>
      </c>
      <c r="GO19" s="4">
        <v>0</v>
      </c>
      <c r="GP19" s="4">
        <v>0</v>
      </c>
      <c r="GQ19" s="4">
        <v>0</v>
      </c>
      <c r="GR19" s="4">
        <v>2</v>
      </c>
      <c r="GS19" s="4">
        <v>0</v>
      </c>
      <c r="GT19" s="4">
        <v>2</v>
      </c>
      <c r="GU19" s="4">
        <v>0</v>
      </c>
      <c r="GV19" s="4">
        <v>2</v>
      </c>
      <c r="GW19" s="4">
        <v>0</v>
      </c>
      <c r="GX19" s="4">
        <v>0</v>
      </c>
      <c r="GY19" s="4">
        <v>1</v>
      </c>
      <c r="GZ19" s="4">
        <v>0</v>
      </c>
      <c r="HA19" s="4">
        <v>0</v>
      </c>
      <c r="HB19" s="4">
        <v>0</v>
      </c>
      <c r="HC19" s="4">
        <v>0</v>
      </c>
      <c r="HD19" s="4">
        <v>0</v>
      </c>
      <c r="HE19" s="4">
        <v>2</v>
      </c>
      <c r="HF19" s="4">
        <v>0</v>
      </c>
      <c r="HG19" s="4">
        <f t="shared" si="24"/>
        <v>11</v>
      </c>
      <c r="HH19" s="4">
        <f t="shared" si="25"/>
        <v>3</v>
      </c>
      <c r="HI19" s="4">
        <f t="shared" si="26"/>
        <v>0</v>
      </c>
      <c r="HJ19" s="4">
        <f t="shared" si="27"/>
        <v>3</v>
      </c>
      <c r="HK19" s="4">
        <f t="shared" si="28"/>
        <v>2</v>
      </c>
      <c r="HL19" s="4">
        <f t="shared" si="29"/>
        <v>9</v>
      </c>
      <c r="HM19" s="4">
        <v>2</v>
      </c>
      <c r="HN19" s="4">
        <v>2</v>
      </c>
      <c r="HO19" s="4">
        <v>0</v>
      </c>
      <c r="HP19" s="4">
        <v>0</v>
      </c>
      <c r="HQ19" s="4">
        <v>0</v>
      </c>
      <c r="HR19" s="4">
        <v>0</v>
      </c>
      <c r="HS19" s="4">
        <v>0</v>
      </c>
      <c r="HT19" s="4">
        <v>0</v>
      </c>
      <c r="HU19" s="4">
        <v>0</v>
      </c>
      <c r="HV19" s="4">
        <v>0</v>
      </c>
      <c r="HW19" s="4">
        <v>0</v>
      </c>
      <c r="HX19" s="4">
        <v>0</v>
      </c>
      <c r="HY19" s="4">
        <v>0</v>
      </c>
      <c r="HZ19" s="4">
        <v>0</v>
      </c>
      <c r="IA19" s="4">
        <v>0</v>
      </c>
      <c r="IB19" s="4">
        <v>0</v>
      </c>
      <c r="IC19" s="4">
        <v>0</v>
      </c>
      <c r="ID19" s="4">
        <v>0</v>
      </c>
      <c r="IE19" s="4">
        <v>0</v>
      </c>
      <c r="IF19" s="4">
        <v>0</v>
      </c>
      <c r="IG19" s="4">
        <v>0</v>
      </c>
      <c r="IH19" s="4">
        <v>0</v>
      </c>
      <c r="II19" s="4">
        <v>3</v>
      </c>
      <c r="IJ19" s="4">
        <v>0</v>
      </c>
      <c r="IK19" s="4">
        <v>0</v>
      </c>
      <c r="IL19" s="4">
        <v>0</v>
      </c>
      <c r="IM19" s="4">
        <v>0</v>
      </c>
      <c r="IN19" s="4">
        <v>0</v>
      </c>
      <c r="IO19" s="4">
        <v>1</v>
      </c>
      <c r="IP19" s="4">
        <v>0</v>
      </c>
      <c r="IQ19" s="4">
        <f t="shared" si="30"/>
        <v>4</v>
      </c>
      <c r="IR19" s="4">
        <f t="shared" si="31"/>
        <v>3</v>
      </c>
      <c r="IS19" s="4">
        <f t="shared" si="32"/>
        <v>0</v>
      </c>
      <c r="IT19" s="4">
        <f t="shared" si="33"/>
        <v>1</v>
      </c>
      <c r="IU19" s="4" t="s">
        <v>383</v>
      </c>
      <c r="IV19" s="4" t="s">
        <v>383</v>
      </c>
      <c r="IW19" s="4" t="s">
        <v>383</v>
      </c>
      <c r="IX19" s="4" t="s">
        <v>383</v>
      </c>
      <c r="IY19" s="4">
        <v>1</v>
      </c>
      <c r="IZ19" s="4">
        <v>0</v>
      </c>
      <c r="JA19" s="4">
        <v>1</v>
      </c>
      <c r="JB19" s="4">
        <v>1</v>
      </c>
      <c r="JC19" s="4">
        <f>(Foglio1!$IY19+Foglio1!$IZ19+Foglio1!$JA19+Foglio1!$JB19)/4</f>
        <v>0.75</v>
      </c>
      <c r="JD19" s="4">
        <v>1</v>
      </c>
      <c r="JE19" s="4">
        <v>1</v>
      </c>
      <c r="JF19" s="4">
        <v>1</v>
      </c>
      <c r="JG19" s="4">
        <v>0</v>
      </c>
      <c r="JH19" s="4" t="s">
        <v>885</v>
      </c>
      <c r="JI19" s="4">
        <v>1</v>
      </c>
      <c r="JJ19" s="4" t="s">
        <v>886</v>
      </c>
      <c r="JK19" s="4">
        <v>0</v>
      </c>
      <c r="JL19" s="4">
        <f>(Foglio1!$JD19+Foglio1!$JE19+Foglio1!$JF19+Foglio1!$JG19+Foglio1!$JI19+Foglio1!$JK19)/6</f>
        <v>0.66666666666666663</v>
      </c>
      <c r="JM19" s="4">
        <v>1</v>
      </c>
      <c r="JN19" s="4">
        <v>1</v>
      </c>
      <c r="JO19" s="4">
        <v>1</v>
      </c>
      <c r="JP19" s="4">
        <f>(Foglio1!$JM19+Foglio1!$JN19+Foglio1!$JO19)/3</f>
        <v>1</v>
      </c>
      <c r="JQ19" s="4">
        <v>1</v>
      </c>
      <c r="JR19" s="4">
        <v>1</v>
      </c>
      <c r="JS19" s="4">
        <f>(Foglio1!$JQ19+Foglio1!$JR19)/2</f>
        <v>1</v>
      </c>
      <c r="JT19" s="4" t="s">
        <v>887</v>
      </c>
      <c r="JU19" s="4">
        <v>0</v>
      </c>
      <c r="JV19" s="4" t="s">
        <v>888</v>
      </c>
      <c r="JW19" s="4">
        <v>1</v>
      </c>
      <c r="JX19" s="4" t="s">
        <v>889</v>
      </c>
      <c r="JY19" s="4">
        <v>0</v>
      </c>
      <c r="JZ19" s="4">
        <f>(Foglio1!$JU19+Foglio1!$JW19+Foglio1!$JY19)/3</f>
        <v>0.33333333333333331</v>
      </c>
      <c r="KA19" s="4">
        <f>(Foglio1!$JC19)</f>
        <v>0.75</v>
      </c>
      <c r="KB19" s="4">
        <f>(Foglio1!$JL19+Foglio1!$JP19+Foglio1!$JS19+Foglio1!$JZ19)/4</f>
        <v>0.75</v>
      </c>
      <c r="KC19" s="4">
        <f>(Foglio1!$JC19+Foglio1!$JL19+Foglio1!$JP19+Foglio1!$JS19+Foglio1!$JZ19)/5</f>
        <v>0.75</v>
      </c>
      <c r="KD19" s="4" t="s">
        <v>890</v>
      </c>
      <c r="KE19" s="4">
        <v>0</v>
      </c>
      <c r="KF19" s="4">
        <v>1</v>
      </c>
      <c r="KG19" s="4" t="s">
        <v>891</v>
      </c>
      <c r="KH19" s="4">
        <v>2</v>
      </c>
      <c r="KI19" s="4">
        <v>1</v>
      </c>
      <c r="KJ19" s="4" t="s">
        <v>892</v>
      </c>
      <c r="KK19" s="4">
        <v>1</v>
      </c>
      <c r="KL19" s="4">
        <v>2</v>
      </c>
      <c r="KM19" s="4" t="s">
        <v>893</v>
      </c>
      <c r="KN19" s="4">
        <v>2</v>
      </c>
      <c r="KO19" s="4">
        <v>1</v>
      </c>
      <c r="KP19" s="4" t="s">
        <v>894</v>
      </c>
      <c r="KQ19" s="4">
        <v>1</v>
      </c>
      <c r="KR19" s="4">
        <v>3</v>
      </c>
      <c r="KS19" s="4" t="s">
        <v>895</v>
      </c>
      <c r="KT19" s="4">
        <v>1</v>
      </c>
      <c r="KU19" s="4">
        <v>1</v>
      </c>
      <c r="KV19" s="4" t="s">
        <v>896</v>
      </c>
      <c r="KW19" s="4">
        <v>2</v>
      </c>
      <c r="KX19" s="4">
        <v>1</v>
      </c>
      <c r="KY19" s="4" t="s">
        <v>897</v>
      </c>
      <c r="KZ19" s="4">
        <v>1</v>
      </c>
      <c r="LA19" s="4">
        <v>3</v>
      </c>
      <c r="LB19" s="4" t="s">
        <v>898</v>
      </c>
      <c r="LC19" s="4">
        <v>2</v>
      </c>
      <c r="LD19" s="4">
        <v>1</v>
      </c>
      <c r="LE19" s="4" t="s">
        <v>899</v>
      </c>
      <c r="LF19" s="4">
        <v>1</v>
      </c>
      <c r="LG19" s="4">
        <v>2</v>
      </c>
      <c r="LH19" s="4" t="s">
        <v>900</v>
      </c>
      <c r="LI19" s="4">
        <v>0</v>
      </c>
      <c r="LJ19" s="4">
        <v>1</v>
      </c>
      <c r="LK19" s="4" t="s">
        <v>901</v>
      </c>
      <c r="LL19" s="4">
        <v>2</v>
      </c>
      <c r="LM19" s="4">
        <v>3</v>
      </c>
      <c r="LN19" s="4" t="s">
        <v>902</v>
      </c>
      <c r="LO19" s="4">
        <v>2</v>
      </c>
      <c r="LP19" s="4">
        <v>1</v>
      </c>
      <c r="LQ19" s="4" t="s">
        <v>903</v>
      </c>
      <c r="LR19" s="4">
        <v>1</v>
      </c>
      <c r="LS19" s="4">
        <v>3</v>
      </c>
      <c r="LT19" s="4">
        <f>(Foglio1!$KE19+Foglio1!$KH19+Foglio1!$KK19+Foglio1!$KN19+Foglio1!$KQ19+Foglio1!$KT19+Foglio1!$KW19+Foglio1!$KZ19+Foglio1!$LC19+Foglio1!$LF19+Foglio1!$LI19+Foglio1!$LL19+Foglio1!$LO19+Foglio1!$LR19)</f>
        <v>18</v>
      </c>
      <c r="LU19" s="4">
        <f>(Foglio1!$KI19+Foglio1!$KF19+Foglio1!$KL19+Foglio1!$KO19+Foglio1!$KR19+Foglio1!$KU19+Foglio1!$KX19+Foglio1!$LA19+Foglio1!$LD19+Foglio1!$LG19+Foglio1!$LJ19+Foglio1!$LM19+Foglio1!$LP19+Foglio1!$LS19)</f>
        <v>24</v>
      </c>
      <c r="LV19" s="4">
        <v>16</v>
      </c>
      <c r="LW19" s="4">
        <v>37</v>
      </c>
      <c r="LX19" s="4">
        <v>11</v>
      </c>
      <c r="LY19" s="4">
        <v>23</v>
      </c>
      <c r="LZ19" s="3">
        <v>0</v>
      </c>
      <c r="MA19" s="3">
        <v>4</v>
      </c>
      <c r="MB19" s="3">
        <v>2</v>
      </c>
      <c r="MC19" s="3">
        <v>2</v>
      </c>
      <c r="MD19" s="3">
        <f t="shared" si="7"/>
        <v>8</v>
      </c>
      <c r="ME19" s="3">
        <v>0</v>
      </c>
      <c r="MF19" s="3">
        <v>0</v>
      </c>
      <c r="MG19" s="3">
        <v>0</v>
      </c>
      <c r="MH19" s="3">
        <v>0</v>
      </c>
      <c r="MI19" s="3">
        <f t="shared" si="8"/>
        <v>0</v>
      </c>
    </row>
    <row r="20" spans="1:347" ht="15.75" customHeight="1" x14ac:dyDescent="0.25">
      <c r="A20" s="4" t="s">
        <v>904</v>
      </c>
      <c r="B20" s="4">
        <v>50</v>
      </c>
      <c r="C20" s="4" t="s">
        <v>403</v>
      </c>
      <c r="D20" s="4">
        <v>11</v>
      </c>
      <c r="E20" s="4">
        <v>0</v>
      </c>
      <c r="F20" s="4" t="s">
        <v>350</v>
      </c>
      <c r="G20" s="4" t="s">
        <v>356</v>
      </c>
      <c r="H20" s="4" t="s">
        <v>905</v>
      </c>
      <c r="I20" s="4" t="s">
        <v>906</v>
      </c>
      <c r="J20" s="4" t="s">
        <v>603</v>
      </c>
      <c r="K20" s="4"/>
      <c r="L20" s="4" t="s">
        <v>907</v>
      </c>
      <c r="M20" s="4" t="s">
        <v>449</v>
      </c>
      <c r="N20" s="4" t="s">
        <v>908</v>
      </c>
      <c r="O20" s="6">
        <v>45457</v>
      </c>
      <c r="P20" s="9">
        <v>45492</v>
      </c>
      <c r="Q20" s="4" t="s">
        <v>359</v>
      </c>
      <c r="R20" s="4" t="s">
        <v>355</v>
      </c>
      <c r="S20" s="4"/>
      <c r="T20" s="4"/>
      <c r="U20" s="4"/>
      <c r="V20" s="4" t="s">
        <v>365</v>
      </c>
      <c r="W20" s="4" t="s">
        <v>363</v>
      </c>
      <c r="X20" s="4" t="s">
        <v>909</v>
      </c>
      <c r="Y20" s="4" t="s">
        <v>454</v>
      </c>
      <c r="Z20" s="4" t="s">
        <v>910</v>
      </c>
      <c r="AA20" s="4" t="s">
        <v>911</v>
      </c>
      <c r="AB20" s="4" t="s">
        <v>912</v>
      </c>
      <c r="AC20" s="4" t="s">
        <v>913</v>
      </c>
      <c r="AD20" s="4" t="s">
        <v>914</v>
      </c>
      <c r="AE20" s="4"/>
      <c r="AF20" s="4"/>
      <c r="AG20" s="4"/>
      <c r="AH20" s="4" t="s">
        <v>915</v>
      </c>
      <c r="AI20" s="4" t="s">
        <v>916</v>
      </c>
      <c r="AJ20" s="4" t="s">
        <v>408</v>
      </c>
      <c r="AK20" s="4" t="s">
        <v>917</v>
      </c>
      <c r="AL20" s="4" t="s">
        <v>365</v>
      </c>
      <c r="AM20" s="4" t="s">
        <v>918</v>
      </c>
      <c r="AN20" s="5" t="s">
        <v>356</v>
      </c>
      <c r="AO20" s="5" t="s">
        <v>356</v>
      </c>
      <c r="AP20" s="5" t="s">
        <v>356</v>
      </c>
      <c r="AQ20" s="5" t="s">
        <v>356</v>
      </c>
      <c r="AR20" s="5" t="s">
        <v>356</v>
      </c>
      <c r="AS20" s="5" t="s">
        <v>356</v>
      </c>
      <c r="AT20" s="5" t="s">
        <v>356</v>
      </c>
      <c r="AU20" s="5" t="s">
        <v>356</v>
      </c>
      <c r="AV20" s="5" t="s">
        <v>356</v>
      </c>
      <c r="AW20" s="5" t="s">
        <v>356</v>
      </c>
      <c r="AX20" s="4">
        <v>3</v>
      </c>
      <c r="AY20" s="4"/>
      <c r="AZ20" s="5" t="s">
        <v>383</v>
      </c>
      <c r="BA20" s="4">
        <f t="shared" si="9"/>
        <v>35</v>
      </c>
      <c r="BB20" s="4" t="s">
        <v>541</v>
      </c>
      <c r="BC20" s="4"/>
      <c r="BD20" s="4" t="s">
        <v>355</v>
      </c>
      <c r="BE20" s="4" t="s">
        <v>360</v>
      </c>
      <c r="BF20" s="4" t="s">
        <v>355</v>
      </c>
      <c r="BG20" s="6">
        <v>45460</v>
      </c>
      <c r="BH20" s="4" t="s">
        <v>356</v>
      </c>
      <c r="BI20" s="4" t="s">
        <v>356</v>
      </c>
      <c r="BJ20" s="4" t="s">
        <v>356</v>
      </c>
      <c r="BK20" s="4" t="s">
        <v>356</v>
      </c>
      <c r="BL20" s="4" t="s">
        <v>356</v>
      </c>
      <c r="BM20" s="4" t="s">
        <v>356</v>
      </c>
      <c r="BN20" s="4" t="s">
        <v>356</v>
      </c>
      <c r="BO20" s="4" t="s">
        <v>356</v>
      </c>
      <c r="BP20" s="4">
        <v>4</v>
      </c>
      <c r="BQ20" s="4">
        <v>3</v>
      </c>
      <c r="BR20" s="4">
        <v>10</v>
      </c>
      <c r="BS20" s="4">
        <v>40</v>
      </c>
      <c r="BT20" s="4">
        <v>1</v>
      </c>
      <c r="BU20" s="4">
        <v>2</v>
      </c>
      <c r="BV20" s="4">
        <v>1</v>
      </c>
      <c r="BW20" s="4">
        <v>1</v>
      </c>
      <c r="BX20" s="4">
        <v>1</v>
      </c>
      <c r="BY20" s="4">
        <v>3</v>
      </c>
      <c r="BZ20" s="4">
        <v>1</v>
      </c>
      <c r="CA20" s="4">
        <v>4</v>
      </c>
      <c r="CB20" s="4">
        <v>4</v>
      </c>
      <c r="CC20" s="4">
        <v>3</v>
      </c>
      <c r="CD20" s="4">
        <v>4</v>
      </c>
      <c r="CE20" s="4">
        <v>3</v>
      </c>
      <c r="CF20" s="4">
        <v>5</v>
      </c>
      <c r="CG20" s="4">
        <v>2</v>
      </c>
      <c r="CH20" s="4">
        <v>4</v>
      </c>
      <c r="CI20" s="4">
        <v>5</v>
      </c>
      <c r="CJ20" s="4">
        <v>1</v>
      </c>
      <c r="CK20" s="4">
        <v>5</v>
      </c>
      <c r="CL20" s="4">
        <v>2</v>
      </c>
      <c r="CM20" s="4">
        <v>4</v>
      </c>
      <c r="CN20" s="4">
        <v>5</v>
      </c>
      <c r="CO20" s="4">
        <v>1</v>
      </c>
      <c r="CP20" s="4">
        <v>2</v>
      </c>
      <c r="CQ20" s="4">
        <v>1</v>
      </c>
      <c r="CR20" s="4">
        <v>1</v>
      </c>
      <c r="CS20" s="4">
        <v>1</v>
      </c>
      <c r="CT20" s="4">
        <v>4</v>
      </c>
      <c r="CU20" s="4">
        <v>2</v>
      </c>
      <c r="CV20" s="4">
        <v>5</v>
      </c>
      <c r="CW20" s="4">
        <v>5</v>
      </c>
      <c r="CX20" s="4">
        <f>SUM(Foglio1!$BT20:$CW20)</f>
        <v>83</v>
      </c>
      <c r="CY20" s="4">
        <f>SUM(Foglio1!$BT20+Foglio1!$BV20+Foglio1!$CP20+Foglio1!$BY20+Foglio1!$BX20+Foglio1!$CH20+Foglio1!$CS20+Foglio1!$CW20-Foglio1!$CE20)</f>
        <v>15</v>
      </c>
      <c r="CZ20" s="4">
        <f>SUM(Foglio1!$CF20+Foglio1!$CA20+Foglio1!$CB20+Foglio1!$CD20+Foglio1!$CN20+Foglio1!$CC20+Foglio1!$CW20+Foglio1!$CO20+Foglio1!$CT20-Foglio1!$BU20)</f>
        <v>33</v>
      </c>
      <c r="DA20" s="4">
        <f>SUM(Foglio1!$CG20+Foglio1!$CR20+Foglio1!$CQ20+Foglio1!$BU20+Foglio1!$CE20+Foglio1!$CL20+Foglio1!$CS20+Foglio1!$CT20+Foglio1!$CV20+Foglio1!$CP20)</f>
        <v>23</v>
      </c>
      <c r="DB20" s="4">
        <f>SUM(Foglio1!$CU20+Foglio1!$BW20+Foglio1!$BZ20+Foglio1!$CO20+Foglio1!$BX20+Foglio1!$CC20+Foglio1!$CK20+Foglio1!$CW20)</f>
        <v>19</v>
      </c>
      <c r="DC20" s="4">
        <f>SUM(Foglio1!$CI20+Foglio1!$CM20+Foglio1!$CJ20+Foglio1!$CK20+Foglio1!$BY20+Foglio1!$CH20+Foglio1!$CV20+Foglio1!$CW20)</f>
        <v>32</v>
      </c>
      <c r="DD20" s="4">
        <v>0</v>
      </c>
      <c r="DE20" s="4">
        <v>0</v>
      </c>
      <c r="DF20" s="4">
        <v>0</v>
      </c>
      <c r="DG20" s="4">
        <v>0</v>
      </c>
      <c r="DH20" s="4">
        <v>0</v>
      </c>
      <c r="DI20" s="4">
        <v>0</v>
      </c>
      <c r="DJ20" s="4">
        <v>0</v>
      </c>
      <c r="DK20" s="4">
        <v>0</v>
      </c>
      <c r="DL20" s="4">
        <v>0</v>
      </c>
      <c r="DM20" s="4">
        <v>0</v>
      </c>
      <c r="DN20" s="4">
        <v>0</v>
      </c>
      <c r="DO20" s="4">
        <v>0</v>
      </c>
      <c r="DP20" s="4">
        <v>0</v>
      </c>
      <c r="DQ20" s="4">
        <v>0</v>
      </c>
      <c r="DR20" s="4">
        <v>0</v>
      </c>
      <c r="DS20" s="4">
        <v>0</v>
      </c>
      <c r="DT20" s="4">
        <v>4</v>
      </c>
      <c r="DU20" s="4">
        <v>0</v>
      </c>
      <c r="DV20" s="4">
        <v>4</v>
      </c>
      <c r="DW20" s="4">
        <v>4</v>
      </c>
      <c r="DX20" s="4">
        <v>1</v>
      </c>
      <c r="DY20" s="4" t="s">
        <v>359</v>
      </c>
      <c r="DZ20" s="4" t="s">
        <v>359</v>
      </c>
      <c r="EA20" s="4" t="s">
        <v>359</v>
      </c>
      <c r="EB20" s="4" t="s">
        <v>359</v>
      </c>
      <c r="EC20" s="4" t="s">
        <v>359</v>
      </c>
      <c r="ED20" s="4" t="s">
        <v>359</v>
      </c>
      <c r="EE20" s="4" t="s">
        <v>359</v>
      </c>
      <c r="EF20" s="4" t="s">
        <v>359</v>
      </c>
      <c r="EG20" s="4" t="s">
        <v>359</v>
      </c>
      <c r="EH20" s="4">
        <f>(Foglio1!$DE20+Foglio1!$DH20+Foglio1!$DG20+Foglio1!$DF20+Foglio1!$DM20+Foglio1!$DD20+Foglio1!$DO20+Foglio1!$DL20+Foglio1!$DN20+Foglio1!$DQ20+Foglio1!$DP20+Foglio1!$DT20+Foglio1!$DI20+Foglio1!$DK20+Foglio1!$DU20)</f>
        <v>4</v>
      </c>
      <c r="EI20" s="4" t="e">
        <f>(Foglio1!$EA20+Foglio1!$EB20+Foglio1!$EE20+Foglio1!$EC20+Foglio1!$ED20+Foglio1!$DZ20+Foglio1!$DY20)</f>
        <v>#VALUE!</v>
      </c>
      <c r="EJ20" s="4">
        <f>(Foglio1!$DW20+Foglio1!$DV20+Foglio1!$DX20)</f>
        <v>9</v>
      </c>
      <c r="EK20" s="4" t="e">
        <f>(Foglio1!$EG20+Foglio1!$EF20)</f>
        <v>#VALUE!</v>
      </c>
      <c r="EL20" s="4">
        <v>1</v>
      </c>
      <c r="EM20" s="4">
        <v>0</v>
      </c>
      <c r="EN20" s="4">
        <v>1</v>
      </c>
      <c r="EO20" s="4">
        <v>1</v>
      </c>
      <c r="EP20" s="4">
        <f t="array" ref="EP20">SUM(EL20:EO20/4)</f>
        <v>0.75</v>
      </c>
      <c r="EQ20" s="4">
        <v>1</v>
      </c>
      <c r="ER20" s="4">
        <v>0</v>
      </c>
      <c r="ES20" s="4">
        <v>1</v>
      </c>
      <c r="ET20" s="4">
        <v>0</v>
      </c>
      <c r="EU20" s="4" t="s">
        <v>383</v>
      </c>
      <c r="EV20" s="4">
        <v>0</v>
      </c>
      <c r="EW20" s="4" t="s">
        <v>383</v>
      </c>
      <c r="EX20" s="4">
        <v>0</v>
      </c>
      <c r="EY20" s="4">
        <f>(Foglio1!$EQ20+Foglio1!$ER20+Foglio1!$ES20+Foglio1!$ET20+Foglio1!$EV20+Foglio1!$EX20)/6</f>
        <v>0.33333333333333331</v>
      </c>
      <c r="EZ20" s="4">
        <v>1</v>
      </c>
      <c r="FA20" s="4" t="s">
        <v>359</v>
      </c>
      <c r="FB20" s="4" t="s">
        <v>359</v>
      </c>
      <c r="FC20" s="4" t="e">
        <f>(Foglio1!$EZ20+Foglio1!$FA20+Foglio1!$FB20)/3</f>
        <v>#VALUE!</v>
      </c>
      <c r="FD20" s="4" t="s">
        <v>359</v>
      </c>
      <c r="FE20" s="4" t="s">
        <v>359</v>
      </c>
      <c r="FF20" s="4" t="e">
        <f>(Foglio1!$FD20+Foglio1!$FE20)/2</f>
        <v>#VALUE!</v>
      </c>
      <c r="FG20" s="4" t="s">
        <v>919</v>
      </c>
      <c r="FH20" s="4">
        <v>0</v>
      </c>
      <c r="FI20" s="4" t="s">
        <v>920</v>
      </c>
      <c r="FJ20" s="4">
        <v>0</v>
      </c>
      <c r="FK20" s="4" t="s">
        <v>921</v>
      </c>
      <c r="FL20" s="4">
        <v>1</v>
      </c>
      <c r="FM20" s="4">
        <f>(Foglio1!$FH20+Foglio1!$FJ20+Foglio1!$FL20)/3</f>
        <v>0.33333333333333331</v>
      </c>
      <c r="FN20" s="4">
        <f>(Foglio1!$EP20)</f>
        <v>0.75</v>
      </c>
      <c r="FO20" s="4" t="e">
        <f>(Foglio1!$EY20+Foglio1!$FC20+Foglio1!$FF20+Foglio1!$FM20)/4</f>
        <v>#VALUE!</v>
      </c>
      <c r="FP20" s="4" t="e">
        <f>(Foglio1!$EP20+Foglio1!$EY20+Foglio1!$FC20+Foglio1!$FF20+Foglio1!$FM20)/5</f>
        <v>#VALUE!</v>
      </c>
      <c r="FQ20" s="6">
        <v>45488</v>
      </c>
      <c r="FR20" s="4" t="s">
        <v>356</v>
      </c>
      <c r="FS20" s="4" t="s">
        <v>356</v>
      </c>
      <c r="FT20" s="4" t="s">
        <v>356</v>
      </c>
      <c r="FU20" s="4" t="s">
        <v>356</v>
      </c>
      <c r="FV20" s="4" t="s">
        <v>356</v>
      </c>
      <c r="FW20" s="4" t="s">
        <v>356</v>
      </c>
      <c r="FX20" s="4" t="s">
        <v>356</v>
      </c>
      <c r="FY20" s="4">
        <v>4</v>
      </c>
      <c r="FZ20" s="4">
        <v>3</v>
      </c>
      <c r="GA20" s="4">
        <v>10</v>
      </c>
      <c r="GB20" s="4">
        <v>45</v>
      </c>
      <c r="GC20" s="4">
        <v>0</v>
      </c>
      <c r="GD20" s="4">
        <v>1</v>
      </c>
      <c r="GE20" s="4">
        <v>0</v>
      </c>
      <c r="GF20" s="4">
        <v>0</v>
      </c>
      <c r="GG20" s="4">
        <v>0</v>
      </c>
      <c r="GH20" s="4">
        <v>2</v>
      </c>
      <c r="GI20" s="4">
        <v>2</v>
      </c>
      <c r="GJ20" s="4">
        <v>3</v>
      </c>
      <c r="GK20" s="4">
        <v>3</v>
      </c>
      <c r="GL20" s="4">
        <v>3</v>
      </c>
      <c r="GM20" s="4">
        <v>3</v>
      </c>
      <c r="GN20" s="4">
        <v>2</v>
      </c>
      <c r="GO20" s="4">
        <v>5</v>
      </c>
      <c r="GP20" s="4">
        <v>0</v>
      </c>
      <c r="GQ20" s="4">
        <v>0</v>
      </c>
      <c r="GR20" s="4">
        <v>2</v>
      </c>
      <c r="GS20" s="4">
        <v>2</v>
      </c>
      <c r="GT20" s="4">
        <v>3</v>
      </c>
      <c r="GU20" s="4">
        <v>3</v>
      </c>
      <c r="GV20" s="4">
        <v>3</v>
      </c>
      <c r="GW20" s="4">
        <v>5</v>
      </c>
      <c r="GX20" s="4">
        <v>0</v>
      </c>
      <c r="GY20" s="4">
        <v>0</v>
      </c>
      <c r="GZ20" s="4">
        <v>0</v>
      </c>
      <c r="HA20" s="4">
        <v>0</v>
      </c>
      <c r="HB20" s="4">
        <v>0</v>
      </c>
      <c r="HC20" s="4">
        <v>3</v>
      </c>
      <c r="HD20" s="4">
        <v>0</v>
      </c>
      <c r="HE20" s="4">
        <v>3</v>
      </c>
      <c r="HF20" s="4">
        <v>3</v>
      </c>
      <c r="HG20" s="4">
        <f t="shared" si="24"/>
        <v>51</v>
      </c>
      <c r="HH20" s="4">
        <f t="shared" si="25"/>
        <v>3</v>
      </c>
      <c r="HI20" s="4">
        <f t="shared" si="26"/>
        <v>27</v>
      </c>
      <c r="HJ20" s="4">
        <f t="shared" si="27"/>
        <v>12</v>
      </c>
      <c r="HK20" s="4">
        <f t="shared" si="28"/>
        <v>11</v>
      </c>
      <c r="HL20" s="4">
        <f t="shared" si="29"/>
        <v>18</v>
      </c>
      <c r="HM20" s="4">
        <v>0</v>
      </c>
      <c r="HN20" s="4">
        <v>0</v>
      </c>
      <c r="HO20" s="4">
        <v>0</v>
      </c>
      <c r="HP20" s="4">
        <v>0</v>
      </c>
      <c r="HQ20" s="4">
        <v>0</v>
      </c>
      <c r="HR20" s="4">
        <v>0</v>
      </c>
      <c r="HS20" s="4">
        <v>0</v>
      </c>
      <c r="HT20" s="4">
        <v>1</v>
      </c>
      <c r="HU20" s="4">
        <v>0</v>
      </c>
      <c r="HV20" s="4">
        <v>0</v>
      </c>
      <c r="HW20" s="4">
        <v>0</v>
      </c>
      <c r="HX20" s="4">
        <v>0</v>
      </c>
      <c r="HY20" s="4">
        <v>0</v>
      </c>
      <c r="HZ20" s="4">
        <v>0</v>
      </c>
      <c r="IA20" s="4">
        <v>0</v>
      </c>
      <c r="IB20" s="4">
        <v>0</v>
      </c>
      <c r="IC20" s="4">
        <v>2</v>
      </c>
      <c r="ID20" s="4">
        <v>0</v>
      </c>
      <c r="IE20" s="4">
        <v>3</v>
      </c>
      <c r="IF20" s="4">
        <v>0</v>
      </c>
      <c r="IG20" s="4">
        <v>1</v>
      </c>
      <c r="IH20" s="4">
        <v>1</v>
      </c>
      <c r="II20" s="4">
        <v>2</v>
      </c>
      <c r="IJ20" s="4">
        <v>1</v>
      </c>
      <c r="IK20" s="4">
        <v>2</v>
      </c>
      <c r="IL20" s="4">
        <v>2</v>
      </c>
      <c r="IM20" s="4">
        <v>2</v>
      </c>
      <c r="IN20" s="4">
        <v>2</v>
      </c>
      <c r="IO20" s="4">
        <v>2</v>
      </c>
      <c r="IP20" s="4">
        <v>2</v>
      </c>
      <c r="IQ20" s="4">
        <f t="shared" si="30"/>
        <v>3</v>
      </c>
      <c r="IR20" s="4">
        <f t="shared" si="31"/>
        <v>12</v>
      </c>
      <c r="IS20" s="4">
        <f t="shared" si="32"/>
        <v>4</v>
      </c>
      <c r="IT20" s="4">
        <f t="shared" si="33"/>
        <v>4</v>
      </c>
      <c r="IU20" s="4" t="s">
        <v>383</v>
      </c>
      <c r="IV20" s="4" t="s">
        <v>383</v>
      </c>
      <c r="IW20" s="4" t="s">
        <v>383</v>
      </c>
      <c r="IX20" s="4" t="s">
        <v>383</v>
      </c>
      <c r="IY20" s="4"/>
      <c r="IZ20" s="4"/>
      <c r="JA20" s="4"/>
      <c r="JB20" s="4"/>
      <c r="JC20" s="4">
        <f>(Foglio1!$IY20+Foglio1!$IZ20+Foglio1!$JA20+Foglio1!$JB20)/4</f>
        <v>0</v>
      </c>
      <c r="JD20" s="4">
        <v>1</v>
      </c>
      <c r="JE20" s="4">
        <v>0</v>
      </c>
      <c r="JF20" s="4">
        <v>0</v>
      </c>
      <c r="JG20" s="4">
        <v>0</v>
      </c>
      <c r="JH20" s="4" t="s">
        <v>922</v>
      </c>
      <c r="JI20" s="4">
        <v>1</v>
      </c>
      <c r="JJ20" s="4" t="s">
        <v>512</v>
      </c>
      <c r="JK20" s="4">
        <v>0</v>
      </c>
      <c r="JL20" s="4">
        <f>(Foglio1!$JD20+Foglio1!$JE20+Foglio1!$JF20+Foglio1!$JG20+Foglio1!$JI20+Foglio1!$JK20)/6</f>
        <v>0.33333333333333331</v>
      </c>
      <c r="JM20" s="4">
        <v>1</v>
      </c>
      <c r="JN20" s="4">
        <v>1</v>
      </c>
      <c r="JO20" s="4">
        <v>1</v>
      </c>
      <c r="JP20" s="4">
        <f>(Foglio1!$JM20+Foglio1!$JN20+Foglio1!$JO20)/3</f>
        <v>1</v>
      </c>
      <c r="JQ20" s="4">
        <v>1</v>
      </c>
      <c r="JR20" s="4">
        <v>1</v>
      </c>
      <c r="JS20" s="4">
        <f>(Foglio1!$JQ20+Foglio1!$JR20)/2</f>
        <v>1</v>
      </c>
      <c r="JT20" s="4" t="s">
        <v>923</v>
      </c>
      <c r="JU20" s="4">
        <v>0</v>
      </c>
      <c r="JV20" s="4" t="s">
        <v>924</v>
      </c>
      <c r="JW20" s="4">
        <v>1</v>
      </c>
      <c r="JX20" s="4" t="s">
        <v>512</v>
      </c>
      <c r="JY20" s="4">
        <v>0</v>
      </c>
      <c r="JZ20" s="4">
        <f>(Foglio1!$JU20+Foglio1!$JW20+Foglio1!$JY20)/3</f>
        <v>0.33333333333333331</v>
      </c>
      <c r="KA20" s="4">
        <f>(Foglio1!$JC20)</f>
        <v>0</v>
      </c>
      <c r="KB20" s="4">
        <f>(Foglio1!$JL20+Foglio1!$JP20+Foglio1!$JS20+Foglio1!$JZ20)/4</f>
        <v>0.66666666666666663</v>
      </c>
      <c r="KC20" s="4">
        <f>(Foglio1!$JC20+Foglio1!$JL20+Foglio1!$JP20+Foglio1!$JS20+Foglio1!$JZ20)/5</f>
        <v>0.53333333333333333</v>
      </c>
      <c r="KD20" s="4" t="s">
        <v>925</v>
      </c>
      <c r="KE20" s="4">
        <v>2</v>
      </c>
      <c r="KF20" s="4">
        <v>3</v>
      </c>
      <c r="KG20" s="4" t="s">
        <v>512</v>
      </c>
      <c r="KH20" s="4">
        <v>0</v>
      </c>
      <c r="KI20" s="4">
        <v>0</v>
      </c>
      <c r="KJ20" s="4" t="s">
        <v>476</v>
      </c>
      <c r="KK20" s="4">
        <v>2</v>
      </c>
      <c r="KL20" s="4">
        <v>3</v>
      </c>
      <c r="KM20" s="4" t="s">
        <v>926</v>
      </c>
      <c r="KN20" s="4">
        <v>0</v>
      </c>
      <c r="KO20" s="4">
        <v>1</v>
      </c>
      <c r="KP20" s="4" t="s">
        <v>927</v>
      </c>
      <c r="KQ20" s="4">
        <v>2</v>
      </c>
      <c r="KR20" s="4">
        <v>3</v>
      </c>
      <c r="KS20" s="4" t="s">
        <v>928</v>
      </c>
      <c r="KT20" s="4">
        <v>1</v>
      </c>
      <c r="KU20" s="4">
        <v>1</v>
      </c>
      <c r="KV20" s="4" t="s">
        <v>929</v>
      </c>
      <c r="KW20" s="4">
        <v>2</v>
      </c>
      <c r="KX20" s="4">
        <v>1</v>
      </c>
      <c r="KY20" s="4" t="s">
        <v>930</v>
      </c>
      <c r="KZ20" s="4">
        <v>0</v>
      </c>
      <c r="LA20" s="4">
        <v>0</v>
      </c>
      <c r="LB20" s="4" t="s">
        <v>512</v>
      </c>
      <c r="LC20" s="4">
        <v>0</v>
      </c>
      <c r="LD20" s="4">
        <v>0</v>
      </c>
      <c r="LE20" s="4" t="s">
        <v>931</v>
      </c>
      <c r="LF20" s="4">
        <v>2</v>
      </c>
      <c r="LG20" s="4">
        <v>3</v>
      </c>
      <c r="LH20" s="4" t="s">
        <v>398</v>
      </c>
      <c r="LI20" s="4">
        <v>2</v>
      </c>
      <c r="LJ20" s="4">
        <v>1</v>
      </c>
      <c r="LK20" s="4" t="s">
        <v>932</v>
      </c>
      <c r="LL20" s="4">
        <v>2</v>
      </c>
      <c r="LM20" s="4">
        <v>3</v>
      </c>
      <c r="LN20" s="4" t="s">
        <v>933</v>
      </c>
      <c r="LO20" s="4">
        <v>2</v>
      </c>
      <c r="LP20" s="4">
        <v>1</v>
      </c>
      <c r="LQ20" s="4" t="s">
        <v>934</v>
      </c>
      <c r="LR20" s="4">
        <v>1</v>
      </c>
      <c r="LS20" s="4">
        <v>2</v>
      </c>
      <c r="LT20" s="4">
        <f>(Foglio1!$KE20+Foglio1!$KH20+Foglio1!$KK20+Foglio1!$KN20+Foglio1!$KQ20+Foglio1!$KT20+Foglio1!$KW20+Foglio1!$KZ20+Foglio1!$LC20+Foglio1!$LF20+Foglio1!$LI20+Foglio1!$LL20+Foglio1!$LO20+Foglio1!$LR20)</f>
        <v>18</v>
      </c>
      <c r="LU20" s="4">
        <f>(Foglio1!$KI20+Foglio1!$KF20+Foglio1!$KL20+Foglio1!$KO20+Foglio1!$KR20+Foglio1!$KU20+Foglio1!$KX20+Foglio1!$LA20+Foglio1!$LD20+Foglio1!$LG20+Foglio1!$LJ20+Foglio1!$LM20+Foglio1!$LP20+Foglio1!$LS20)</f>
        <v>22</v>
      </c>
      <c r="LV20" s="4">
        <v>14</v>
      </c>
      <c r="LW20" s="4">
        <v>37</v>
      </c>
      <c r="LX20" s="4">
        <v>8</v>
      </c>
      <c r="LY20" s="4">
        <v>29</v>
      </c>
      <c r="LZ20" s="3">
        <v>0</v>
      </c>
      <c r="MA20" s="3">
        <v>0</v>
      </c>
      <c r="MB20" s="3">
        <v>0</v>
      </c>
      <c r="MC20" s="3">
        <v>1</v>
      </c>
      <c r="MD20" s="3">
        <f t="shared" si="7"/>
        <v>1</v>
      </c>
      <c r="ME20" s="3">
        <v>0</v>
      </c>
      <c r="MF20" s="3">
        <v>0</v>
      </c>
      <c r="MG20" s="3">
        <v>0</v>
      </c>
      <c r="MH20" s="3">
        <v>0</v>
      </c>
      <c r="MI20" s="3">
        <f t="shared" si="8"/>
        <v>0</v>
      </c>
    </row>
    <row r="21" spans="1:347" ht="15.75" customHeight="1" x14ac:dyDescent="0.25">
      <c r="A21" s="4" t="s">
        <v>935</v>
      </c>
      <c r="B21" s="4">
        <v>48</v>
      </c>
      <c r="C21" s="4" t="s">
        <v>349</v>
      </c>
      <c r="D21" s="4">
        <v>13</v>
      </c>
      <c r="E21" s="4">
        <v>1</v>
      </c>
      <c r="F21" s="4" t="s">
        <v>350</v>
      </c>
      <c r="G21" s="4" t="s">
        <v>351</v>
      </c>
      <c r="H21" s="4" t="s">
        <v>936</v>
      </c>
      <c r="I21" s="4" t="s">
        <v>937</v>
      </c>
      <c r="J21" s="4"/>
      <c r="K21" s="4"/>
      <c r="L21" s="5" t="s">
        <v>356</v>
      </c>
      <c r="M21" s="4" t="s">
        <v>449</v>
      </c>
      <c r="N21" s="4" t="s">
        <v>698</v>
      </c>
      <c r="O21" s="9">
        <v>45559</v>
      </c>
      <c r="P21" s="6">
        <v>45579</v>
      </c>
      <c r="Q21" s="4" t="s">
        <v>698</v>
      </c>
      <c r="R21" s="4"/>
      <c r="S21" s="4"/>
      <c r="T21" s="4"/>
      <c r="U21" s="4"/>
      <c r="V21" s="4"/>
      <c r="W21" s="4"/>
      <c r="X21" s="4"/>
      <c r="Y21" s="4"/>
      <c r="Z21" s="4"/>
      <c r="AA21" s="4"/>
      <c r="AB21" s="4"/>
      <c r="AC21" s="4"/>
      <c r="AD21" s="4"/>
      <c r="AE21" s="4"/>
      <c r="AF21" s="4"/>
      <c r="AG21" s="4"/>
      <c r="AH21" s="4" t="s">
        <v>938</v>
      </c>
      <c r="AI21" s="4" t="s">
        <v>939</v>
      </c>
      <c r="AJ21" s="4" t="s">
        <v>687</v>
      </c>
      <c r="AK21" s="4" t="s">
        <v>940</v>
      </c>
      <c r="AL21" s="5" t="s">
        <v>356</v>
      </c>
      <c r="AM21" s="5" t="s">
        <v>356</v>
      </c>
      <c r="AN21" s="5" t="s">
        <v>356</v>
      </c>
      <c r="AO21" s="5" t="s">
        <v>356</v>
      </c>
      <c r="AP21" s="5" t="s">
        <v>356</v>
      </c>
      <c r="AQ21" s="5" t="s">
        <v>356</v>
      </c>
      <c r="AR21" s="5" t="s">
        <v>356</v>
      </c>
      <c r="AS21" s="5" t="s">
        <v>356</v>
      </c>
      <c r="AT21" s="5" t="s">
        <v>356</v>
      </c>
      <c r="AU21" s="5" t="s">
        <v>356</v>
      </c>
      <c r="AV21" s="5" t="s">
        <v>356</v>
      </c>
      <c r="AW21" s="5" t="s">
        <v>356</v>
      </c>
      <c r="AX21" s="4">
        <v>2</v>
      </c>
      <c r="AY21" s="4"/>
      <c r="AZ21" s="4" t="s">
        <v>360</v>
      </c>
      <c r="BA21" s="4">
        <f t="shared" si="9"/>
        <v>20</v>
      </c>
      <c r="BB21" s="4"/>
      <c r="BC21" s="4"/>
      <c r="BD21" s="4"/>
      <c r="BE21" s="4"/>
      <c r="BF21" s="4"/>
      <c r="BG21" s="6">
        <v>45566</v>
      </c>
      <c r="BH21" s="4">
        <v>4</v>
      </c>
      <c r="BI21" s="4">
        <v>2</v>
      </c>
      <c r="BJ21" s="4">
        <v>4</v>
      </c>
      <c r="BK21" s="4">
        <v>4</v>
      </c>
      <c r="BL21" s="4">
        <v>3</v>
      </c>
      <c r="BM21" s="4">
        <v>3</v>
      </c>
      <c r="BN21" s="4">
        <v>2</v>
      </c>
      <c r="BO21" s="4">
        <f>SUM(Foglio1!$BH21:$BM21)</f>
        <v>20</v>
      </c>
      <c r="BP21" s="4">
        <v>5</v>
      </c>
      <c r="BQ21" s="4">
        <v>3</v>
      </c>
      <c r="BR21" s="4">
        <v>10</v>
      </c>
      <c r="BS21" s="4">
        <v>50</v>
      </c>
      <c r="BT21" s="4">
        <v>4</v>
      </c>
      <c r="BU21" s="4">
        <v>4</v>
      </c>
      <c r="BV21" s="4">
        <v>2</v>
      </c>
      <c r="BW21" s="4">
        <v>4</v>
      </c>
      <c r="BX21" s="4">
        <v>3</v>
      </c>
      <c r="BY21" s="4">
        <v>1</v>
      </c>
      <c r="BZ21" s="4">
        <v>2</v>
      </c>
      <c r="CA21" s="4">
        <v>1</v>
      </c>
      <c r="CB21" s="4">
        <v>1</v>
      </c>
      <c r="CC21" s="4">
        <v>1</v>
      </c>
      <c r="CD21" s="4">
        <v>2</v>
      </c>
      <c r="CE21" s="4">
        <v>1</v>
      </c>
      <c r="CF21" s="4">
        <v>1</v>
      </c>
      <c r="CG21" s="4">
        <v>2</v>
      </c>
      <c r="CH21" s="4">
        <v>1</v>
      </c>
      <c r="CI21" s="4">
        <v>2</v>
      </c>
      <c r="CJ21" s="4">
        <v>2</v>
      </c>
      <c r="CK21" s="4">
        <v>3</v>
      </c>
      <c r="CL21" s="4">
        <v>3</v>
      </c>
      <c r="CM21" s="4">
        <v>2</v>
      </c>
      <c r="CN21" s="4">
        <v>1</v>
      </c>
      <c r="CO21" s="4">
        <v>2</v>
      </c>
      <c r="CP21" s="4">
        <v>3</v>
      </c>
      <c r="CQ21" s="4">
        <v>1</v>
      </c>
      <c r="CR21" s="4">
        <v>2</v>
      </c>
      <c r="CS21" s="4">
        <v>1</v>
      </c>
      <c r="CT21" s="4">
        <v>5</v>
      </c>
      <c r="CU21" s="4">
        <v>1</v>
      </c>
      <c r="CV21" s="4">
        <v>1</v>
      </c>
      <c r="CW21" s="4">
        <v>2</v>
      </c>
      <c r="CX21" s="4">
        <f>SUM(Foglio1!$BT21:$CW21)</f>
        <v>61</v>
      </c>
      <c r="CY21" s="4">
        <f>SUM(Foglio1!$BT21+Foglio1!$BV21+Foglio1!$CP21+Foglio1!$BY21+Foglio1!$BX21+Foglio1!$CH21+Foglio1!$CS21+Foglio1!$CW21-Foglio1!$CE21)</f>
        <v>16</v>
      </c>
      <c r="CZ21" s="4">
        <f>SUM(Foglio1!$CF21+Foglio1!$CA21+Foglio1!$CB21+Foglio1!$CD21+Foglio1!$CN21+Foglio1!$CC21+Foglio1!$CW21+Foglio1!$CO21+Foglio1!$CT21-Foglio1!$BU21)</f>
        <v>12</v>
      </c>
      <c r="DA21" s="4">
        <f>SUM(Foglio1!$CG21+Foglio1!$CR21+Foglio1!$CQ21+Foglio1!$BU21+Foglio1!$CE21+Foglio1!$CL21+Foglio1!$CS21+Foglio1!$CT21+Foglio1!$CV21+Foglio1!$CP21)</f>
        <v>23</v>
      </c>
      <c r="DB21" s="4">
        <f>SUM(Foglio1!$CU21+Foglio1!$BW21+Foglio1!$BZ21+Foglio1!$CO21+Foglio1!$BX21+Foglio1!$CC21+Foglio1!$CK21+Foglio1!$CW21)</f>
        <v>18</v>
      </c>
      <c r="DC21" s="4">
        <f>SUM(Foglio1!$CI21+Foglio1!$CM21+Foglio1!$CJ21+Foglio1!$CK21+Foglio1!$BY21+Foglio1!$CH21+Foglio1!$CV21+Foglio1!$CW21)</f>
        <v>14</v>
      </c>
      <c r="DD21" s="4">
        <v>3</v>
      </c>
      <c r="DE21" s="4">
        <v>0</v>
      </c>
      <c r="DF21" s="4">
        <v>2</v>
      </c>
      <c r="DG21" s="4">
        <v>1</v>
      </c>
      <c r="DH21" s="4">
        <v>0</v>
      </c>
      <c r="DI21" s="4">
        <v>3</v>
      </c>
      <c r="DJ21" s="4">
        <v>0</v>
      </c>
      <c r="DK21" s="4">
        <v>0</v>
      </c>
      <c r="DL21" s="4">
        <v>0</v>
      </c>
      <c r="DM21" s="4">
        <v>0</v>
      </c>
      <c r="DN21" s="4">
        <v>4</v>
      </c>
      <c r="DO21" s="4">
        <v>0</v>
      </c>
      <c r="DP21" s="4">
        <v>0</v>
      </c>
      <c r="DQ21" s="4">
        <v>0</v>
      </c>
      <c r="DR21" s="4">
        <v>0</v>
      </c>
      <c r="DS21" s="4">
        <v>0</v>
      </c>
      <c r="DT21" s="4">
        <v>2</v>
      </c>
      <c r="DU21" s="4">
        <v>0</v>
      </c>
      <c r="DV21" s="4">
        <v>3</v>
      </c>
      <c r="DW21" s="4">
        <v>0</v>
      </c>
      <c r="DX21" s="4">
        <v>0</v>
      </c>
      <c r="DY21" s="4">
        <v>0</v>
      </c>
      <c r="DZ21" s="4">
        <v>0</v>
      </c>
      <c r="EA21" s="4">
        <v>1</v>
      </c>
      <c r="EB21" s="4">
        <v>0</v>
      </c>
      <c r="EC21" s="4">
        <v>0</v>
      </c>
      <c r="ED21" s="4">
        <v>0</v>
      </c>
      <c r="EE21" s="4">
        <v>3</v>
      </c>
      <c r="EF21" s="4">
        <v>0</v>
      </c>
      <c r="EG21" s="4">
        <v>0</v>
      </c>
      <c r="EH21" s="4">
        <f>(Foglio1!$DE21+Foglio1!$DH21+Foglio1!$DG21+Foglio1!$DF21+Foglio1!$DM21+Foglio1!$DD21+Foglio1!$DO21+Foglio1!$DL21+Foglio1!$DN21+Foglio1!$DQ21+Foglio1!$DP21+Foglio1!$DT21+Foglio1!$DI21+Foglio1!$DK21+Foglio1!$DU21)</f>
        <v>15</v>
      </c>
      <c r="EI21" s="4">
        <f>(Foglio1!$EA21+Foglio1!$EB21+Foglio1!$EE21+Foglio1!$EC21+Foglio1!$ED21+Foglio1!$DZ21+Foglio1!$DY21)</f>
        <v>4</v>
      </c>
      <c r="EJ21" s="4">
        <f>(Foglio1!$DW21+Foglio1!$DV21+Foglio1!$DX21)</f>
        <v>3</v>
      </c>
      <c r="EK21" s="4">
        <f>(Foglio1!$EG21+Foglio1!$EF21)</f>
        <v>0</v>
      </c>
      <c r="EL21" s="4">
        <v>1</v>
      </c>
      <c r="EM21" s="4">
        <v>0</v>
      </c>
      <c r="EN21" s="4">
        <v>1</v>
      </c>
      <c r="EO21" s="4">
        <v>1</v>
      </c>
      <c r="EP21" s="4">
        <f t="array" ref="EP21">SUM(EL21:EO21/4)</f>
        <v>0.75</v>
      </c>
      <c r="EQ21" s="4">
        <v>1</v>
      </c>
      <c r="ER21" s="4">
        <v>1</v>
      </c>
      <c r="ES21" s="4">
        <v>0</v>
      </c>
      <c r="ET21" s="4">
        <v>1</v>
      </c>
      <c r="EU21" s="4" t="s">
        <v>941</v>
      </c>
      <c r="EV21" s="4">
        <v>1</v>
      </c>
      <c r="EW21" s="4" t="s">
        <v>942</v>
      </c>
      <c r="EX21" s="4">
        <v>0</v>
      </c>
      <c r="EY21" s="4">
        <f>(Foglio1!$EQ21+Foglio1!$ER21+Foglio1!$ES21+Foglio1!$ET21+Foglio1!$EV21+Foglio1!$EX21)/6</f>
        <v>0.66666666666666663</v>
      </c>
      <c r="EZ21" s="4">
        <v>1</v>
      </c>
      <c r="FA21" s="4">
        <v>1</v>
      </c>
      <c r="FB21" s="4">
        <v>1</v>
      </c>
      <c r="FC21" s="4">
        <f>(Foglio1!$EZ21+Foglio1!$FA21+Foglio1!$FB21)/3</f>
        <v>1</v>
      </c>
      <c r="FD21" s="4">
        <v>1</v>
      </c>
      <c r="FE21" s="4">
        <v>1</v>
      </c>
      <c r="FF21" s="4">
        <f>(Foglio1!$FD21+Foglio1!$FE21)/2</f>
        <v>1</v>
      </c>
      <c r="FG21" s="4" t="s">
        <v>943</v>
      </c>
      <c r="FH21" s="4">
        <v>0</v>
      </c>
      <c r="FI21" s="4" t="s">
        <v>944</v>
      </c>
      <c r="FJ21" s="4">
        <v>0</v>
      </c>
      <c r="FK21" s="4" t="s">
        <v>945</v>
      </c>
      <c r="FL21" s="4">
        <v>0</v>
      </c>
      <c r="FM21" s="4">
        <f>(Foglio1!$FH21+Foglio1!$FJ21+Foglio1!$FL21)/3</f>
        <v>0</v>
      </c>
      <c r="FN21" s="4">
        <f>(Foglio1!$EP21)</f>
        <v>0.75</v>
      </c>
      <c r="FO21" s="4">
        <f>(Foglio1!$EY21+Foglio1!$FC21+Foglio1!$FF21+Foglio1!$FM21)/4</f>
        <v>0.66666666666666663</v>
      </c>
      <c r="FP21" s="4">
        <f>(Foglio1!$EP21+Foglio1!$EY21+Foglio1!$FC21+Foglio1!$FF21+Foglio1!$FM21)/5</f>
        <v>0.68333333333333335</v>
      </c>
      <c r="FQ21" s="6">
        <v>45579</v>
      </c>
      <c r="FR21" s="4">
        <v>3</v>
      </c>
      <c r="FS21" s="4">
        <v>2</v>
      </c>
      <c r="FT21" s="4">
        <v>3</v>
      </c>
      <c r="FU21" s="4">
        <v>2</v>
      </c>
      <c r="FV21" s="4">
        <v>3</v>
      </c>
      <c r="FW21" s="4">
        <v>3</v>
      </c>
      <c r="FX21" s="4">
        <v>3</v>
      </c>
      <c r="FY21" s="4">
        <v>4</v>
      </c>
      <c r="FZ21" s="4">
        <v>2</v>
      </c>
      <c r="GA21" s="4">
        <v>6</v>
      </c>
      <c r="GB21" s="4">
        <v>65</v>
      </c>
      <c r="GC21" s="4">
        <v>2</v>
      </c>
      <c r="GD21" s="4">
        <v>2</v>
      </c>
      <c r="GE21" s="4">
        <v>0</v>
      </c>
      <c r="GF21" s="4">
        <v>1</v>
      </c>
      <c r="GG21" s="4">
        <v>2</v>
      </c>
      <c r="GH21" s="4">
        <v>0</v>
      </c>
      <c r="GI21" s="4">
        <v>0</v>
      </c>
      <c r="GJ21" s="4">
        <v>0</v>
      </c>
      <c r="GK21" s="4">
        <v>0</v>
      </c>
      <c r="GL21" s="4">
        <v>0</v>
      </c>
      <c r="GM21" s="4">
        <v>1</v>
      </c>
      <c r="GN21" s="4">
        <v>0</v>
      </c>
      <c r="GO21" s="4">
        <v>0</v>
      </c>
      <c r="GP21" s="4">
        <v>1</v>
      </c>
      <c r="GQ21" s="4">
        <v>1</v>
      </c>
      <c r="GR21" s="4">
        <v>0</v>
      </c>
      <c r="GS21" s="4">
        <v>0</v>
      </c>
      <c r="GT21" s="4">
        <v>1</v>
      </c>
      <c r="GU21" s="4">
        <v>1</v>
      </c>
      <c r="GV21" s="4">
        <v>1</v>
      </c>
      <c r="GW21" s="4">
        <v>0</v>
      </c>
      <c r="GX21" s="4">
        <v>0</v>
      </c>
      <c r="GY21" s="4">
        <v>3</v>
      </c>
      <c r="GZ21" s="4">
        <v>0</v>
      </c>
      <c r="HA21" s="4">
        <v>1</v>
      </c>
      <c r="HB21" s="4">
        <v>0</v>
      </c>
      <c r="HC21" s="4">
        <v>0</v>
      </c>
      <c r="HD21" s="4">
        <v>0</v>
      </c>
      <c r="HE21" s="4">
        <v>3</v>
      </c>
      <c r="HF21" s="4">
        <v>1</v>
      </c>
      <c r="HG21" s="4">
        <f t="shared" si="24"/>
        <v>21</v>
      </c>
      <c r="HH21" s="4">
        <f t="shared" si="25"/>
        <v>9</v>
      </c>
      <c r="HI21" s="4">
        <f t="shared" si="26"/>
        <v>0</v>
      </c>
      <c r="HJ21" s="4">
        <f t="shared" si="27"/>
        <v>11</v>
      </c>
      <c r="HK21" s="4">
        <f t="shared" si="28"/>
        <v>5</v>
      </c>
      <c r="HL21" s="4">
        <f t="shared" si="29"/>
        <v>7</v>
      </c>
      <c r="HM21" s="4">
        <v>4</v>
      </c>
      <c r="HN21" s="4">
        <v>3</v>
      </c>
      <c r="HO21" s="4">
        <v>3</v>
      </c>
      <c r="HP21" s="4">
        <v>0</v>
      </c>
      <c r="HQ21" s="4">
        <v>0</v>
      </c>
      <c r="HR21" s="4">
        <v>2</v>
      </c>
      <c r="HS21" s="4">
        <v>0</v>
      </c>
      <c r="HT21" s="4">
        <v>0</v>
      </c>
      <c r="HU21" s="4">
        <v>0</v>
      </c>
      <c r="HV21" s="4">
        <v>0</v>
      </c>
      <c r="HW21" s="4">
        <v>2</v>
      </c>
      <c r="HX21" s="4">
        <v>0</v>
      </c>
      <c r="HY21" s="4">
        <v>0</v>
      </c>
      <c r="HZ21" s="4">
        <v>0</v>
      </c>
      <c r="IA21" s="4">
        <v>0</v>
      </c>
      <c r="IB21" s="4">
        <v>0</v>
      </c>
      <c r="IC21" s="4">
        <v>0</v>
      </c>
      <c r="ID21" s="4">
        <v>0</v>
      </c>
      <c r="IE21" s="4">
        <v>0</v>
      </c>
      <c r="IF21" s="4">
        <v>0</v>
      </c>
      <c r="IG21" s="4">
        <v>2</v>
      </c>
      <c r="IH21" s="4">
        <v>0</v>
      </c>
      <c r="II21" s="4">
        <v>0</v>
      </c>
      <c r="IJ21" s="4">
        <v>0</v>
      </c>
      <c r="IK21" s="4">
        <v>1</v>
      </c>
      <c r="IL21" s="4">
        <v>0</v>
      </c>
      <c r="IM21" s="4">
        <v>0</v>
      </c>
      <c r="IN21" s="4">
        <v>1</v>
      </c>
      <c r="IO21" s="4">
        <v>0</v>
      </c>
      <c r="IP21" s="4">
        <v>0</v>
      </c>
      <c r="IQ21" s="4">
        <f t="shared" si="30"/>
        <v>14</v>
      </c>
      <c r="IR21" s="4">
        <f t="shared" si="31"/>
        <v>2</v>
      </c>
      <c r="IS21" s="4">
        <f t="shared" si="32"/>
        <v>2</v>
      </c>
      <c r="IT21" s="4">
        <f t="shared" si="33"/>
        <v>0</v>
      </c>
      <c r="IU21" s="4" t="s">
        <v>383</v>
      </c>
      <c r="IV21" s="4" t="s">
        <v>383</v>
      </c>
      <c r="IW21" s="4" t="s">
        <v>383</v>
      </c>
      <c r="IX21" s="4" t="s">
        <v>383</v>
      </c>
      <c r="IY21" s="4">
        <v>0</v>
      </c>
      <c r="IZ21" s="4">
        <v>1</v>
      </c>
      <c r="JA21" s="4">
        <v>1</v>
      </c>
      <c r="JB21" s="4">
        <v>1</v>
      </c>
      <c r="JC21" s="4">
        <f>(Foglio1!$IY21+Foglio1!$IZ21+Foglio1!$JA21+Foglio1!$JB21)/4</f>
        <v>0.75</v>
      </c>
      <c r="JD21" s="4">
        <v>1</v>
      </c>
      <c r="JE21" s="4">
        <v>0</v>
      </c>
      <c r="JF21" s="4">
        <v>1</v>
      </c>
      <c r="JG21" s="4">
        <v>1</v>
      </c>
      <c r="JH21" s="4" t="s">
        <v>946</v>
      </c>
      <c r="JI21" s="4">
        <v>1</v>
      </c>
      <c r="JJ21" s="4" t="s">
        <v>947</v>
      </c>
      <c r="JK21" s="4">
        <v>0</v>
      </c>
      <c r="JL21" s="4">
        <f>(Foglio1!$JD21+Foglio1!$JE21+Foglio1!$JF21+Foglio1!$JG21+Foglio1!$JI21+Foglio1!$JK21)/6</f>
        <v>0.66666666666666663</v>
      </c>
      <c r="JM21" s="4">
        <v>1</v>
      </c>
      <c r="JN21" s="4">
        <v>1</v>
      </c>
      <c r="JO21" s="4">
        <v>1</v>
      </c>
      <c r="JP21" s="4">
        <f>(Foglio1!$JM21+Foglio1!$JN21+Foglio1!$JO21)/3</f>
        <v>1</v>
      </c>
      <c r="JQ21" s="4">
        <v>1</v>
      </c>
      <c r="JR21" s="4">
        <v>1</v>
      </c>
      <c r="JS21" s="4">
        <f>(Foglio1!$JQ21+Foglio1!$JR21)/2</f>
        <v>1</v>
      </c>
      <c r="JT21" s="4" t="s">
        <v>948</v>
      </c>
      <c r="JU21" s="4">
        <v>1</v>
      </c>
      <c r="JV21" s="4" t="s">
        <v>949</v>
      </c>
      <c r="JW21" s="4">
        <v>0</v>
      </c>
      <c r="JX21" s="4" t="s">
        <v>950</v>
      </c>
      <c r="JY21" s="4">
        <v>0</v>
      </c>
      <c r="JZ21" s="4">
        <f>(Foglio1!$JU21+Foglio1!$JW21+Foglio1!$JY21)/3</f>
        <v>0.33333333333333331</v>
      </c>
      <c r="KA21" s="4">
        <f>(Foglio1!$JC21)</f>
        <v>0.75</v>
      </c>
      <c r="KB21" s="4">
        <f>(Foglio1!$JL21+Foglio1!$JP21+Foglio1!$JS21+Foglio1!$JZ21)/4</f>
        <v>0.75</v>
      </c>
      <c r="KC21" s="4">
        <f>(Foglio1!$JC21+Foglio1!$JL21+Foglio1!$JP21+Foglio1!$JS21+Foglio1!$JZ21)/5</f>
        <v>0.75</v>
      </c>
      <c r="KD21" s="4" t="s">
        <v>951</v>
      </c>
      <c r="KE21" s="4">
        <v>2</v>
      </c>
      <c r="KF21" s="4">
        <v>3</v>
      </c>
      <c r="KG21" s="4" t="s">
        <v>952</v>
      </c>
      <c r="KH21" s="4">
        <v>0</v>
      </c>
      <c r="KI21" s="4">
        <v>2</v>
      </c>
      <c r="KJ21" s="4" t="s">
        <v>953</v>
      </c>
      <c r="KK21" s="4">
        <v>2</v>
      </c>
      <c r="KL21" s="4">
        <v>3</v>
      </c>
      <c r="KM21" s="4" t="s">
        <v>954</v>
      </c>
      <c r="KN21" s="4">
        <v>1</v>
      </c>
      <c r="KO21" s="4">
        <v>1</v>
      </c>
      <c r="KP21" s="4" t="s">
        <v>955</v>
      </c>
      <c r="KQ21" s="4">
        <v>1</v>
      </c>
      <c r="KR21" s="4">
        <v>3</v>
      </c>
      <c r="KS21" s="4" t="s">
        <v>956</v>
      </c>
      <c r="KT21" s="4">
        <v>0</v>
      </c>
      <c r="KU21" s="4">
        <v>2</v>
      </c>
      <c r="KV21" s="4" t="s">
        <v>957</v>
      </c>
      <c r="KW21" s="4">
        <v>0</v>
      </c>
      <c r="KX21" s="4">
        <v>1</v>
      </c>
      <c r="KY21" s="4" t="s">
        <v>958</v>
      </c>
      <c r="KZ21" s="4">
        <v>0</v>
      </c>
      <c r="LA21" s="4">
        <v>2</v>
      </c>
      <c r="LB21" s="4" t="s">
        <v>959</v>
      </c>
      <c r="LC21" s="4">
        <v>2</v>
      </c>
      <c r="LD21" s="4">
        <v>1</v>
      </c>
      <c r="LE21" s="4" t="s">
        <v>960</v>
      </c>
      <c r="LF21" s="4">
        <v>0</v>
      </c>
      <c r="LG21" s="4">
        <v>2</v>
      </c>
      <c r="LH21" s="4" t="s">
        <v>961</v>
      </c>
      <c r="LI21" s="4">
        <v>2</v>
      </c>
      <c r="LJ21" s="4">
        <v>1</v>
      </c>
      <c r="LK21" s="4" t="s">
        <v>962</v>
      </c>
      <c r="LL21" s="4">
        <v>2</v>
      </c>
      <c r="LM21" s="4">
        <v>2</v>
      </c>
      <c r="LN21" s="4" t="s">
        <v>963</v>
      </c>
      <c r="LO21" s="4">
        <v>2</v>
      </c>
      <c r="LP21" s="4">
        <v>1</v>
      </c>
      <c r="LQ21" s="4" t="s">
        <v>964</v>
      </c>
      <c r="LR21" s="4">
        <v>0</v>
      </c>
      <c r="LS21" s="4">
        <v>2</v>
      </c>
      <c r="LT21" s="4">
        <f>(Foglio1!$KE21+Foglio1!$KH21+Foglio1!$KK21+Foglio1!$KN21+Foglio1!$KQ21+Foglio1!$KT21+Foglio1!$KW21+Foglio1!$KZ21+Foglio1!$LC21+Foglio1!$LF21+Foglio1!$LI21+Foglio1!$LL21+Foglio1!$LO21+Foglio1!$LR21)</f>
        <v>14</v>
      </c>
      <c r="LU21" s="4">
        <f>(Foglio1!$KI21+Foglio1!$KF21+Foglio1!$KL21+Foglio1!$KO21+Foglio1!$KR21+Foglio1!$KU21+Foglio1!$KX21+Foglio1!$LA21+Foglio1!$LD21+Foglio1!$LG21+Foglio1!$LJ21+Foglio1!$LM21+Foglio1!$LP21+Foglio1!$LS21)</f>
        <v>26</v>
      </c>
      <c r="LV21" s="4">
        <v>30</v>
      </c>
      <c r="LW21" s="4">
        <v>44</v>
      </c>
      <c r="LX21" s="4">
        <v>10</v>
      </c>
      <c r="LY21" s="4">
        <v>32</v>
      </c>
      <c r="LZ21" s="3">
        <v>0</v>
      </c>
      <c r="MA21" s="3">
        <v>2</v>
      </c>
      <c r="MB21" s="3">
        <v>2</v>
      </c>
      <c r="MC21" s="3">
        <v>4</v>
      </c>
      <c r="MD21" s="3">
        <f t="shared" si="7"/>
        <v>8</v>
      </c>
      <c r="ME21" s="3">
        <v>0</v>
      </c>
      <c r="MF21" s="3">
        <v>0</v>
      </c>
      <c r="MG21" s="3">
        <v>0</v>
      </c>
      <c r="MH21" s="3">
        <v>1</v>
      </c>
      <c r="MI21" s="3">
        <f t="shared" si="8"/>
        <v>1</v>
      </c>
    </row>
    <row r="22" spans="1:347" ht="15.75" customHeight="1" x14ac:dyDescent="0.25">
      <c r="A22" s="4" t="s">
        <v>965</v>
      </c>
      <c r="B22" s="4">
        <v>21</v>
      </c>
      <c r="C22" s="4" t="s">
        <v>403</v>
      </c>
      <c r="D22" s="5" t="s">
        <v>383</v>
      </c>
      <c r="E22" s="4">
        <v>0</v>
      </c>
      <c r="F22" s="4" t="s">
        <v>360</v>
      </c>
      <c r="G22" s="4" t="s">
        <v>356</v>
      </c>
      <c r="H22" s="7" t="s">
        <v>966</v>
      </c>
      <c r="I22" s="7" t="s">
        <v>967</v>
      </c>
      <c r="J22" s="4" t="s">
        <v>968</v>
      </c>
      <c r="K22" s="4"/>
      <c r="L22" s="7" t="s">
        <v>969</v>
      </c>
      <c r="M22" s="7" t="s">
        <v>449</v>
      </c>
      <c r="N22" s="4" t="s">
        <v>605</v>
      </c>
      <c r="O22" s="9">
        <v>45914</v>
      </c>
      <c r="P22" s="6">
        <v>45958</v>
      </c>
      <c r="Q22" s="4" t="s">
        <v>970</v>
      </c>
      <c r="R22" s="4"/>
      <c r="S22" s="4"/>
      <c r="T22" s="4" t="s">
        <v>360</v>
      </c>
      <c r="U22" s="4"/>
      <c r="V22" s="4" t="s">
        <v>654</v>
      </c>
      <c r="W22" s="4" t="s">
        <v>846</v>
      </c>
      <c r="X22" s="4" t="s">
        <v>413</v>
      </c>
      <c r="Y22" s="4" t="s">
        <v>688</v>
      </c>
      <c r="Z22" s="4" t="s">
        <v>971</v>
      </c>
      <c r="AA22" s="4" t="s">
        <v>972</v>
      </c>
      <c r="AB22" s="4" t="s">
        <v>973</v>
      </c>
      <c r="AC22" s="4" t="s">
        <v>974</v>
      </c>
      <c r="AD22" s="4" t="s">
        <v>975</v>
      </c>
      <c r="AE22" s="4" t="s">
        <v>364</v>
      </c>
      <c r="AF22" s="4" t="s">
        <v>976</v>
      </c>
      <c r="AG22" s="4" t="s">
        <v>365</v>
      </c>
      <c r="AH22" s="4" t="s">
        <v>974</v>
      </c>
      <c r="AI22" s="4" t="s">
        <v>977</v>
      </c>
      <c r="AJ22" s="4" t="s">
        <v>846</v>
      </c>
      <c r="AK22" s="4" t="s">
        <v>978</v>
      </c>
      <c r="AL22" s="4" t="s">
        <v>975</v>
      </c>
      <c r="AM22" s="4" t="s">
        <v>979</v>
      </c>
      <c r="AN22" s="4" t="s">
        <v>363</v>
      </c>
      <c r="AO22" s="4" t="s">
        <v>692</v>
      </c>
      <c r="AP22" s="4" t="s">
        <v>980</v>
      </c>
      <c r="AQ22" s="4" t="s">
        <v>981</v>
      </c>
      <c r="AR22" s="5" t="s">
        <v>356</v>
      </c>
      <c r="AS22" s="5" t="s">
        <v>356</v>
      </c>
      <c r="AT22" s="5" t="s">
        <v>356</v>
      </c>
      <c r="AU22" s="5" t="s">
        <v>356</v>
      </c>
      <c r="AV22" s="5" t="s">
        <v>356</v>
      </c>
      <c r="AW22" s="5" t="s">
        <v>356</v>
      </c>
      <c r="AX22" s="4">
        <v>5</v>
      </c>
      <c r="AY22" s="4"/>
      <c r="AZ22" s="5" t="s">
        <v>383</v>
      </c>
      <c r="BA22" s="4">
        <f t="shared" si="9"/>
        <v>44</v>
      </c>
      <c r="BB22" s="4"/>
      <c r="BC22" s="4" t="s">
        <v>360</v>
      </c>
      <c r="BD22" s="4"/>
      <c r="BE22" s="4"/>
      <c r="BF22" s="4"/>
      <c r="BG22" s="6" t="s">
        <v>383</v>
      </c>
      <c r="BH22" s="4" t="s">
        <v>356</v>
      </c>
      <c r="BI22" s="4" t="s">
        <v>356</v>
      </c>
      <c r="BJ22" s="4" t="s">
        <v>356</v>
      </c>
      <c r="BK22" s="4" t="s">
        <v>356</v>
      </c>
      <c r="BL22" s="4" t="s">
        <v>356</v>
      </c>
      <c r="BM22" s="4" t="s">
        <v>356</v>
      </c>
      <c r="BN22" s="4" t="s">
        <v>356</v>
      </c>
      <c r="BO22" s="4" t="s">
        <v>356</v>
      </c>
      <c r="BP22" s="4">
        <v>5</v>
      </c>
      <c r="BQ22" s="4">
        <v>4</v>
      </c>
      <c r="BR22" s="4">
        <v>10</v>
      </c>
      <c r="BS22" s="4">
        <v>50</v>
      </c>
      <c r="BT22" s="4">
        <v>1</v>
      </c>
      <c r="BU22" s="4">
        <v>1</v>
      </c>
      <c r="BV22" s="4">
        <v>1</v>
      </c>
      <c r="BW22" s="4">
        <v>3</v>
      </c>
      <c r="BX22" s="4">
        <v>4</v>
      </c>
      <c r="BY22" s="4">
        <v>3</v>
      </c>
      <c r="BZ22" s="4">
        <v>5</v>
      </c>
      <c r="CA22" s="4">
        <v>1</v>
      </c>
      <c r="CB22" s="4">
        <v>1</v>
      </c>
      <c r="CC22" s="4">
        <v>1</v>
      </c>
      <c r="CD22" s="4">
        <v>1</v>
      </c>
      <c r="CE22" s="4">
        <v>1</v>
      </c>
      <c r="CF22" s="4">
        <v>1</v>
      </c>
      <c r="CG22" s="4">
        <v>1</v>
      </c>
      <c r="CH22" s="4">
        <v>6</v>
      </c>
      <c r="CI22" s="4">
        <v>4</v>
      </c>
      <c r="CJ22" s="4">
        <v>4</v>
      </c>
      <c r="CK22" s="4">
        <v>6</v>
      </c>
      <c r="CL22" s="4">
        <v>2</v>
      </c>
      <c r="CM22" s="4">
        <v>4</v>
      </c>
      <c r="CN22" s="4">
        <v>2</v>
      </c>
      <c r="CO22" s="4">
        <v>5</v>
      </c>
      <c r="CP22" s="4">
        <v>2</v>
      </c>
      <c r="CQ22" s="4">
        <v>3</v>
      </c>
      <c r="CR22" s="4">
        <v>3</v>
      </c>
      <c r="CS22" s="4">
        <v>5</v>
      </c>
      <c r="CT22" s="4">
        <v>5</v>
      </c>
      <c r="CU22" s="4">
        <v>6</v>
      </c>
      <c r="CV22" s="4">
        <v>4</v>
      </c>
      <c r="CW22" s="4">
        <v>2</v>
      </c>
      <c r="CX22" s="4">
        <f>SUM(Foglio1!$BT22:$CW22)</f>
        <v>88</v>
      </c>
      <c r="CY22" s="4">
        <f>SUM(Foglio1!$BT22+Foglio1!$BV22+Foglio1!$CP22+Foglio1!$BY22+Foglio1!$BX22+Foglio1!$CH22+Foglio1!$CS22+Foglio1!$CW22-Foglio1!$CE22)</f>
        <v>23</v>
      </c>
      <c r="CZ22" s="4">
        <f>SUM(Foglio1!$CF22+Foglio1!$CA22+Foglio1!$CB22+Foglio1!$CD22+Foglio1!$CN22+Foglio1!$CC22+Foglio1!$CW22+Foglio1!$CO22+Foglio1!$CT22-Foglio1!$BU22)</f>
        <v>18</v>
      </c>
      <c r="DA22" s="4">
        <f>SUM(Foglio1!$CG22+Foglio1!$CR22+Foglio1!$CQ22+Foglio1!$BU22+Foglio1!$CE22+Foglio1!$CL22+Foglio1!$CS22+Foglio1!$CT22+Foglio1!$CV22+Foglio1!$CP22)</f>
        <v>27</v>
      </c>
      <c r="DB22" s="4">
        <f>SUM(Foglio1!$CU22+Foglio1!$BW22+Foglio1!$BZ22+Foglio1!$CO22+Foglio1!$BX22+Foglio1!$CC22+Foglio1!$CK22+Foglio1!$CW22)</f>
        <v>32</v>
      </c>
      <c r="DC22" s="4">
        <f>SUM(Foglio1!$CI22+Foglio1!$CM22+Foglio1!$CJ22+Foglio1!$CK22+Foglio1!$BY22+Foglio1!$CH22+Foglio1!$CV22+Foglio1!$CW22)</f>
        <v>33</v>
      </c>
      <c r="DD22" s="4">
        <v>2</v>
      </c>
      <c r="DE22" s="4">
        <v>0</v>
      </c>
      <c r="DF22" s="4">
        <v>0</v>
      </c>
      <c r="DG22" s="4">
        <v>0</v>
      </c>
      <c r="DH22" s="4">
        <v>0</v>
      </c>
      <c r="DI22" s="4" t="s">
        <v>359</v>
      </c>
      <c r="DJ22" s="4">
        <v>0</v>
      </c>
      <c r="DK22" s="4">
        <v>0</v>
      </c>
      <c r="DL22" s="4">
        <v>1</v>
      </c>
      <c r="DM22" s="4">
        <v>0</v>
      </c>
      <c r="DN22" s="4">
        <v>0</v>
      </c>
      <c r="DO22" s="4">
        <v>0</v>
      </c>
      <c r="DP22" s="4">
        <v>0</v>
      </c>
      <c r="DQ22" s="4">
        <v>0</v>
      </c>
      <c r="DR22" s="4">
        <v>0</v>
      </c>
      <c r="DS22" s="4">
        <v>0</v>
      </c>
      <c r="DT22" s="4">
        <v>0</v>
      </c>
      <c r="DU22" s="4" t="s">
        <v>359</v>
      </c>
      <c r="DV22" s="4">
        <v>1</v>
      </c>
      <c r="DW22" s="4">
        <v>0</v>
      </c>
      <c r="DX22" s="4" t="s">
        <v>359</v>
      </c>
      <c r="DY22" s="4">
        <v>2</v>
      </c>
      <c r="DZ22" s="4">
        <v>4</v>
      </c>
      <c r="EA22" s="4">
        <v>0</v>
      </c>
      <c r="EB22" s="4">
        <v>3</v>
      </c>
      <c r="EC22" s="4">
        <v>0</v>
      </c>
      <c r="ED22" s="4">
        <v>4</v>
      </c>
      <c r="EE22" s="4">
        <v>4</v>
      </c>
      <c r="EF22" s="4">
        <v>0</v>
      </c>
      <c r="EG22" s="4">
        <v>4</v>
      </c>
      <c r="EH22" s="4" t="e">
        <f>(Foglio1!$DE22+Foglio1!$DH22+Foglio1!$DG22+Foglio1!$DF22+Foglio1!$DM22+Foglio1!$DD22+Foglio1!$DO22+Foglio1!$DL22+Foglio1!$DN22+Foglio1!$DQ22+Foglio1!$DP22+Foglio1!$DT22+Foglio1!$DI22+Foglio1!$DK22+Foglio1!$DU22)</f>
        <v>#VALUE!</v>
      </c>
      <c r="EI22" s="4">
        <f>(Foglio1!$EA22+Foglio1!$EB22+Foglio1!$EE22+Foglio1!$EC22+Foglio1!$ED22+Foglio1!$DZ22+Foglio1!$DY22)</f>
        <v>17</v>
      </c>
      <c r="EJ22" s="4" t="e">
        <f>(Foglio1!$DW22+Foglio1!$DV22+Foglio1!$DX22)</f>
        <v>#VALUE!</v>
      </c>
      <c r="EK22" s="4">
        <f>(Foglio1!$EG22+Foglio1!$EF22)</f>
        <v>4</v>
      </c>
      <c r="EL22" s="4" t="s">
        <v>359</v>
      </c>
      <c r="EM22" s="4" t="s">
        <v>359</v>
      </c>
      <c r="EN22" s="4" t="s">
        <v>359</v>
      </c>
      <c r="EO22" s="4" t="s">
        <v>359</v>
      </c>
      <c r="EP22" s="4" t="s">
        <v>359</v>
      </c>
      <c r="EQ22" s="4" t="s">
        <v>359</v>
      </c>
      <c r="ER22" s="4" t="s">
        <v>359</v>
      </c>
      <c r="ES22" s="4" t="s">
        <v>359</v>
      </c>
      <c r="ET22" s="4" t="s">
        <v>359</v>
      </c>
      <c r="EU22" s="4" t="s">
        <v>359</v>
      </c>
      <c r="EV22" s="4" t="s">
        <v>359</v>
      </c>
      <c r="EW22" s="4" t="s">
        <v>359</v>
      </c>
      <c r="EX22" s="4" t="s">
        <v>359</v>
      </c>
      <c r="EY22" s="4" t="e">
        <f>(Foglio1!$EQ22+Foglio1!$ER22+Foglio1!$ES22+Foglio1!$ET22+Foglio1!$EV22+Foglio1!$EX22)/6</f>
        <v>#VALUE!</v>
      </c>
      <c r="EZ22" s="4" t="s">
        <v>359</v>
      </c>
      <c r="FA22" s="4" t="s">
        <v>359</v>
      </c>
      <c r="FB22" s="4" t="s">
        <v>359</v>
      </c>
      <c r="FC22" s="4" t="e">
        <f>(Foglio1!$EZ22+Foglio1!$FA22+Foglio1!$FB22)/3</f>
        <v>#VALUE!</v>
      </c>
      <c r="FD22" s="4" t="s">
        <v>359</v>
      </c>
      <c r="FE22" s="4" t="s">
        <v>359</v>
      </c>
      <c r="FF22" s="4" t="e">
        <f>(Foglio1!$FD22+Foglio1!$FE22)/2</f>
        <v>#VALUE!</v>
      </c>
      <c r="FG22" s="4" t="s">
        <v>359</v>
      </c>
      <c r="FH22" s="4" t="s">
        <v>359</v>
      </c>
      <c r="FI22" s="4" t="s">
        <v>359</v>
      </c>
      <c r="FJ22" s="4" t="s">
        <v>359</v>
      </c>
      <c r="FK22" s="4" t="s">
        <v>359</v>
      </c>
      <c r="FL22" s="4" t="s">
        <v>359</v>
      </c>
      <c r="FM22" s="4" t="e">
        <f>(Foglio1!$FH22+Foglio1!$FJ22+Foglio1!$FL22)/3</f>
        <v>#VALUE!</v>
      </c>
      <c r="FN22" s="4" t="str">
        <f>(Foglio1!$EP22)</f>
        <v>CCC</v>
      </c>
      <c r="FO22" s="4" t="e">
        <f>(Foglio1!$EY22+Foglio1!$FC22+Foglio1!$FF22+Foglio1!$FM22)/4</f>
        <v>#VALUE!</v>
      </c>
      <c r="FP22" s="4" t="e">
        <f>(Foglio1!$EP22+Foglio1!$EY22+Foglio1!$FC22+Foglio1!$FF22+Foglio1!$FM22)/5</f>
        <v>#VALUE!</v>
      </c>
      <c r="FQ22" s="4"/>
      <c r="FR22" s="4" t="s">
        <v>356</v>
      </c>
      <c r="FS22" s="4" t="s">
        <v>356</v>
      </c>
      <c r="FT22" s="4" t="s">
        <v>356</v>
      </c>
      <c r="FU22" s="4" t="s">
        <v>356</v>
      </c>
      <c r="FV22" s="4" t="s">
        <v>356</v>
      </c>
      <c r="FW22" s="4" t="s">
        <v>356</v>
      </c>
      <c r="FX22" s="4" t="s">
        <v>356</v>
      </c>
      <c r="FY22" s="4">
        <v>4</v>
      </c>
      <c r="FZ22" s="4">
        <v>3</v>
      </c>
      <c r="GA22" s="4">
        <v>7</v>
      </c>
      <c r="GB22" s="4">
        <v>58</v>
      </c>
      <c r="GC22" s="4">
        <v>1</v>
      </c>
      <c r="GD22" s="4">
        <v>1</v>
      </c>
      <c r="GE22" s="4">
        <v>2</v>
      </c>
      <c r="GF22" s="4">
        <v>2</v>
      </c>
      <c r="GG22" s="4">
        <v>2</v>
      </c>
      <c r="GH22" s="4">
        <v>3</v>
      </c>
      <c r="GI22" s="4">
        <v>1</v>
      </c>
      <c r="GJ22" s="4">
        <v>1</v>
      </c>
      <c r="GK22" s="4">
        <v>1</v>
      </c>
      <c r="GL22" s="4">
        <v>1</v>
      </c>
      <c r="GM22" s="4">
        <v>1</v>
      </c>
      <c r="GN22" s="4">
        <v>1</v>
      </c>
      <c r="GO22" s="4">
        <v>1</v>
      </c>
      <c r="GP22" s="4">
        <v>1</v>
      </c>
      <c r="GQ22" s="4">
        <v>3</v>
      </c>
      <c r="GR22" s="4">
        <v>3</v>
      </c>
      <c r="GS22" s="4">
        <v>3</v>
      </c>
      <c r="GT22" s="4">
        <v>4</v>
      </c>
      <c r="GU22" s="4">
        <v>1</v>
      </c>
      <c r="GV22" s="4">
        <v>3</v>
      </c>
      <c r="GW22" s="4">
        <v>1</v>
      </c>
      <c r="GX22" s="4">
        <v>2</v>
      </c>
      <c r="GY22" s="4">
        <v>1</v>
      </c>
      <c r="GZ22" s="4">
        <v>1</v>
      </c>
      <c r="HA22" s="4">
        <v>1</v>
      </c>
      <c r="HB22" s="4">
        <v>3</v>
      </c>
      <c r="HC22" s="4">
        <v>3</v>
      </c>
      <c r="HD22" s="4">
        <v>3</v>
      </c>
      <c r="HE22" s="4">
        <v>3</v>
      </c>
      <c r="HF22" s="4">
        <v>1</v>
      </c>
      <c r="HG22" s="4">
        <f t="shared" si="24"/>
        <v>55</v>
      </c>
      <c r="HH22" s="4">
        <f t="shared" si="25"/>
        <v>15</v>
      </c>
      <c r="HI22" s="4">
        <f t="shared" si="26"/>
        <v>11</v>
      </c>
      <c r="HJ22" s="4">
        <f t="shared" si="27"/>
        <v>16</v>
      </c>
      <c r="HK22" s="4">
        <f t="shared" si="28"/>
        <v>16</v>
      </c>
      <c r="HL22" s="4">
        <f t="shared" si="29"/>
        <v>23</v>
      </c>
      <c r="HM22" s="4" t="s">
        <v>356</v>
      </c>
      <c r="HN22" s="4" t="s">
        <v>356</v>
      </c>
      <c r="HO22" s="4" t="s">
        <v>356</v>
      </c>
      <c r="HP22" s="4" t="s">
        <v>356</v>
      </c>
      <c r="HQ22" s="4" t="s">
        <v>356</v>
      </c>
      <c r="HR22" s="4" t="s">
        <v>356</v>
      </c>
      <c r="HS22" s="4" t="s">
        <v>356</v>
      </c>
      <c r="HT22" s="4" t="s">
        <v>356</v>
      </c>
      <c r="HU22" s="4" t="s">
        <v>356</v>
      </c>
      <c r="HV22" s="4" t="s">
        <v>356</v>
      </c>
      <c r="HW22" s="4" t="s">
        <v>356</v>
      </c>
      <c r="HX22" s="4" t="s">
        <v>356</v>
      </c>
      <c r="HY22" s="4" t="s">
        <v>356</v>
      </c>
      <c r="HZ22" s="4" t="s">
        <v>356</v>
      </c>
      <c r="IA22" s="4" t="s">
        <v>356</v>
      </c>
      <c r="IB22" s="4" t="s">
        <v>356</v>
      </c>
      <c r="IC22" s="4" t="s">
        <v>356</v>
      </c>
      <c r="ID22" s="4" t="s">
        <v>356</v>
      </c>
      <c r="IE22" s="4" t="s">
        <v>356</v>
      </c>
      <c r="IF22" s="4" t="s">
        <v>356</v>
      </c>
      <c r="IG22" s="4" t="s">
        <v>356</v>
      </c>
      <c r="IH22" s="4" t="s">
        <v>356</v>
      </c>
      <c r="II22" s="4" t="s">
        <v>356</v>
      </c>
      <c r="IJ22" s="4" t="s">
        <v>356</v>
      </c>
      <c r="IK22" s="4" t="s">
        <v>356</v>
      </c>
      <c r="IL22" s="4" t="s">
        <v>356</v>
      </c>
      <c r="IM22" s="4" t="s">
        <v>356</v>
      </c>
      <c r="IN22" s="4" t="s">
        <v>356</v>
      </c>
      <c r="IO22" s="4" t="s">
        <v>356</v>
      </c>
      <c r="IP22" s="4" t="s">
        <v>356</v>
      </c>
      <c r="IQ22" s="4" t="s">
        <v>356</v>
      </c>
      <c r="IR22" s="4" t="s">
        <v>356</v>
      </c>
      <c r="IS22" s="4" t="s">
        <v>356</v>
      </c>
      <c r="IT22" s="4" t="s">
        <v>356</v>
      </c>
      <c r="IU22" s="4" t="s">
        <v>383</v>
      </c>
      <c r="IV22" s="4" t="s">
        <v>383</v>
      </c>
      <c r="IW22" s="4" t="s">
        <v>383</v>
      </c>
      <c r="IX22" s="4" t="s">
        <v>383</v>
      </c>
      <c r="IY22" s="4" t="s">
        <v>356</v>
      </c>
      <c r="IZ22" s="4" t="s">
        <v>356</v>
      </c>
      <c r="JA22" s="4" t="s">
        <v>356</v>
      </c>
      <c r="JB22" s="4" t="s">
        <v>356</v>
      </c>
      <c r="JC22" s="4" t="s">
        <v>356</v>
      </c>
      <c r="JD22" s="4" t="s">
        <v>356</v>
      </c>
      <c r="JE22" s="4" t="s">
        <v>356</v>
      </c>
      <c r="JF22" s="4" t="s">
        <v>356</v>
      </c>
      <c r="JG22" s="4" t="s">
        <v>356</v>
      </c>
      <c r="JH22" s="4" t="s">
        <v>356</v>
      </c>
      <c r="JI22" s="4" t="s">
        <v>356</v>
      </c>
      <c r="JJ22" s="4" t="s">
        <v>356</v>
      </c>
      <c r="JK22" s="4" t="s">
        <v>356</v>
      </c>
      <c r="JL22" s="4" t="s">
        <v>356</v>
      </c>
      <c r="JM22" s="4" t="s">
        <v>356</v>
      </c>
      <c r="JN22" s="4" t="s">
        <v>356</v>
      </c>
      <c r="JO22" s="4" t="s">
        <v>356</v>
      </c>
      <c r="JP22" s="4" t="s">
        <v>356</v>
      </c>
      <c r="JQ22" s="4" t="s">
        <v>356</v>
      </c>
      <c r="JR22" s="4" t="s">
        <v>356</v>
      </c>
      <c r="JS22" s="4" t="s">
        <v>356</v>
      </c>
      <c r="JT22" s="4" t="s">
        <v>356</v>
      </c>
      <c r="JU22" s="4" t="s">
        <v>356</v>
      </c>
      <c r="JV22" s="4" t="s">
        <v>356</v>
      </c>
      <c r="JW22" s="4" t="s">
        <v>356</v>
      </c>
      <c r="JX22" s="4" t="s">
        <v>356</v>
      </c>
      <c r="JY22" s="4" t="s">
        <v>356</v>
      </c>
      <c r="JZ22" s="4" t="s">
        <v>356</v>
      </c>
      <c r="KA22" s="4" t="s">
        <v>356</v>
      </c>
      <c r="KB22" s="4" t="s">
        <v>356</v>
      </c>
      <c r="KC22" s="4" t="s">
        <v>356</v>
      </c>
      <c r="KD22" s="4" t="s">
        <v>356</v>
      </c>
      <c r="KE22" s="4" t="s">
        <v>356</v>
      </c>
      <c r="KF22" s="4" t="s">
        <v>356</v>
      </c>
      <c r="KG22" s="4" t="s">
        <v>356</v>
      </c>
      <c r="KH22" s="4" t="s">
        <v>356</v>
      </c>
      <c r="KI22" s="4" t="s">
        <v>356</v>
      </c>
      <c r="KJ22" s="4" t="s">
        <v>356</v>
      </c>
      <c r="KK22" s="4" t="s">
        <v>356</v>
      </c>
      <c r="KL22" s="4" t="s">
        <v>356</v>
      </c>
      <c r="KM22" s="4" t="s">
        <v>356</v>
      </c>
      <c r="KN22" s="4" t="s">
        <v>356</v>
      </c>
      <c r="KO22" s="4" t="s">
        <v>356</v>
      </c>
      <c r="KP22" s="4" t="s">
        <v>356</v>
      </c>
      <c r="KQ22" s="4" t="s">
        <v>356</v>
      </c>
      <c r="KR22" s="4" t="s">
        <v>356</v>
      </c>
      <c r="KS22" s="4" t="s">
        <v>356</v>
      </c>
      <c r="KT22" s="4" t="s">
        <v>356</v>
      </c>
      <c r="KU22" s="4" t="s">
        <v>356</v>
      </c>
      <c r="KV22" s="4" t="s">
        <v>356</v>
      </c>
      <c r="KW22" s="4" t="s">
        <v>356</v>
      </c>
      <c r="KX22" s="4" t="s">
        <v>356</v>
      </c>
      <c r="KY22" s="4" t="s">
        <v>356</v>
      </c>
      <c r="KZ22" s="4" t="s">
        <v>356</v>
      </c>
      <c r="LA22" s="4" t="s">
        <v>356</v>
      </c>
      <c r="LB22" s="4" t="s">
        <v>356</v>
      </c>
      <c r="LC22" s="4" t="s">
        <v>356</v>
      </c>
      <c r="LD22" s="4" t="s">
        <v>356</v>
      </c>
      <c r="LE22" s="4" t="s">
        <v>356</v>
      </c>
      <c r="LF22" s="4" t="s">
        <v>356</v>
      </c>
      <c r="LG22" s="4" t="s">
        <v>356</v>
      </c>
      <c r="LH22" s="4" t="s">
        <v>356</v>
      </c>
      <c r="LI22" s="4" t="s">
        <v>356</v>
      </c>
      <c r="LJ22" s="4" t="s">
        <v>356</v>
      </c>
      <c r="LK22" s="4" t="s">
        <v>356</v>
      </c>
      <c r="LL22" s="4" t="s">
        <v>356</v>
      </c>
      <c r="LM22" s="4" t="s">
        <v>356</v>
      </c>
      <c r="LN22" s="4" t="s">
        <v>356</v>
      </c>
      <c r="LO22" s="4" t="s">
        <v>356</v>
      </c>
      <c r="LP22" s="4" t="s">
        <v>356</v>
      </c>
      <c r="LQ22" s="4" t="s">
        <v>356</v>
      </c>
      <c r="LR22" s="4" t="s">
        <v>356</v>
      </c>
      <c r="LS22" s="4" t="s">
        <v>356</v>
      </c>
      <c r="LT22" s="4" t="s">
        <v>356</v>
      </c>
      <c r="LU22" s="4" t="s">
        <v>356</v>
      </c>
      <c r="LV22" s="4" t="s">
        <v>356</v>
      </c>
      <c r="LW22" s="4" t="s">
        <v>356</v>
      </c>
      <c r="LX22" s="4" t="s">
        <v>356</v>
      </c>
      <c r="LY22" s="4" t="s">
        <v>356</v>
      </c>
      <c r="LZ22" s="3">
        <v>0</v>
      </c>
      <c r="MA22" s="3">
        <v>0</v>
      </c>
      <c r="MB22" s="3">
        <v>3</v>
      </c>
      <c r="MC22" s="3">
        <v>0</v>
      </c>
      <c r="MD22" s="3">
        <f t="shared" si="7"/>
        <v>3</v>
      </c>
      <c r="ME22" s="3">
        <v>0</v>
      </c>
      <c r="MF22" s="3">
        <v>0</v>
      </c>
      <c r="MG22" s="3">
        <v>0</v>
      </c>
      <c r="MH22" s="3">
        <v>0</v>
      </c>
      <c r="MI22" s="3">
        <f t="shared" si="8"/>
        <v>0</v>
      </c>
    </row>
    <row r="23" spans="1:347" ht="15.75" customHeight="1" x14ac:dyDescent="0.25">
      <c r="A23" s="4" t="s">
        <v>982</v>
      </c>
      <c r="B23" s="4">
        <v>25</v>
      </c>
      <c r="C23" s="4" t="s">
        <v>403</v>
      </c>
      <c r="D23" s="4">
        <v>13</v>
      </c>
      <c r="E23" s="4">
        <v>0</v>
      </c>
      <c r="F23" s="4" t="s">
        <v>360</v>
      </c>
      <c r="G23" s="4" t="s">
        <v>356</v>
      </c>
      <c r="H23" s="4" t="s">
        <v>983</v>
      </c>
      <c r="I23" s="4" t="s">
        <v>983</v>
      </c>
      <c r="J23" s="4" t="s">
        <v>984</v>
      </c>
      <c r="K23" s="4"/>
      <c r="L23" s="7" t="s">
        <v>984</v>
      </c>
      <c r="M23" s="4" t="s">
        <v>449</v>
      </c>
      <c r="N23" s="4" t="s">
        <v>605</v>
      </c>
      <c r="O23" s="9">
        <v>45855</v>
      </c>
      <c r="P23" s="9">
        <v>45890</v>
      </c>
      <c r="Q23" s="4" t="s">
        <v>970</v>
      </c>
      <c r="R23" s="4"/>
      <c r="S23" s="4" t="s">
        <v>654</v>
      </c>
      <c r="T23" s="4" t="s">
        <v>360</v>
      </c>
      <c r="U23" s="4"/>
      <c r="V23" s="4" t="s">
        <v>654</v>
      </c>
      <c r="W23" s="4" t="s">
        <v>844</v>
      </c>
      <c r="X23" s="4" t="s">
        <v>364</v>
      </c>
      <c r="Y23" s="4"/>
      <c r="Z23" s="4"/>
      <c r="AA23" s="4"/>
      <c r="AB23" s="4"/>
      <c r="AC23" s="4"/>
      <c r="AD23" s="4"/>
      <c r="AE23" s="4"/>
      <c r="AF23" s="4"/>
      <c r="AG23" s="4"/>
      <c r="AH23" s="4" t="s">
        <v>654</v>
      </c>
      <c r="AI23" s="4" t="s">
        <v>985</v>
      </c>
      <c r="AJ23" s="4" t="s">
        <v>844</v>
      </c>
      <c r="AK23" s="4" t="s">
        <v>986</v>
      </c>
      <c r="AL23" s="5" t="s">
        <v>356</v>
      </c>
      <c r="AM23" s="5" t="s">
        <v>356</v>
      </c>
      <c r="AN23" s="5" t="s">
        <v>356</v>
      </c>
      <c r="AO23" s="5" t="s">
        <v>356</v>
      </c>
      <c r="AP23" s="5" t="s">
        <v>356</v>
      </c>
      <c r="AQ23" s="5" t="s">
        <v>356</v>
      </c>
      <c r="AR23" s="5" t="s">
        <v>356</v>
      </c>
      <c r="AS23" s="5" t="s">
        <v>356</v>
      </c>
      <c r="AT23" s="5" t="s">
        <v>356</v>
      </c>
      <c r="AU23" s="5" t="s">
        <v>356</v>
      </c>
      <c r="AV23" s="5" t="s">
        <v>356</v>
      </c>
      <c r="AW23" s="5" t="s">
        <v>356</v>
      </c>
      <c r="AX23" s="4">
        <v>2</v>
      </c>
      <c r="AY23" s="4"/>
      <c r="AZ23" s="5" t="s">
        <v>383</v>
      </c>
      <c r="BA23" s="4">
        <f t="shared" si="9"/>
        <v>35</v>
      </c>
      <c r="BB23" s="4"/>
      <c r="BC23" s="4" t="s">
        <v>360</v>
      </c>
      <c r="BD23" s="4"/>
      <c r="BE23" s="4"/>
      <c r="BF23" s="4"/>
      <c r="BG23" s="6">
        <v>45867</v>
      </c>
      <c r="BH23" s="4" t="s">
        <v>356</v>
      </c>
      <c r="BI23" s="4" t="s">
        <v>356</v>
      </c>
      <c r="BJ23" s="4" t="s">
        <v>356</v>
      </c>
      <c r="BK23" s="4" t="s">
        <v>356</v>
      </c>
      <c r="BL23" s="4" t="s">
        <v>356</v>
      </c>
      <c r="BM23" s="4" t="s">
        <v>356</v>
      </c>
      <c r="BN23" s="4" t="s">
        <v>356</v>
      </c>
      <c r="BO23" s="4" t="s">
        <v>356</v>
      </c>
      <c r="BP23" s="4">
        <v>4</v>
      </c>
      <c r="BQ23" s="4">
        <v>4</v>
      </c>
      <c r="BR23" s="4">
        <v>7</v>
      </c>
      <c r="BS23" s="4">
        <v>51</v>
      </c>
      <c r="BT23" s="4">
        <v>1</v>
      </c>
      <c r="BU23" s="4">
        <v>1</v>
      </c>
      <c r="BV23" s="4">
        <v>1</v>
      </c>
      <c r="BW23" s="4">
        <v>1</v>
      </c>
      <c r="BX23" s="4">
        <v>2</v>
      </c>
      <c r="BY23" s="4">
        <v>1</v>
      </c>
      <c r="BZ23" s="4">
        <v>1</v>
      </c>
      <c r="CA23" s="4">
        <v>2</v>
      </c>
      <c r="CB23" s="4">
        <v>2</v>
      </c>
      <c r="CC23" s="4">
        <v>3</v>
      </c>
      <c r="CD23" s="4">
        <v>2</v>
      </c>
      <c r="CE23" s="4">
        <v>2</v>
      </c>
      <c r="CF23" s="4">
        <v>1</v>
      </c>
      <c r="CG23" s="4">
        <v>1</v>
      </c>
      <c r="CH23" s="4">
        <v>2</v>
      </c>
      <c r="CI23" s="4">
        <v>4</v>
      </c>
      <c r="CJ23" s="4">
        <v>4</v>
      </c>
      <c r="CK23" s="4">
        <v>4</v>
      </c>
      <c r="CL23" s="4">
        <v>1</v>
      </c>
      <c r="CM23" s="4">
        <v>3</v>
      </c>
      <c r="CN23" s="4">
        <v>1</v>
      </c>
      <c r="CO23" s="4">
        <v>1</v>
      </c>
      <c r="CP23" s="4">
        <v>2</v>
      </c>
      <c r="CQ23" s="4">
        <v>2</v>
      </c>
      <c r="CR23" s="4">
        <v>3</v>
      </c>
      <c r="CS23" s="4">
        <v>3</v>
      </c>
      <c r="CT23" s="4">
        <v>3</v>
      </c>
      <c r="CU23" s="4">
        <v>4</v>
      </c>
      <c r="CV23" s="4">
        <v>3</v>
      </c>
      <c r="CW23" s="4">
        <v>2</v>
      </c>
      <c r="CX23" s="4">
        <f>SUM(Foglio1!$BT23:$CW23)</f>
        <v>63</v>
      </c>
      <c r="CY23" s="4">
        <f>SUM(Foglio1!$BT23+Foglio1!$BV23+Foglio1!$CP23+Foglio1!$BY23+Foglio1!$BX23+Foglio1!$CH23+Foglio1!$CS23+Foglio1!$CW23-Foglio1!$CE23)</f>
        <v>12</v>
      </c>
      <c r="CZ23" s="4">
        <f>SUM(Foglio1!$CF23+Foglio1!$CA23+Foglio1!$CB23+Foglio1!$CD23+Foglio1!$CN23+Foglio1!$CC23+Foglio1!$CW23+Foglio1!$CO23+Foglio1!$CT23-Foglio1!$BU23)</f>
        <v>16</v>
      </c>
      <c r="DA23" s="4">
        <f>SUM(Foglio1!$CG23+Foglio1!$CR23+Foglio1!$CQ23+Foglio1!$BU23+Foglio1!$CE23+Foglio1!$CL23+Foglio1!$CS23+Foglio1!$CT23+Foglio1!$CV23+Foglio1!$CP23)</f>
        <v>21</v>
      </c>
      <c r="DB23" s="4">
        <f>SUM(Foglio1!$CU23+Foglio1!$BW23+Foglio1!$BZ23+Foglio1!$CO23+Foglio1!$BX23+Foglio1!$CC23+Foglio1!$CK23+Foglio1!$CW23)</f>
        <v>18</v>
      </c>
      <c r="DC23" s="4">
        <f>SUM(Foglio1!$CI23+Foglio1!$CM23+Foglio1!$CJ23+Foglio1!$CK23+Foglio1!$BY23+Foglio1!$CH23+Foglio1!$CV23+Foglio1!$CW23)</f>
        <v>23</v>
      </c>
      <c r="DD23" s="4">
        <v>0</v>
      </c>
      <c r="DE23" s="4">
        <v>0</v>
      </c>
      <c r="DF23" s="4">
        <v>0</v>
      </c>
      <c r="DG23" s="4">
        <v>0</v>
      </c>
      <c r="DH23" s="4">
        <v>0</v>
      </c>
      <c r="DI23" s="4">
        <v>0</v>
      </c>
      <c r="DJ23" s="4">
        <v>0</v>
      </c>
      <c r="DK23" s="4">
        <v>0</v>
      </c>
      <c r="DL23" s="4">
        <v>0</v>
      </c>
      <c r="DM23" s="4">
        <v>0</v>
      </c>
      <c r="DN23" s="4">
        <v>0</v>
      </c>
      <c r="DO23" s="4">
        <v>0</v>
      </c>
      <c r="DP23" s="4">
        <v>0</v>
      </c>
      <c r="DQ23" s="4">
        <v>0</v>
      </c>
      <c r="DR23" s="4">
        <v>0</v>
      </c>
      <c r="DS23" s="4">
        <v>0</v>
      </c>
      <c r="DT23" s="4">
        <v>0</v>
      </c>
      <c r="DU23" s="4">
        <v>0</v>
      </c>
      <c r="DV23" s="4">
        <v>0</v>
      </c>
      <c r="DW23" s="4">
        <v>0</v>
      </c>
      <c r="DX23" s="4">
        <v>0</v>
      </c>
      <c r="DY23" s="4">
        <v>3</v>
      </c>
      <c r="DZ23" s="4">
        <v>0</v>
      </c>
      <c r="EA23" s="4">
        <v>3</v>
      </c>
      <c r="EB23" s="4">
        <v>0</v>
      </c>
      <c r="EC23" s="4">
        <v>3</v>
      </c>
      <c r="ED23" s="4">
        <v>2</v>
      </c>
      <c r="EE23" s="4">
        <v>3</v>
      </c>
      <c r="EF23" s="4">
        <v>3</v>
      </c>
      <c r="EG23" s="4">
        <v>3</v>
      </c>
      <c r="EH23" s="4">
        <f>(Foglio1!$DE23+Foglio1!$DH23+Foglio1!$DG23+Foglio1!$DF23+Foglio1!$DM23+Foglio1!$DD23+Foglio1!$DO23+Foglio1!$DL23+Foglio1!$DN23+Foglio1!$DQ23+Foglio1!$DP23+Foglio1!$DT23+Foglio1!$DI23+Foglio1!$DK23+Foglio1!$DU23)</f>
        <v>0</v>
      </c>
      <c r="EI23" s="4">
        <f>(Foglio1!$EA23+Foglio1!$EB23+Foglio1!$EE23+Foglio1!$EC23+Foglio1!$ED23+Foglio1!$DZ23+Foglio1!$DY23)</f>
        <v>14</v>
      </c>
      <c r="EJ23" s="4">
        <f>(Foglio1!$DW23+Foglio1!$DV23+Foglio1!$DX23)</f>
        <v>0</v>
      </c>
      <c r="EK23" s="4">
        <f>(Foglio1!$EG23+Foglio1!$EF23)</f>
        <v>6</v>
      </c>
      <c r="EL23" s="4">
        <v>1</v>
      </c>
      <c r="EM23" s="4">
        <v>1</v>
      </c>
      <c r="EN23" s="4">
        <v>1</v>
      </c>
      <c r="EO23" s="4">
        <v>1</v>
      </c>
      <c r="EP23" s="4">
        <f t="array" ref="EP23">SUM(EL23:EO23/4)</f>
        <v>1</v>
      </c>
      <c r="EQ23" s="4">
        <v>1</v>
      </c>
      <c r="ER23" s="4">
        <v>1</v>
      </c>
      <c r="ES23" s="4">
        <v>1</v>
      </c>
      <c r="ET23" s="4">
        <v>1</v>
      </c>
      <c r="EU23" s="4" t="s">
        <v>383</v>
      </c>
      <c r="EV23" s="4">
        <v>1</v>
      </c>
      <c r="EW23" s="4" t="s">
        <v>383</v>
      </c>
      <c r="EX23" s="4">
        <v>1</v>
      </c>
      <c r="EY23" s="4">
        <f>(Foglio1!$EQ23+Foglio1!$ER23+Foglio1!$ES23+Foglio1!$ET23+Foglio1!$EV23+Foglio1!$EX23)/6</f>
        <v>1</v>
      </c>
      <c r="EZ23" s="4">
        <v>1</v>
      </c>
      <c r="FA23" s="4">
        <v>1</v>
      </c>
      <c r="FB23" s="4">
        <v>0</v>
      </c>
      <c r="FC23" s="4">
        <f>(Foglio1!$EZ23+Foglio1!$FA23+Foglio1!$FB23)/3</f>
        <v>0.66666666666666663</v>
      </c>
      <c r="FD23" s="4">
        <v>1</v>
      </c>
      <c r="FE23" s="4">
        <v>0</v>
      </c>
      <c r="FF23" s="4">
        <f>(Foglio1!$FD23+Foglio1!$FE23)/2</f>
        <v>0.5</v>
      </c>
      <c r="FG23" s="4" t="s">
        <v>383</v>
      </c>
      <c r="FH23" s="4">
        <v>0</v>
      </c>
      <c r="FI23" s="4" t="s">
        <v>383</v>
      </c>
      <c r="FJ23" s="4">
        <v>0</v>
      </c>
      <c r="FK23" s="4" t="s">
        <v>383</v>
      </c>
      <c r="FL23" s="4">
        <v>1</v>
      </c>
      <c r="FM23" s="4">
        <f>(Foglio1!$FH23+Foglio1!$FJ23+Foglio1!$FL23)/3</f>
        <v>0.33333333333333331</v>
      </c>
      <c r="FN23" s="4">
        <f>(Foglio1!$EP23)</f>
        <v>1</v>
      </c>
      <c r="FO23" s="4">
        <f>(Foglio1!$EY23+Foglio1!$FC23+Foglio1!$FF23+Foglio1!$FM23)/4</f>
        <v>0.625</v>
      </c>
      <c r="FP23" s="4">
        <f>(Foglio1!$EP23+Foglio1!$EY23+Foglio1!$FC23+Foglio1!$FF23+Foglio1!$FM23)/5</f>
        <v>0.7</v>
      </c>
      <c r="FQ23" s="4"/>
      <c r="FR23" s="4" t="s">
        <v>356</v>
      </c>
      <c r="FS23" s="4" t="s">
        <v>356</v>
      </c>
      <c r="FT23" s="4" t="s">
        <v>356</v>
      </c>
      <c r="FU23" s="4" t="s">
        <v>356</v>
      </c>
      <c r="FV23" s="4" t="s">
        <v>356</v>
      </c>
      <c r="FW23" s="4" t="s">
        <v>356</v>
      </c>
      <c r="FX23" s="4" t="s">
        <v>356</v>
      </c>
      <c r="FY23" s="4">
        <v>3</v>
      </c>
      <c r="FZ23" s="4">
        <v>2</v>
      </c>
      <c r="GA23" s="4">
        <v>2</v>
      </c>
      <c r="GB23" s="4">
        <v>70</v>
      </c>
      <c r="GC23" s="4">
        <v>1</v>
      </c>
      <c r="GD23" s="4">
        <v>1</v>
      </c>
      <c r="GE23" s="4">
        <v>1</v>
      </c>
      <c r="GF23" s="4">
        <v>1</v>
      </c>
      <c r="GG23" s="4">
        <v>1</v>
      </c>
      <c r="GH23" s="4">
        <v>1</v>
      </c>
      <c r="GI23" s="4">
        <v>2</v>
      </c>
      <c r="GJ23" s="4">
        <v>2</v>
      </c>
      <c r="GK23" s="4">
        <v>2</v>
      </c>
      <c r="GL23" s="4">
        <v>2</v>
      </c>
      <c r="GM23" s="4">
        <v>1</v>
      </c>
      <c r="GN23" s="4">
        <v>1</v>
      </c>
      <c r="GO23" s="4">
        <v>1</v>
      </c>
      <c r="GP23" s="4">
        <v>1</v>
      </c>
      <c r="GQ23" s="4">
        <v>2</v>
      </c>
      <c r="GR23" s="4">
        <v>2</v>
      </c>
      <c r="GS23" s="4">
        <v>2</v>
      </c>
      <c r="GT23" s="4">
        <v>1</v>
      </c>
      <c r="GU23" s="4">
        <v>1</v>
      </c>
      <c r="GV23" s="4">
        <v>2</v>
      </c>
      <c r="GW23" s="4">
        <v>1</v>
      </c>
      <c r="GX23" s="4">
        <v>1</v>
      </c>
      <c r="GY23" s="4">
        <v>1</v>
      </c>
      <c r="GZ23" s="4">
        <v>1</v>
      </c>
      <c r="HA23" s="4">
        <v>1</v>
      </c>
      <c r="HB23" s="4">
        <v>2</v>
      </c>
      <c r="HC23" s="4">
        <v>2</v>
      </c>
      <c r="HD23" s="4">
        <v>2</v>
      </c>
      <c r="HE23" s="4">
        <v>2</v>
      </c>
      <c r="HF23" s="4">
        <v>1</v>
      </c>
      <c r="HG23" s="4">
        <f t="shared" si="24"/>
        <v>42</v>
      </c>
      <c r="HH23" s="4">
        <f t="shared" si="25"/>
        <v>9</v>
      </c>
      <c r="HI23" s="4">
        <f t="shared" si="26"/>
        <v>12</v>
      </c>
      <c r="HJ23" s="4">
        <f t="shared" si="27"/>
        <v>13</v>
      </c>
      <c r="HK23" s="4">
        <f t="shared" si="28"/>
        <v>11</v>
      </c>
      <c r="HL23" s="4">
        <f t="shared" si="29"/>
        <v>13</v>
      </c>
      <c r="HM23" s="4" t="s">
        <v>356</v>
      </c>
      <c r="HN23" s="4" t="s">
        <v>356</v>
      </c>
      <c r="HO23" s="4" t="s">
        <v>356</v>
      </c>
      <c r="HP23" s="4" t="s">
        <v>356</v>
      </c>
      <c r="HQ23" s="4" t="s">
        <v>356</v>
      </c>
      <c r="HR23" s="4" t="s">
        <v>356</v>
      </c>
      <c r="HS23" s="4" t="s">
        <v>356</v>
      </c>
      <c r="HT23" s="4" t="s">
        <v>356</v>
      </c>
      <c r="HU23" s="4" t="s">
        <v>356</v>
      </c>
      <c r="HV23" s="4" t="s">
        <v>356</v>
      </c>
      <c r="HW23" s="4" t="s">
        <v>356</v>
      </c>
      <c r="HX23" s="4" t="s">
        <v>356</v>
      </c>
      <c r="HY23" s="4" t="s">
        <v>356</v>
      </c>
      <c r="HZ23" s="4" t="s">
        <v>356</v>
      </c>
      <c r="IA23" s="4" t="s">
        <v>356</v>
      </c>
      <c r="IB23" s="4" t="s">
        <v>356</v>
      </c>
      <c r="IC23" s="4" t="s">
        <v>356</v>
      </c>
      <c r="ID23" s="4" t="s">
        <v>356</v>
      </c>
      <c r="IE23" s="4" t="s">
        <v>356</v>
      </c>
      <c r="IF23" s="4" t="s">
        <v>356</v>
      </c>
      <c r="IG23" s="4" t="s">
        <v>356</v>
      </c>
      <c r="IH23" s="4" t="s">
        <v>356</v>
      </c>
      <c r="II23" s="4" t="s">
        <v>356</v>
      </c>
      <c r="IJ23" s="4" t="s">
        <v>356</v>
      </c>
      <c r="IK23" s="4" t="s">
        <v>356</v>
      </c>
      <c r="IL23" s="4" t="s">
        <v>356</v>
      </c>
      <c r="IM23" s="4" t="s">
        <v>356</v>
      </c>
      <c r="IN23" s="4" t="s">
        <v>356</v>
      </c>
      <c r="IO23" s="4" t="s">
        <v>356</v>
      </c>
      <c r="IP23" s="4" t="s">
        <v>356</v>
      </c>
      <c r="IQ23" s="4" t="s">
        <v>356</v>
      </c>
      <c r="IR23" s="4" t="s">
        <v>356</v>
      </c>
      <c r="IS23" s="4" t="s">
        <v>356</v>
      </c>
      <c r="IT23" s="4" t="s">
        <v>356</v>
      </c>
      <c r="IU23" s="4" t="s">
        <v>383</v>
      </c>
      <c r="IV23" s="4" t="s">
        <v>383</v>
      </c>
      <c r="IW23" s="4" t="s">
        <v>383</v>
      </c>
      <c r="IX23" s="4" t="s">
        <v>383</v>
      </c>
      <c r="IY23" s="4" t="s">
        <v>356</v>
      </c>
      <c r="IZ23" s="4" t="s">
        <v>356</v>
      </c>
      <c r="JA23" s="4" t="s">
        <v>356</v>
      </c>
      <c r="JB23" s="4" t="s">
        <v>356</v>
      </c>
      <c r="JC23" s="4" t="s">
        <v>356</v>
      </c>
      <c r="JD23" s="4" t="s">
        <v>356</v>
      </c>
      <c r="JE23" s="4" t="s">
        <v>356</v>
      </c>
      <c r="JF23" s="4" t="s">
        <v>356</v>
      </c>
      <c r="JG23" s="4" t="s">
        <v>356</v>
      </c>
      <c r="JH23" s="4" t="s">
        <v>356</v>
      </c>
      <c r="JI23" s="4" t="s">
        <v>356</v>
      </c>
      <c r="JJ23" s="4" t="s">
        <v>356</v>
      </c>
      <c r="JK23" s="4" t="s">
        <v>356</v>
      </c>
      <c r="JL23" s="4" t="s">
        <v>356</v>
      </c>
      <c r="JM23" s="4" t="s">
        <v>356</v>
      </c>
      <c r="JN23" s="4" t="s">
        <v>356</v>
      </c>
      <c r="JO23" s="4" t="s">
        <v>356</v>
      </c>
      <c r="JP23" s="4" t="s">
        <v>356</v>
      </c>
      <c r="JQ23" s="4" t="s">
        <v>356</v>
      </c>
      <c r="JR23" s="4" t="s">
        <v>356</v>
      </c>
      <c r="JS23" s="4" t="s">
        <v>356</v>
      </c>
      <c r="JT23" s="4" t="s">
        <v>356</v>
      </c>
      <c r="JU23" s="4" t="s">
        <v>356</v>
      </c>
      <c r="JV23" s="4" t="s">
        <v>356</v>
      </c>
      <c r="JW23" s="4" t="s">
        <v>356</v>
      </c>
      <c r="JX23" s="4" t="s">
        <v>356</v>
      </c>
      <c r="JY23" s="4" t="s">
        <v>356</v>
      </c>
      <c r="JZ23" s="4" t="s">
        <v>356</v>
      </c>
      <c r="KA23" s="4" t="s">
        <v>356</v>
      </c>
      <c r="KB23" s="4" t="s">
        <v>356</v>
      </c>
      <c r="KC23" s="4" t="s">
        <v>356</v>
      </c>
      <c r="KD23" s="4" t="s">
        <v>356</v>
      </c>
      <c r="KE23" s="4" t="s">
        <v>356</v>
      </c>
      <c r="KF23" s="4" t="s">
        <v>356</v>
      </c>
      <c r="KG23" s="4" t="s">
        <v>356</v>
      </c>
      <c r="KH23" s="4" t="s">
        <v>356</v>
      </c>
      <c r="KI23" s="4" t="s">
        <v>356</v>
      </c>
      <c r="KJ23" s="4" t="s">
        <v>356</v>
      </c>
      <c r="KK23" s="4" t="s">
        <v>356</v>
      </c>
      <c r="KL23" s="4" t="s">
        <v>356</v>
      </c>
      <c r="KM23" s="4" t="s">
        <v>356</v>
      </c>
      <c r="KN23" s="4" t="s">
        <v>356</v>
      </c>
      <c r="KO23" s="4" t="s">
        <v>356</v>
      </c>
      <c r="KP23" s="4" t="s">
        <v>356</v>
      </c>
      <c r="KQ23" s="4" t="s">
        <v>356</v>
      </c>
      <c r="KR23" s="4" t="s">
        <v>356</v>
      </c>
      <c r="KS23" s="4" t="s">
        <v>356</v>
      </c>
      <c r="KT23" s="4" t="s">
        <v>356</v>
      </c>
      <c r="KU23" s="4" t="s">
        <v>356</v>
      </c>
      <c r="KV23" s="4" t="s">
        <v>356</v>
      </c>
      <c r="KW23" s="4" t="s">
        <v>356</v>
      </c>
      <c r="KX23" s="4" t="s">
        <v>356</v>
      </c>
      <c r="KY23" s="4" t="s">
        <v>356</v>
      </c>
      <c r="KZ23" s="4" t="s">
        <v>356</v>
      </c>
      <c r="LA23" s="4" t="s">
        <v>356</v>
      </c>
      <c r="LB23" s="4" t="s">
        <v>356</v>
      </c>
      <c r="LC23" s="4" t="s">
        <v>356</v>
      </c>
      <c r="LD23" s="4" t="s">
        <v>356</v>
      </c>
      <c r="LE23" s="4" t="s">
        <v>356</v>
      </c>
      <c r="LF23" s="4" t="s">
        <v>356</v>
      </c>
      <c r="LG23" s="4" t="s">
        <v>356</v>
      </c>
      <c r="LH23" s="4" t="s">
        <v>356</v>
      </c>
      <c r="LI23" s="4" t="s">
        <v>356</v>
      </c>
      <c r="LJ23" s="4" t="s">
        <v>356</v>
      </c>
      <c r="LK23" s="4" t="s">
        <v>356</v>
      </c>
      <c r="LL23" s="4" t="s">
        <v>356</v>
      </c>
      <c r="LM23" s="4" t="s">
        <v>356</v>
      </c>
      <c r="LN23" s="4" t="s">
        <v>356</v>
      </c>
      <c r="LO23" s="4" t="s">
        <v>356</v>
      </c>
      <c r="LP23" s="4" t="s">
        <v>356</v>
      </c>
      <c r="LQ23" s="4" t="s">
        <v>356</v>
      </c>
      <c r="LR23" s="4" t="s">
        <v>356</v>
      </c>
      <c r="LS23" s="4" t="s">
        <v>356</v>
      </c>
      <c r="LT23" s="4" t="s">
        <v>356</v>
      </c>
      <c r="LU23" s="4" t="s">
        <v>356</v>
      </c>
      <c r="LV23" s="4" t="s">
        <v>356</v>
      </c>
      <c r="LW23" s="4" t="s">
        <v>356</v>
      </c>
      <c r="LX23" s="4" t="s">
        <v>356</v>
      </c>
      <c r="LY23" s="4" t="s">
        <v>356</v>
      </c>
      <c r="LZ23" s="3">
        <v>0</v>
      </c>
      <c r="MA23" s="3">
        <v>0</v>
      </c>
      <c r="MB23" s="3">
        <v>1</v>
      </c>
      <c r="MC23" s="3">
        <v>1</v>
      </c>
      <c r="MD23" s="3">
        <f t="shared" si="7"/>
        <v>2</v>
      </c>
      <c r="ME23" s="3">
        <v>0</v>
      </c>
      <c r="MF23" s="3">
        <v>0</v>
      </c>
      <c r="MG23" s="3">
        <v>0</v>
      </c>
      <c r="MH23" s="3">
        <v>1</v>
      </c>
      <c r="MI23" s="3">
        <f t="shared" si="8"/>
        <v>1</v>
      </c>
    </row>
    <row r="24" spans="1:347" ht="15.75" customHeight="1" x14ac:dyDescent="0.25">
      <c r="A24" s="4" t="s">
        <v>987</v>
      </c>
      <c r="B24" s="4">
        <v>19</v>
      </c>
      <c r="C24" s="4" t="s">
        <v>403</v>
      </c>
      <c r="D24" s="4">
        <v>8</v>
      </c>
      <c r="E24" s="4">
        <v>0</v>
      </c>
      <c r="F24" s="4" t="s">
        <v>350</v>
      </c>
      <c r="G24" s="4" t="s">
        <v>356</v>
      </c>
      <c r="H24" s="4" t="s">
        <v>988</v>
      </c>
      <c r="I24" s="4" t="s">
        <v>989</v>
      </c>
      <c r="J24" s="7" t="s">
        <v>990</v>
      </c>
      <c r="K24" s="4"/>
      <c r="L24" s="4" t="s">
        <v>991</v>
      </c>
      <c r="M24" s="4" t="s">
        <v>449</v>
      </c>
      <c r="N24" s="4" t="s">
        <v>992</v>
      </c>
      <c r="O24" s="6">
        <v>45592</v>
      </c>
      <c r="P24" s="9">
        <v>45600</v>
      </c>
      <c r="Q24" s="4" t="s">
        <v>970</v>
      </c>
      <c r="R24" s="4"/>
      <c r="S24" s="4"/>
      <c r="T24" s="4"/>
      <c r="U24" s="4"/>
      <c r="V24" s="4"/>
      <c r="W24" s="4"/>
      <c r="X24" s="4"/>
      <c r="Y24" s="4"/>
      <c r="Z24" s="4"/>
      <c r="AA24" s="4"/>
      <c r="AB24" s="4"/>
      <c r="AC24" s="4"/>
      <c r="AD24" s="4"/>
      <c r="AE24" s="4"/>
      <c r="AF24" s="4"/>
      <c r="AG24" s="4"/>
      <c r="AH24" s="4" t="s">
        <v>798</v>
      </c>
      <c r="AI24" s="4" t="s">
        <v>993</v>
      </c>
      <c r="AJ24" s="4" t="s">
        <v>408</v>
      </c>
      <c r="AK24" s="4" t="s">
        <v>994</v>
      </c>
      <c r="AL24" s="4" t="s">
        <v>995</v>
      </c>
      <c r="AM24" s="4" t="s">
        <v>610</v>
      </c>
      <c r="AN24" s="5" t="s">
        <v>356</v>
      </c>
      <c r="AO24" s="5" t="s">
        <v>356</v>
      </c>
      <c r="AP24" s="5" t="s">
        <v>356</v>
      </c>
      <c r="AQ24" s="5" t="s">
        <v>356</v>
      </c>
      <c r="AR24" s="5" t="s">
        <v>356</v>
      </c>
      <c r="AS24" s="5" t="s">
        <v>356</v>
      </c>
      <c r="AT24" s="5" t="s">
        <v>356</v>
      </c>
      <c r="AU24" s="5" t="s">
        <v>356</v>
      </c>
      <c r="AV24" s="5" t="s">
        <v>356</v>
      </c>
      <c r="AW24" s="5" t="s">
        <v>356</v>
      </c>
      <c r="AX24" s="4">
        <v>3</v>
      </c>
      <c r="AY24" s="4"/>
      <c r="AZ24" s="4" t="s">
        <v>360</v>
      </c>
      <c r="BA24" s="4">
        <f t="shared" si="9"/>
        <v>8</v>
      </c>
      <c r="BB24" s="4"/>
      <c r="BC24" s="4"/>
      <c r="BD24" s="4"/>
      <c r="BE24" s="4"/>
      <c r="BF24" s="4"/>
      <c r="BG24" s="6">
        <v>45594</v>
      </c>
      <c r="BH24" s="4" t="s">
        <v>356</v>
      </c>
      <c r="BI24" s="4" t="s">
        <v>356</v>
      </c>
      <c r="BJ24" s="4" t="s">
        <v>356</v>
      </c>
      <c r="BK24" s="4" t="s">
        <v>356</v>
      </c>
      <c r="BL24" s="4" t="s">
        <v>356</v>
      </c>
      <c r="BM24" s="4" t="s">
        <v>356</v>
      </c>
      <c r="BN24" s="4" t="s">
        <v>356</v>
      </c>
      <c r="BO24" s="4" t="s">
        <v>356</v>
      </c>
      <c r="BP24" s="4">
        <v>4</v>
      </c>
      <c r="BQ24" s="4">
        <v>4</v>
      </c>
      <c r="BR24" s="4">
        <v>10</v>
      </c>
      <c r="BS24" s="4">
        <v>50</v>
      </c>
      <c r="BT24" s="4">
        <v>1</v>
      </c>
      <c r="BU24" s="4">
        <v>1</v>
      </c>
      <c r="BV24" s="4">
        <v>1</v>
      </c>
      <c r="BW24" s="4">
        <v>2</v>
      </c>
      <c r="BX24" s="4">
        <v>2</v>
      </c>
      <c r="BY24" s="4">
        <v>3</v>
      </c>
      <c r="BZ24" s="4">
        <v>3</v>
      </c>
      <c r="CA24" s="4">
        <v>1</v>
      </c>
      <c r="CB24" s="4">
        <v>1</v>
      </c>
      <c r="CC24" s="4">
        <v>1</v>
      </c>
      <c r="CD24" s="4">
        <v>1</v>
      </c>
      <c r="CE24" s="4">
        <v>1</v>
      </c>
      <c r="CF24" s="4">
        <v>1</v>
      </c>
      <c r="CG24" s="4">
        <v>1</v>
      </c>
      <c r="CH24" s="4">
        <v>2</v>
      </c>
      <c r="CI24" s="4">
        <v>2</v>
      </c>
      <c r="CJ24" s="4">
        <v>3</v>
      </c>
      <c r="CK24" s="4">
        <v>3</v>
      </c>
      <c r="CL24" s="4">
        <v>1</v>
      </c>
      <c r="CM24" s="4">
        <v>3</v>
      </c>
      <c r="CN24" s="4">
        <v>1</v>
      </c>
      <c r="CO24" s="4">
        <v>1</v>
      </c>
      <c r="CP24" s="4">
        <v>1</v>
      </c>
      <c r="CQ24" s="4">
        <v>1</v>
      </c>
      <c r="CR24" s="4">
        <v>1</v>
      </c>
      <c r="CS24" s="4">
        <v>2</v>
      </c>
      <c r="CT24" s="4">
        <v>3</v>
      </c>
      <c r="CU24" s="4">
        <v>3</v>
      </c>
      <c r="CV24" s="4">
        <v>3</v>
      </c>
      <c r="CW24" s="4">
        <v>2</v>
      </c>
      <c r="CX24" s="4">
        <f>SUM(Foglio1!$BT24:$CW24)</f>
        <v>52</v>
      </c>
      <c r="CY24" s="4">
        <f>SUM(Foglio1!$BT24+Foglio1!$BV24+Foglio1!$CP24+Foglio1!$BY24+Foglio1!$BX24+Foglio1!$CH24+Foglio1!$CS24+Foglio1!$CW24-Foglio1!$CE24)</f>
        <v>13</v>
      </c>
      <c r="CZ24" s="4">
        <f>SUM(Foglio1!$CF24+Foglio1!$CA24+Foglio1!$CB24+Foglio1!$CD24+Foglio1!$CN24+Foglio1!$CC24+Foglio1!$CW24+Foglio1!$CO24+Foglio1!$CT24-Foglio1!$BU24)</f>
        <v>11</v>
      </c>
      <c r="DA24" s="4">
        <f>SUM(Foglio1!$CG24+Foglio1!$CR24+Foglio1!$CQ24+Foglio1!$BU24+Foglio1!$CE24+Foglio1!$CL24+Foglio1!$CS24+Foglio1!$CT24+Foglio1!$CV24+Foglio1!$CP24)</f>
        <v>15</v>
      </c>
      <c r="DB24" s="4">
        <f>SUM(Foglio1!$CU24+Foglio1!$BW24+Foglio1!$BZ24+Foglio1!$CO24+Foglio1!$BX24+Foglio1!$CC24+Foglio1!$CK24+Foglio1!$CW24)</f>
        <v>17</v>
      </c>
      <c r="DC24" s="4">
        <f>SUM(Foglio1!$CI24+Foglio1!$CM24+Foglio1!$CJ24+Foglio1!$CK24+Foglio1!$BY24+Foglio1!$CH24+Foglio1!$CV24+Foglio1!$CW24)</f>
        <v>21</v>
      </c>
      <c r="DD24" s="4">
        <v>0</v>
      </c>
      <c r="DE24" s="4">
        <v>0</v>
      </c>
      <c r="DF24" s="4">
        <v>0</v>
      </c>
      <c r="DG24" s="4">
        <v>0</v>
      </c>
      <c r="DH24" s="4">
        <v>0</v>
      </c>
      <c r="DI24" s="4">
        <v>0</v>
      </c>
      <c r="DJ24" s="4">
        <v>0</v>
      </c>
      <c r="DK24" s="4">
        <v>0</v>
      </c>
      <c r="DL24" s="4">
        <v>1</v>
      </c>
      <c r="DM24" s="4">
        <v>0</v>
      </c>
      <c r="DN24" s="4">
        <v>0</v>
      </c>
      <c r="DO24" s="4">
        <v>0</v>
      </c>
      <c r="DP24" s="4">
        <v>0</v>
      </c>
      <c r="DQ24" s="4">
        <v>0</v>
      </c>
      <c r="DR24" s="4">
        <v>0</v>
      </c>
      <c r="DS24" s="4">
        <v>0</v>
      </c>
      <c r="DT24" s="4">
        <v>0</v>
      </c>
      <c r="DU24" s="4">
        <v>0</v>
      </c>
      <c r="DV24" s="4">
        <v>0</v>
      </c>
      <c r="DW24" s="4">
        <v>0</v>
      </c>
      <c r="DX24" s="4">
        <v>0</v>
      </c>
      <c r="DY24" s="4">
        <v>3</v>
      </c>
      <c r="DZ24" s="4">
        <v>3</v>
      </c>
      <c r="EA24" s="4">
        <v>0</v>
      </c>
      <c r="EB24" s="4">
        <v>0</v>
      </c>
      <c r="EC24" s="4">
        <v>2</v>
      </c>
      <c r="ED24" s="4">
        <v>3</v>
      </c>
      <c r="EE24" s="4">
        <v>3</v>
      </c>
      <c r="EF24" s="4">
        <v>3</v>
      </c>
      <c r="EG24" s="4">
        <v>3</v>
      </c>
      <c r="EH24" s="4">
        <f>(Foglio1!$DE24+Foglio1!$DH24+Foglio1!$DG24+Foglio1!$DF24+Foglio1!$DM24+Foglio1!$DD24+Foglio1!$DO24+Foglio1!$DL24+Foglio1!$DN24+Foglio1!$DQ24+Foglio1!$DP24+Foglio1!$DT24+Foglio1!$DI24+Foglio1!$DK24+Foglio1!$DU24)</f>
        <v>1</v>
      </c>
      <c r="EI24" s="4">
        <f>(Foglio1!$EA24+Foglio1!$EB24+Foglio1!$EE24+Foglio1!$EC24+Foglio1!$ED24+Foglio1!$DZ24+Foglio1!$DY24)</f>
        <v>14</v>
      </c>
      <c r="EJ24" s="4">
        <f>(Foglio1!$DW24+Foglio1!$DV24+Foglio1!$DX24)</f>
        <v>0</v>
      </c>
      <c r="EK24" s="4">
        <f>(Foglio1!$EG24+Foglio1!$EF24)</f>
        <v>6</v>
      </c>
      <c r="EL24" s="4">
        <v>1</v>
      </c>
      <c r="EM24" s="4">
        <v>1</v>
      </c>
      <c r="EN24" s="4">
        <v>1</v>
      </c>
      <c r="EO24" s="4">
        <v>1</v>
      </c>
      <c r="EP24" s="4">
        <f t="array" ref="EP24">SUM(EL24:EO24/4)</f>
        <v>1</v>
      </c>
      <c r="EQ24" s="4">
        <v>1</v>
      </c>
      <c r="ER24" s="4">
        <v>0</v>
      </c>
      <c r="ES24" s="4">
        <v>0</v>
      </c>
      <c r="ET24" s="4">
        <v>1</v>
      </c>
      <c r="EU24" s="4" t="s">
        <v>996</v>
      </c>
      <c r="EV24" s="4">
        <v>1</v>
      </c>
      <c r="EW24" s="4" t="s">
        <v>997</v>
      </c>
      <c r="EX24" s="4">
        <v>1</v>
      </c>
      <c r="EY24" s="4">
        <f>(Foglio1!$EQ24+Foglio1!$ER24+Foglio1!$ES24+Foglio1!$ET24+Foglio1!$EV24+Foglio1!$EX24)/6</f>
        <v>0.66666666666666663</v>
      </c>
      <c r="EZ24" s="4">
        <v>1</v>
      </c>
      <c r="FA24" s="4">
        <v>1</v>
      </c>
      <c r="FB24" s="4">
        <v>1</v>
      </c>
      <c r="FC24" s="4">
        <f>(Foglio1!$EZ24+Foglio1!$FA24+Foglio1!$FB24)/3</f>
        <v>1</v>
      </c>
      <c r="FD24" s="4">
        <v>1</v>
      </c>
      <c r="FE24" s="4">
        <v>1</v>
      </c>
      <c r="FF24" s="4">
        <f>(Foglio1!$FD24+Foglio1!$FE24)/2</f>
        <v>1</v>
      </c>
      <c r="FG24" s="4" t="s">
        <v>998</v>
      </c>
      <c r="FH24" s="4">
        <v>1</v>
      </c>
      <c r="FI24" s="4" t="s">
        <v>999</v>
      </c>
      <c r="FJ24" s="4">
        <v>1</v>
      </c>
      <c r="FK24" s="4" t="s">
        <v>1000</v>
      </c>
      <c r="FL24" s="4">
        <v>1</v>
      </c>
      <c r="FM24" s="4">
        <f>(Foglio1!$FH24+Foglio1!$FJ24+Foglio1!$FL24)/3</f>
        <v>1</v>
      </c>
      <c r="FN24" s="4">
        <f>(Foglio1!$EP24)</f>
        <v>1</v>
      </c>
      <c r="FO24" s="4">
        <f>(Foglio1!$EY24+Foglio1!$FC24+Foglio1!$FF24+Foglio1!$FM24)/4</f>
        <v>0.91666666666666663</v>
      </c>
      <c r="FP24" s="4">
        <f>(Foglio1!$EP24+Foglio1!$EY24+Foglio1!$FC24+Foglio1!$FF24+Foglio1!$FM24)/5</f>
        <v>0.93333333333333324</v>
      </c>
      <c r="FQ24" s="6">
        <v>45600</v>
      </c>
      <c r="FR24" s="4" t="s">
        <v>356</v>
      </c>
      <c r="FS24" s="4" t="s">
        <v>356</v>
      </c>
      <c r="FT24" s="4" t="s">
        <v>356</v>
      </c>
      <c r="FU24" s="4" t="s">
        <v>356</v>
      </c>
      <c r="FV24" s="4" t="s">
        <v>356</v>
      </c>
      <c r="FW24" s="4" t="s">
        <v>356</v>
      </c>
      <c r="FX24" s="4" t="s">
        <v>356</v>
      </c>
      <c r="FY24" s="4">
        <v>2</v>
      </c>
      <c r="FZ24" s="4">
        <v>3</v>
      </c>
      <c r="GA24" s="4">
        <v>6</v>
      </c>
      <c r="GB24" s="4">
        <v>61</v>
      </c>
      <c r="GC24" s="4">
        <v>0</v>
      </c>
      <c r="GD24" s="4">
        <v>0</v>
      </c>
      <c r="GE24" s="4">
        <v>0</v>
      </c>
      <c r="GF24" s="4">
        <v>1</v>
      </c>
      <c r="GG24" s="4">
        <v>1</v>
      </c>
      <c r="GH24" s="4">
        <v>1</v>
      </c>
      <c r="GI24" s="4">
        <v>1</v>
      </c>
      <c r="GJ24" s="4">
        <v>0</v>
      </c>
      <c r="GK24" s="4">
        <v>0</v>
      </c>
      <c r="GL24" s="4">
        <v>0</v>
      </c>
      <c r="GM24" s="4">
        <v>1</v>
      </c>
      <c r="GN24" s="4">
        <v>0</v>
      </c>
      <c r="GO24" s="4">
        <v>0</v>
      </c>
      <c r="GP24" s="4">
        <v>0</v>
      </c>
      <c r="GQ24" s="4">
        <v>1</v>
      </c>
      <c r="GR24" s="4">
        <v>1</v>
      </c>
      <c r="GS24" s="4">
        <v>1</v>
      </c>
      <c r="GT24" s="4">
        <v>2</v>
      </c>
      <c r="GU24" s="4">
        <v>0</v>
      </c>
      <c r="GV24" s="4">
        <v>2</v>
      </c>
      <c r="GW24" s="4">
        <v>0</v>
      </c>
      <c r="GX24" s="4">
        <v>0</v>
      </c>
      <c r="GY24" s="4">
        <v>1</v>
      </c>
      <c r="GZ24" s="4">
        <v>0</v>
      </c>
      <c r="HA24" s="4">
        <v>0</v>
      </c>
      <c r="HB24" s="4">
        <v>1</v>
      </c>
      <c r="HC24" s="4">
        <v>1</v>
      </c>
      <c r="HD24" s="4">
        <v>1</v>
      </c>
      <c r="HE24" s="4">
        <v>1</v>
      </c>
      <c r="HF24" s="4">
        <v>1</v>
      </c>
      <c r="HG24" s="4">
        <f t="shared" si="24"/>
        <v>18</v>
      </c>
      <c r="HH24" s="4">
        <f t="shared" si="25"/>
        <v>6</v>
      </c>
      <c r="HI24" s="4">
        <f t="shared" si="26"/>
        <v>3</v>
      </c>
      <c r="HJ24" s="4">
        <f t="shared" si="27"/>
        <v>4</v>
      </c>
      <c r="HK24" s="4">
        <f t="shared" si="28"/>
        <v>7</v>
      </c>
      <c r="HL24" s="4">
        <f t="shared" si="29"/>
        <v>10</v>
      </c>
      <c r="HM24" s="4">
        <v>0</v>
      </c>
      <c r="HN24" s="4">
        <v>0</v>
      </c>
      <c r="HO24" s="4">
        <v>0</v>
      </c>
      <c r="HP24" s="4">
        <v>0</v>
      </c>
      <c r="HQ24" s="4">
        <v>0</v>
      </c>
      <c r="HR24" s="4">
        <v>2</v>
      </c>
      <c r="HS24" s="4">
        <v>0</v>
      </c>
      <c r="HT24" s="4">
        <v>0</v>
      </c>
      <c r="HU24" s="4">
        <v>0</v>
      </c>
      <c r="HV24" s="4">
        <v>0</v>
      </c>
      <c r="HW24" s="4">
        <v>0</v>
      </c>
      <c r="HX24" s="4">
        <v>0</v>
      </c>
      <c r="HY24" s="4">
        <v>0</v>
      </c>
      <c r="HZ24" s="4">
        <v>0</v>
      </c>
      <c r="IA24" s="4">
        <v>0</v>
      </c>
      <c r="IB24" s="4">
        <v>0</v>
      </c>
      <c r="IC24" s="4">
        <v>0</v>
      </c>
      <c r="ID24" s="4">
        <v>0</v>
      </c>
      <c r="IE24" s="4">
        <v>0</v>
      </c>
      <c r="IF24" s="4">
        <v>0</v>
      </c>
      <c r="IG24" s="4">
        <v>2</v>
      </c>
      <c r="IH24" s="4">
        <v>2</v>
      </c>
      <c r="II24" s="4">
        <v>4</v>
      </c>
      <c r="IJ24" s="4">
        <v>3</v>
      </c>
      <c r="IK24" s="4">
        <v>4</v>
      </c>
      <c r="IL24" s="4">
        <v>0</v>
      </c>
      <c r="IM24" s="4">
        <v>0</v>
      </c>
      <c r="IN24" s="4">
        <v>4</v>
      </c>
      <c r="IO24" s="4">
        <v>4</v>
      </c>
      <c r="IP24" s="4">
        <v>3</v>
      </c>
      <c r="IQ24" s="4">
        <f>SUM(HN24+HQ24+HP24+HO24+HV24+HM24+HX24+HU24+HW24+HZ24+HY24+IC24+HR24+HT24+ID24)</f>
        <v>2</v>
      </c>
      <c r="IR24" s="4">
        <f>SUM(IJ24+IK24+IN24+IL24+IM24+II24+IH24)</f>
        <v>17</v>
      </c>
      <c r="IS24" s="4">
        <f>SUM(IF24+IE24+IG24)</f>
        <v>2</v>
      </c>
      <c r="IT24" s="4">
        <f>SUM(IP24+IO24)</f>
        <v>7</v>
      </c>
      <c r="IU24" s="4" t="s">
        <v>383</v>
      </c>
      <c r="IV24" s="4" t="s">
        <v>383</v>
      </c>
      <c r="IW24" s="4" t="s">
        <v>383</v>
      </c>
      <c r="IX24" s="4" t="s">
        <v>383</v>
      </c>
      <c r="IY24" s="4">
        <v>0</v>
      </c>
      <c r="IZ24" s="4">
        <v>1</v>
      </c>
      <c r="JA24" s="4">
        <v>1</v>
      </c>
      <c r="JB24" s="4">
        <v>1</v>
      </c>
      <c r="JC24" s="4">
        <f>(Foglio1!$IY24+Foglio1!$IZ24+Foglio1!$JA24+Foglio1!$JB24)/4</f>
        <v>0.75</v>
      </c>
      <c r="JD24" s="4">
        <v>1</v>
      </c>
      <c r="JE24" s="4">
        <v>0</v>
      </c>
      <c r="JF24" s="4">
        <v>1</v>
      </c>
      <c r="JG24" s="4">
        <v>1</v>
      </c>
      <c r="JH24" s="4" t="s">
        <v>1001</v>
      </c>
      <c r="JI24" s="4">
        <v>1</v>
      </c>
      <c r="JJ24" s="4" t="s">
        <v>1002</v>
      </c>
      <c r="JK24" s="4">
        <v>0</v>
      </c>
      <c r="JL24" s="4">
        <f>(Foglio1!$JD24+Foglio1!$JE24+Foglio1!$JF24+Foglio1!$JG24+Foglio1!$JI24+Foglio1!$JK24)/6</f>
        <v>0.66666666666666663</v>
      </c>
      <c r="JM24" s="4">
        <v>1</v>
      </c>
      <c r="JN24" s="4">
        <v>1</v>
      </c>
      <c r="JO24" s="4">
        <v>1</v>
      </c>
      <c r="JP24" s="4">
        <f>(Foglio1!$JM24+Foglio1!$JN24+Foglio1!$JO24)/3</f>
        <v>1</v>
      </c>
      <c r="JQ24" s="4">
        <v>0</v>
      </c>
      <c r="JR24" s="4">
        <v>0</v>
      </c>
      <c r="JS24" s="4">
        <f>(Foglio1!$JQ24+Foglio1!$JR24)/2</f>
        <v>0</v>
      </c>
      <c r="JT24" s="4" t="s">
        <v>1003</v>
      </c>
      <c r="JU24" s="4">
        <v>0</v>
      </c>
      <c r="JV24" s="4" t="s">
        <v>1004</v>
      </c>
      <c r="JW24" s="4">
        <v>1</v>
      </c>
      <c r="JX24" s="4" t="s">
        <v>1005</v>
      </c>
      <c r="JY24" s="4">
        <v>1</v>
      </c>
      <c r="JZ24" s="4">
        <f>(Foglio1!$JU24+Foglio1!$JW24+Foglio1!$JY24)/3</f>
        <v>0.66666666666666663</v>
      </c>
      <c r="KA24" s="4">
        <f>(Foglio1!$JC24)</f>
        <v>0.75</v>
      </c>
      <c r="KB24" s="4">
        <f>(Foglio1!$JL24+Foglio1!$JP24+Foglio1!$JS24+Foglio1!$JZ24)/4</f>
        <v>0.58333333333333326</v>
      </c>
      <c r="KC24" s="4">
        <f>(Foglio1!$JC24+Foglio1!$JL24+Foglio1!$JP24+Foglio1!$JS24+Foglio1!$JZ24)/5</f>
        <v>0.61666666666666659</v>
      </c>
      <c r="KD24" s="4" t="s">
        <v>1006</v>
      </c>
      <c r="KE24" s="4">
        <v>0</v>
      </c>
      <c r="KF24" s="4">
        <v>3</v>
      </c>
      <c r="KG24" s="4" t="s">
        <v>1007</v>
      </c>
      <c r="KH24" s="4">
        <v>1</v>
      </c>
      <c r="KI24" s="4">
        <v>2</v>
      </c>
      <c r="KJ24" s="4" t="s">
        <v>1008</v>
      </c>
      <c r="KK24" s="4">
        <v>2</v>
      </c>
      <c r="KL24" s="4">
        <v>2</v>
      </c>
      <c r="KM24" s="4" t="s">
        <v>1009</v>
      </c>
      <c r="KN24" s="4">
        <v>2</v>
      </c>
      <c r="KO24" s="4">
        <v>1</v>
      </c>
      <c r="KP24" s="4" t="s">
        <v>1010</v>
      </c>
      <c r="KQ24" s="4">
        <v>2</v>
      </c>
      <c r="KR24" s="4">
        <v>2</v>
      </c>
      <c r="KS24" s="4" t="s">
        <v>1011</v>
      </c>
      <c r="KT24" s="4">
        <v>2</v>
      </c>
      <c r="KU24" s="4">
        <v>1</v>
      </c>
      <c r="KV24" s="4" t="s">
        <v>1012</v>
      </c>
      <c r="KW24" s="4">
        <v>2</v>
      </c>
      <c r="KX24" s="4">
        <v>1</v>
      </c>
      <c r="KY24" s="4" t="s">
        <v>1013</v>
      </c>
      <c r="KZ24" s="4">
        <v>2</v>
      </c>
      <c r="LA24" s="4">
        <v>3</v>
      </c>
      <c r="LB24" s="4" t="s">
        <v>1014</v>
      </c>
      <c r="LC24" s="4">
        <v>2</v>
      </c>
      <c r="LD24" s="4">
        <v>1</v>
      </c>
      <c r="LE24" s="4" t="s">
        <v>1015</v>
      </c>
      <c r="LF24" s="4">
        <v>0</v>
      </c>
      <c r="LG24" s="4">
        <v>2</v>
      </c>
      <c r="LH24" s="4" t="s">
        <v>1016</v>
      </c>
      <c r="LI24" s="4">
        <v>2</v>
      </c>
      <c r="LJ24" s="4">
        <v>1</v>
      </c>
      <c r="LK24" s="4" t="s">
        <v>1017</v>
      </c>
      <c r="LL24" s="4">
        <v>2</v>
      </c>
      <c r="LM24" s="4">
        <v>3</v>
      </c>
      <c r="LN24" s="4" t="s">
        <v>1018</v>
      </c>
      <c r="LO24" s="4">
        <v>2</v>
      </c>
      <c r="LP24" s="4">
        <v>1</v>
      </c>
      <c r="LQ24" s="4" t="s">
        <v>1019</v>
      </c>
      <c r="LR24" s="4">
        <v>1</v>
      </c>
      <c r="LS24" s="4">
        <v>2</v>
      </c>
      <c r="LT24" s="4">
        <f>(Foglio1!$KE24+Foglio1!$KH24+Foglio1!$KK24+Foglio1!$KN24+Foglio1!$KQ24+Foglio1!$KT24+Foglio1!$KW24+Foglio1!$KZ24+Foglio1!$LC24+Foglio1!$LF24+Foglio1!$LI24+Foglio1!$LL24+Foglio1!$LO24+Foglio1!$LR24)</f>
        <v>22</v>
      </c>
      <c r="LU24" s="4">
        <f>(Foglio1!$KI24+Foglio1!$KF24+Foglio1!$KL24+Foglio1!$KO24+Foglio1!$KR24+Foglio1!$KU24+Foglio1!$KX24+Foglio1!$LA24+Foglio1!$LD24+Foglio1!$LG24+Foglio1!$LJ24+Foglio1!$LM24+Foglio1!$LP24+Foglio1!$LS24)</f>
        <v>25</v>
      </c>
      <c r="LV24" s="4">
        <v>32</v>
      </c>
      <c r="LW24" s="4">
        <v>45</v>
      </c>
      <c r="LX24" s="4">
        <v>20</v>
      </c>
      <c r="LY24" s="4">
        <v>28</v>
      </c>
      <c r="LZ24" s="3">
        <v>0</v>
      </c>
      <c r="MA24" s="3">
        <v>2</v>
      </c>
      <c r="MB24" s="3">
        <v>1</v>
      </c>
      <c r="MC24" s="3">
        <v>4</v>
      </c>
      <c r="MD24" s="3">
        <f t="shared" si="7"/>
        <v>7</v>
      </c>
      <c r="ME24" s="3">
        <v>0</v>
      </c>
      <c r="MF24" s="3">
        <v>0</v>
      </c>
      <c r="MG24" s="3">
        <v>0</v>
      </c>
      <c r="MH24" s="3">
        <v>0</v>
      </c>
      <c r="MI24" s="3">
        <f t="shared" si="8"/>
        <v>0</v>
      </c>
    </row>
    <row r="25" spans="1:347" ht="15.75" customHeight="1" x14ac:dyDescent="0.25">
      <c r="A25" s="4" t="s">
        <v>1020</v>
      </c>
      <c r="B25" s="4">
        <v>29</v>
      </c>
      <c r="C25" s="4" t="s">
        <v>349</v>
      </c>
      <c r="D25" s="4">
        <v>13</v>
      </c>
      <c r="E25" s="4">
        <v>0</v>
      </c>
      <c r="F25" s="4" t="s">
        <v>360</v>
      </c>
      <c r="G25" s="4" t="s">
        <v>356</v>
      </c>
      <c r="H25" s="4" t="s">
        <v>1021</v>
      </c>
      <c r="I25" s="4" t="s">
        <v>1021</v>
      </c>
      <c r="J25" s="4"/>
      <c r="K25" s="4"/>
      <c r="L25" s="5" t="s">
        <v>356</v>
      </c>
      <c r="M25" s="4" t="s">
        <v>449</v>
      </c>
      <c r="N25" s="4" t="s">
        <v>1022</v>
      </c>
      <c r="O25" s="9">
        <v>45894</v>
      </c>
      <c r="P25" s="9">
        <v>45918</v>
      </c>
      <c r="Q25" s="4" t="s">
        <v>1023</v>
      </c>
      <c r="R25" s="4"/>
      <c r="S25" s="4"/>
      <c r="T25" s="4" t="s">
        <v>360</v>
      </c>
      <c r="U25" s="4"/>
      <c r="V25" s="4" t="s">
        <v>361</v>
      </c>
      <c r="W25" s="4" t="s">
        <v>408</v>
      </c>
      <c r="X25" s="4" t="s">
        <v>411</v>
      </c>
      <c r="Y25" s="4" t="s">
        <v>689</v>
      </c>
      <c r="Z25" s="4" t="s">
        <v>364</v>
      </c>
      <c r="AA25" s="4" t="s">
        <v>366</v>
      </c>
      <c r="AB25" s="4"/>
      <c r="AC25" s="4"/>
      <c r="AD25" s="4"/>
      <c r="AE25" s="4"/>
      <c r="AF25" s="4"/>
      <c r="AG25" s="4"/>
      <c r="AH25" s="4" t="s">
        <v>689</v>
      </c>
      <c r="AI25" s="4" t="s">
        <v>1024</v>
      </c>
      <c r="AJ25" s="4" t="s">
        <v>411</v>
      </c>
      <c r="AK25" s="4" t="s">
        <v>1025</v>
      </c>
      <c r="AL25" s="5" t="s">
        <v>356</v>
      </c>
      <c r="AM25" s="5" t="s">
        <v>356</v>
      </c>
      <c r="AN25" s="5" t="s">
        <v>356</v>
      </c>
      <c r="AO25" s="5" t="s">
        <v>356</v>
      </c>
      <c r="AP25" s="5" t="s">
        <v>356</v>
      </c>
      <c r="AQ25" s="5" t="s">
        <v>356</v>
      </c>
      <c r="AR25" s="5" t="s">
        <v>356</v>
      </c>
      <c r="AS25" s="5" t="s">
        <v>356</v>
      </c>
      <c r="AT25" s="5" t="s">
        <v>356</v>
      </c>
      <c r="AU25" s="5" t="s">
        <v>356</v>
      </c>
      <c r="AV25" s="5" t="s">
        <v>356</v>
      </c>
      <c r="AW25" s="5" t="s">
        <v>356</v>
      </c>
      <c r="AX25" s="4">
        <v>2</v>
      </c>
      <c r="AY25" s="4"/>
      <c r="AZ25" s="5" t="s">
        <v>383</v>
      </c>
      <c r="BA25" s="4">
        <f t="shared" si="9"/>
        <v>24</v>
      </c>
      <c r="BB25" s="4"/>
      <c r="BC25" s="4" t="s">
        <v>360</v>
      </c>
      <c r="BD25" s="4"/>
      <c r="BE25" s="4"/>
      <c r="BF25" s="4"/>
      <c r="BG25" s="4" t="s">
        <v>383</v>
      </c>
      <c r="BH25" s="4">
        <v>4</v>
      </c>
      <c r="BI25" s="4">
        <v>3</v>
      </c>
      <c r="BJ25" s="4">
        <v>4</v>
      </c>
      <c r="BK25" s="4">
        <v>3</v>
      </c>
      <c r="BL25" s="4">
        <v>4</v>
      </c>
      <c r="BM25" s="4">
        <v>3</v>
      </c>
      <c r="BN25" s="4">
        <v>3</v>
      </c>
      <c r="BO25" s="4">
        <f>SUM(Foglio1!$BH40:$BM40)</f>
        <v>0</v>
      </c>
      <c r="BP25" s="4">
        <v>5</v>
      </c>
      <c r="BQ25" s="4">
        <v>4</v>
      </c>
      <c r="BR25" s="4">
        <v>11</v>
      </c>
      <c r="BS25" s="4">
        <v>55</v>
      </c>
      <c r="BT25" s="4">
        <v>5</v>
      </c>
      <c r="BU25" s="4">
        <v>5</v>
      </c>
      <c r="BV25" s="4">
        <v>3</v>
      </c>
      <c r="BW25" s="4">
        <v>4</v>
      </c>
      <c r="BX25" s="4">
        <v>4</v>
      </c>
      <c r="BY25" s="4">
        <v>5</v>
      </c>
      <c r="BZ25" s="4">
        <v>2</v>
      </c>
      <c r="CA25" s="4">
        <v>3</v>
      </c>
      <c r="CB25" s="4">
        <v>2</v>
      </c>
      <c r="CC25" s="4">
        <v>2</v>
      </c>
      <c r="CD25" s="4">
        <v>2</v>
      </c>
      <c r="CE25" s="4">
        <v>2</v>
      </c>
      <c r="CF25" s="4">
        <v>1</v>
      </c>
      <c r="CG25" s="4">
        <v>2</v>
      </c>
      <c r="CH25" s="4">
        <v>3</v>
      </c>
      <c r="CI25" s="4">
        <v>3</v>
      </c>
      <c r="CJ25" s="4">
        <v>2</v>
      </c>
      <c r="CK25" s="4">
        <v>2</v>
      </c>
      <c r="CL25" s="4">
        <v>2</v>
      </c>
      <c r="CM25" s="4">
        <v>4</v>
      </c>
      <c r="CN25" s="4">
        <v>3</v>
      </c>
      <c r="CO25" s="4">
        <v>2</v>
      </c>
      <c r="CP25" s="4">
        <v>5</v>
      </c>
      <c r="CQ25" s="4">
        <v>3</v>
      </c>
      <c r="CR25" s="4">
        <v>3</v>
      </c>
      <c r="CS25" s="4">
        <v>4</v>
      </c>
      <c r="CT25" s="4">
        <v>4</v>
      </c>
      <c r="CU25" s="4">
        <v>2</v>
      </c>
      <c r="CV25" s="4">
        <v>4</v>
      </c>
      <c r="CW25" s="4">
        <v>5</v>
      </c>
      <c r="CX25" s="4">
        <f>SUM(Foglio1!$BT25:$CW25)</f>
        <v>93</v>
      </c>
      <c r="CY25" s="4">
        <f>SUM(Foglio1!$BT25+Foglio1!$BV25+Foglio1!$CP25+Foglio1!$BY25+Foglio1!$BX25+Foglio1!$CH25+Foglio1!$CS25+Foglio1!$CW25-Foglio1!$CE25)</f>
        <v>32</v>
      </c>
      <c r="CZ25" s="4">
        <f>SUM(Foglio1!$CF25+Foglio1!$CA25+Foglio1!$CB25+Foglio1!$CD25+Foglio1!$CN25+Foglio1!$CC25+Foglio1!$CW25+Foglio1!$CO25+Foglio1!$CT25-Foglio1!$BU25)</f>
        <v>19</v>
      </c>
      <c r="DA25" s="4">
        <f>SUM(Foglio1!$CG25+Foglio1!$CR25+Foglio1!$CQ25+Foglio1!$BU25+Foglio1!$CE25+Foglio1!$CL25+Foglio1!$CS25+Foglio1!$CT25+Foglio1!$CV25+Foglio1!$CP25)</f>
        <v>34</v>
      </c>
      <c r="DB25" s="4">
        <f>SUM(Foglio1!$CU25+Foglio1!$BW25+Foglio1!$BZ25+Foglio1!$CO25+Foglio1!$BX25+Foglio1!$CC25+Foglio1!$CK25+Foglio1!$CW25)</f>
        <v>23</v>
      </c>
      <c r="DC25" s="4">
        <f>SUM(Foglio1!$CI25+Foglio1!$CM25+Foglio1!$CJ25+Foglio1!$CK25+Foglio1!$BY25+Foglio1!$CH25+Foglio1!$CV25+Foglio1!$CW25)</f>
        <v>28</v>
      </c>
      <c r="DD25" s="4">
        <v>0</v>
      </c>
      <c r="DE25" s="4">
        <v>0</v>
      </c>
      <c r="DF25" s="4">
        <v>2</v>
      </c>
      <c r="DG25" s="4">
        <v>2</v>
      </c>
      <c r="DH25" s="4">
        <v>0</v>
      </c>
      <c r="DI25" s="4">
        <v>0</v>
      </c>
      <c r="DJ25" s="4">
        <v>0</v>
      </c>
      <c r="DK25" s="4">
        <v>0</v>
      </c>
      <c r="DL25" s="4">
        <v>0</v>
      </c>
      <c r="DM25" s="4">
        <v>0</v>
      </c>
      <c r="DN25" s="4">
        <v>0</v>
      </c>
      <c r="DO25" s="4">
        <v>0</v>
      </c>
      <c r="DP25" s="4">
        <v>0</v>
      </c>
      <c r="DQ25" s="4">
        <v>0</v>
      </c>
      <c r="DR25" s="4">
        <v>0</v>
      </c>
      <c r="DS25" s="4">
        <v>0</v>
      </c>
      <c r="DT25" s="4">
        <v>1</v>
      </c>
      <c r="DU25" s="4">
        <v>0</v>
      </c>
      <c r="DV25" s="4">
        <v>0</v>
      </c>
      <c r="DW25" s="4">
        <v>1</v>
      </c>
      <c r="DX25" s="4">
        <v>0</v>
      </c>
      <c r="DY25" s="4">
        <v>1</v>
      </c>
      <c r="DZ25" s="4">
        <v>0</v>
      </c>
      <c r="EA25" s="4">
        <v>0</v>
      </c>
      <c r="EB25" s="4">
        <v>3</v>
      </c>
      <c r="EC25" s="4">
        <v>1</v>
      </c>
      <c r="ED25" s="4">
        <v>0</v>
      </c>
      <c r="EE25" s="4">
        <v>2</v>
      </c>
      <c r="EF25" s="4">
        <v>4</v>
      </c>
      <c r="EG25" s="4">
        <v>1</v>
      </c>
      <c r="EH25" s="4">
        <f>(Foglio1!$DE25+Foglio1!$DH25+Foglio1!$DG25+Foglio1!$DF25+Foglio1!$DM25+Foglio1!$DD25+Foglio1!$DO25+Foglio1!$DL25+Foglio1!$DN25+Foglio1!$DQ25+Foglio1!$DP25+Foglio1!$DT25+Foglio1!$DI25+Foglio1!$DK25+Foglio1!$DU25)</f>
        <v>5</v>
      </c>
      <c r="EI25" s="4">
        <f>(Foglio1!$EA25+Foglio1!$EB25+Foglio1!$EE25+Foglio1!$EC25+Foglio1!$ED25+Foglio1!$DZ25+Foglio1!$DY25)</f>
        <v>7</v>
      </c>
      <c r="EJ25" s="4">
        <f>(Foglio1!$DW25+Foglio1!$DV25+Foglio1!$DX25)</f>
        <v>1</v>
      </c>
      <c r="EK25" s="4">
        <f>(Foglio1!$EG25+Foglio1!$EF25)</f>
        <v>5</v>
      </c>
      <c r="EL25" s="4">
        <v>1</v>
      </c>
      <c r="EM25" s="4">
        <v>1</v>
      </c>
      <c r="EN25" s="4">
        <v>1</v>
      </c>
      <c r="EO25" s="4">
        <v>1</v>
      </c>
      <c r="EP25" s="4">
        <f t="array" ref="EP25">SUM(EL25:EO25/4)</f>
        <v>1</v>
      </c>
      <c r="EQ25" s="4">
        <v>1</v>
      </c>
      <c r="ER25" s="4">
        <v>0</v>
      </c>
      <c r="ES25" s="4">
        <v>1</v>
      </c>
      <c r="ET25" s="4">
        <v>0</v>
      </c>
      <c r="EU25" s="4" t="s">
        <v>383</v>
      </c>
      <c r="EV25" s="4">
        <v>1</v>
      </c>
      <c r="EW25" s="4" t="s">
        <v>383</v>
      </c>
      <c r="EX25" s="4">
        <v>1</v>
      </c>
      <c r="EY25" s="4">
        <f>(Foglio1!$EQ25+Foglio1!$ER25+Foglio1!$ES25+Foglio1!$ET25+Foglio1!$EV25+Foglio1!$EX25)/6</f>
        <v>0.66666666666666663</v>
      </c>
      <c r="EZ25" s="4">
        <v>1</v>
      </c>
      <c r="FA25" s="4">
        <v>1</v>
      </c>
      <c r="FB25" s="4">
        <v>1</v>
      </c>
      <c r="FC25" s="4">
        <f>(Foglio1!$EZ25+Foglio1!$FA25+Foglio1!$FB25)/3</f>
        <v>1</v>
      </c>
      <c r="FD25" s="4">
        <v>0</v>
      </c>
      <c r="FE25" s="4">
        <v>1</v>
      </c>
      <c r="FF25" s="4">
        <f>(Foglio1!$FD25+Foglio1!$FE25)/2</f>
        <v>0.5</v>
      </c>
      <c r="FG25" s="4" t="s">
        <v>383</v>
      </c>
      <c r="FH25" s="4">
        <v>1</v>
      </c>
      <c r="FI25" s="4" t="s">
        <v>383</v>
      </c>
      <c r="FJ25" s="4">
        <v>0</v>
      </c>
      <c r="FK25" s="4" t="s">
        <v>383</v>
      </c>
      <c r="FL25" s="4">
        <v>0</v>
      </c>
      <c r="FM25" s="4">
        <f>(Foglio1!$FH25+Foglio1!$FJ25+Foglio1!$FL25)/3</f>
        <v>0.33333333333333331</v>
      </c>
      <c r="FN25" s="4">
        <f>(Foglio1!$EP25)</f>
        <v>1</v>
      </c>
      <c r="FO25" s="4">
        <f>(Foglio1!$EY25+Foglio1!$FC25+Foglio1!$FF25+Foglio1!$FM25)/4</f>
        <v>0.625</v>
      </c>
      <c r="FP25" s="4">
        <f>(Foglio1!$EP25+Foglio1!$EY25+Foglio1!$FC25+Foglio1!$FF25+Foglio1!$FM25)/5</f>
        <v>0.7</v>
      </c>
      <c r="FQ25" s="4"/>
      <c r="FR25" s="4">
        <v>3</v>
      </c>
      <c r="FS25" s="4">
        <v>2</v>
      </c>
      <c r="FT25" s="4">
        <v>3</v>
      </c>
      <c r="FU25" s="4">
        <v>3</v>
      </c>
      <c r="FV25" s="4">
        <v>2</v>
      </c>
      <c r="FW25" s="4">
        <v>2</v>
      </c>
      <c r="FX25" s="4">
        <v>3</v>
      </c>
      <c r="FY25" s="4">
        <v>3</v>
      </c>
      <c r="FZ25" s="4">
        <v>2</v>
      </c>
      <c r="GA25" s="4">
        <v>5</v>
      </c>
      <c r="GB25" s="4">
        <v>60</v>
      </c>
      <c r="GC25" s="4">
        <v>3</v>
      </c>
      <c r="GD25" s="4">
        <v>3</v>
      </c>
      <c r="GE25" s="4">
        <v>2</v>
      </c>
      <c r="GF25" s="4">
        <v>2</v>
      </c>
      <c r="GG25" s="4">
        <v>2</v>
      </c>
      <c r="GH25" s="4">
        <v>2</v>
      </c>
      <c r="GI25" s="4">
        <v>2</v>
      </c>
      <c r="GJ25" s="4">
        <v>2</v>
      </c>
      <c r="GK25" s="4">
        <v>2</v>
      </c>
      <c r="GL25" s="4">
        <v>3</v>
      </c>
      <c r="GM25" s="4">
        <v>2</v>
      </c>
      <c r="GN25" s="4">
        <v>2</v>
      </c>
      <c r="GO25" s="4">
        <v>2</v>
      </c>
      <c r="GP25" s="4">
        <v>2</v>
      </c>
      <c r="GQ25" s="4">
        <v>2</v>
      </c>
      <c r="GR25" s="4">
        <v>3</v>
      </c>
      <c r="GS25" s="4">
        <v>1</v>
      </c>
      <c r="GT25" s="4">
        <v>2</v>
      </c>
      <c r="GU25" s="4">
        <v>1</v>
      </c>
      <c r="GV25" s="4">
        <v>3</v>
      </c>
      <c r="GW25" s="4">
        <v>2</v>
      </c>
      <c r="GX25" s="4">
        <v>2</v>
      </c>
      <c r="GY25" s="4">
        <v>3</v>
      </c>
      <c r="GZ25" s="4">
        <v>1</v>
      </c>
      <c r="HA25" s="4">
        <v>1</v>
      </c>
      <c r="HB25" s="4">
        <v>2</v>
      </c>
      <c r="HC25" s="4">
        <v>1</v>
      </c>
      <c r="HD25" s="4">
        <v>1</v>
      </c>
      <c r="HE25" s="4">
        <v>3</v>
      </c>
      <c r="HF25" s="4">
        <v>2</v>
      </c>
      <c r="HG25" s="4">
        <f t="shared" si="24"/>
        <v>61</v>
      </c>
      <c r="HH25" s="4">
        <f t="shared" si="25"/>
        <v>16</v>
      </c>
      <c r="HI25" s="4">
        <f t="shared" si="26"/>
        <v>15</v>
      </c>
      <c r="HJ25" s="4">
        <f t="shared" si="27"/>
        <v>19</v>
      </c>
      <c r="HK25" s="4">
        <f t="shared" si="28"/>
        <v>16</v>
      </c>
      <c r="HL25" s="4">
        <f t="shared" si="29"/>
        <v>18</v>
      </c>
      <c r="HM25" s="4" t="s">
        <v>356</v>
      </c>
      <c r="HN25" s="4" t="s">
        <v>356</v>
      </c>
      <c r="HO25" s="4" t="s">
        <v>356</v>
      </c>
      <c r="HP25" s="4" t="s">
        <v>356</v>
      </c>
      <c r="HQ25" s="4" t="s">
        <v>356</v>
      </c>
      <c r="HR25" s="4" t="s">
        <v>356</v>
      </c>
      <c r="HS25" s="4" t="s">
        <v>356</v>
      </c>
      <c r="HT25" s="4" t="s">
        <v>356</v>
      </c>
      <c r="HU25" s="4" t="s">
        <v>356</v>
      </c>
      <c r="HV25" s="4" t="s">
        <v>356</v>
      </c>
      <c r="HW25" s="4" t="s">
        <v>356</v>
      </c>
      <c r="HX25" s="4" t="s">
        <v>356</v>
      </c>
      <c r="HY25" s="4" t="s">
        <v>356</v>
      </c>
      <c r="HZ25" s="4" t="s">
        <v>356</v>
      </c>
      <c r="IA25" s="4" t="s">
        <v>356</v>
      </c>
      <c r="IB25" s="4" t="s">
        <v>356</v>
      </c>
      <c r="IC25" s="4" t="s">
        <v>356</v>
      </c>
      <c r="ID25" s="4" t="s">
        <v>356</v>
      </c>
      <c r="IE25" s="4" t="s">
        <v>356</v>
      </c>
      <c r="IF25" s="4" t="s">
        <v>356</v>
      </c>
      <c r="IG25" s="4" t="s">
        <v>356</v>
      </c>
      <c r="IH25" s="4" t="s">
        <v>356</v>
      </c>
      <c r="II25" s="4" t="s">
        <v>356</v>
      </c>
      <c r="IJ25" s="4" t="s">
        <v>356</v>
      </c>
      <c r="IK25" s="4" t="s">
        <v>356</v>
      </c>
      <c r="IL25" s="4" t="s">
        <v>356</v>
      </c>
      <c r="IM25" s="4" t="s">
        <v>356</v>
      </c>
      <c r="IN25" s="4" t="s">
        <v>356</v>
      </c>
      <c r="IO25" s="4" t="s">
        <v>356</v>
      </c>
      <c r="IP25" s="4" t="s">
        <v>356</v>
      </c>
      <c r="IQ25" s="4" t="s">
        <v>356</v>
      </c>
      <c r="IR25" s="4" t="s">
        <v>356</v>
      </c>
      <c r="IS25" s="4" t="s">
        <v>356</v>
      </c>
      <c r="IT25" s="4" t="s">
        <v>356</v>
      </c>
      <c r="IU25" s="4" t="s">
        <v>383</v>
      </c>
      <c r="IV25" s="4" t="s">
        <v>383</v>
      </c>
      <c r="IW25" s="4" t="s">
        <v>383</v>
      </c>
      <c r="IX25" s="4" t="s">
        <v>383</v>
      </c>
      <c r="IY25" s="4" t="s">
        <v>356</v>
      </c>
      <c r="IZ25" s="4" t="s">
        <v>356</v>
      </c>
      <c r="JA25" s="4" t="s">
        <v>356</v>
      </c>
      <c r="JB25" s="4" t="s">
        <v>356</v>
      </c>
      <c r="JC25" s="4" t="s">
        <v>356</v>
      </c>
      <c r="JD25" s="4" t="s">
        <v>356</v>
      </c>
      <c r="JE25" s="4" t="s">
        <v>356</v>
      </c>
      <c r="JF25" s="4" t="s">
        <v>356</v>
      </c>
      <c r="JG25" s="4" t="s">
        <v>356</v>
      </c>
      <c r="JH25" s="4" t="s">
        <v>356</v>
      </c>
      <c r="JI25" s="4" t="s">
        <v>356</v>
      </c>
      <c r="JJ25" s="4" t="s">
        <v>356</v>
      </c>
      <c r="JK25" s="4" t="s">
        <v>356</v>
      </c>
      <c r="JL25" s="4" t="s">
        <v>356</v>
      </c>
      <c r="JM25" s="4" t="s">
        <v>356</v>
      </c>
      <c r="JN25" s="4" t="s">
        <v>356</v>
      </c>
      <c r="JO25" s="4" t="s">
        <v>356</v>
      </c>
      <c r="JP25" s="4" t="s">
        <v>356</v>
      </c>
      <c r="JQ25" s="4" t="s">
        <v>356</v>
      </c>
      <c r="JR25" s="4" t="s">
        <v>356</v>
      </c>
      <c r="JS25" s="4" t="s">
        <v>356</v>
      </c>
      <c r="JT25" s="4" t="s">
        <v>356</v>
      </c>
      <c r="JU25" s="4" t="s">
        <v>356</v>
      </c>
      <c r="JV25" s="4" t="s">
        <v>356</v>
      </c>
      <c r="JW25" s="4" t="s">
        <v>356</v>
      </c>
      <c r="JX25" s="4" t="s">
        <v>356</v>
      </c>
      <c r="JY25" s="4" t="s">
        <v>356</v>
      </c>
      <c r="JZ25" s="4" t="s">
        <v>356</v>
      </c>
      <c r="KA25" s="4" t="s">
        <v>356</v>
      </c>
      <c r="KB25" s="4" t="s">
        <v>356</v>
      </c>
      <c r="KC25" s="4" t="s">
        <v>356</v>
      </c>
      <c r="KD25" s="4" t="s">
        <v>356</v>
      </c>
      <c r="KE25" s="4" t="s">
        <v>356</v>
      </c>
      <c r="KF25" s="4" t="s">
        <v>356</v>
      </c>
      <c r="KG25" s="4" t="s">
        <v>356</v>
      </c>
      <c r="KH25" s="4" t="s">
        <v>356</v>
      </c>
      <c r="KI25" s="4" t="s">
        <v>356</v>
      </c>
      <c r="KJ25" s="4" t="s">
        <v>356</v>
      </c>
      <c r="KK25" s="4" t="s">
        <v>356</v>
      </c>
      <c r="KL25" s="4" t="s">
        <v>356</v>
      </c>
      <c r="KM25" s="4" t="s">
        <v>356</v>
      </c>
      <c r="KN25" s="4" t="s">
        <v>356</v>
      </c>
      <c r="KO25" s="4" t="s">
        <v>356</v>
      </c>
      <c r="KP25" s="4" t="s">
        <v>356</v>
      </c>
      <c r="KQ25" s="4" t="s">
        <v>356</v>
      </c>
      <c r="KR25" s="4" t="s">
        <v>356</v>
      </c>
      <c r="KS25" s="4" t="s">
        <v>356</v>
      </c>
      <c r="KT25" s="4" t="s">
        <v>356</v>
      </c>
      <c r="KU25" s="4" t="s">
        <v>356</v>
      </c>
      <c r="KV25" s="4" t="s">
        <v>356</v>
      </c>
      <c r="KW25" s="4" t="s">
        <v>356</v>
      </c>
      <c r="KX25" s="4" t="s">
        <v>356</v>
      </c>
      <c r="KY25" s="4" t="s">
        <v>356</v>
      </c>
      <c r="KZ25" s="4" t="s">
        <v>356</v>
      </c>
      <c r="LA25" s="4" t="s">
        <v>356</v>
      </c>
      <c r="LB25" s="4" t="s">
        <v>356</v>
      </c>
      <c r="LC25" s="4" t="s">
        <v>356</v>
      </c>
      <c r="LD25" s="4" t="s">
        <v>356</v>
      </c>
      <c r="LE25" s="4" t="s">
        <v>356</v>
      </c>
      <c r="LF25" s="4" t="s">
        <v>356</v>
      </c>
      <c r="LG25" s="4" t="s">
        <v>356</v>
      </c>
      <c r="LH25" s="4" t="s">
        <v>356</v>
      </c>
      <c r="LI25" s="4" t="s">
        <v>356</v>
      </c>
      <c r="LJ25" s="4" t="s">
        <v>356</v>
      </c>
      <c r="LK25" s="4" t="s">
        <v>356</v>
      </c>
      <c r="LL25" s="4" t="s">
        <v>356</v>
      </c>
      <c r="LM25" s="4" t="s">
        <v>356</v>
      </c>
      <c r="LN25" s="4" t="s">
        <v>356</v>
      </c>
      <c r="LO25" s="4" t="s">
        <v>356</v>
      </c>
      <c r="LP25" s="4" t="s">
        <v>356</v>
      </c>
      <c r="LQ25" s="4" t="s">
        <v>356</v>
      </c>
      <c r="LR25" s="4" t="s">
        <v>356</v>
      </c>
      <c r="LS25" s="4" t="s">
        <v>356</v>
      </c>
      <c r="LT25" s="4" t="s">
        <v>356</v>
      </c>
      <c r="LU25" s="4" t="s">
        <v>356</v>
      </c>
      <c r="LV25" s="4" t="s">
        <v>356</v>
      </c>
      <c r="LW25" s="4" t="s">
        <v>356</v>
      </c>
      <c r="LX25" s="4" t="s">
        <v>356</v>
      </c>
      <c r="LY25" s="4" t="s">
        <v>356</v>
      </c>
      <c r="LZ25" s="3">
        <v>0</v>
      </c>
      <c r="MA25" s="3">
        <v>2</v>
      </c>
      <c r="MB25" s="3">
        <v>1</v>
      </c>
      <c r="MC25" s="3">
        <v>4</v>
      </c>
      <c r="MD25" s="3">
        <f t="shared" si="7"/>
        <v>7</v>
      </c>
      <c r="ME25" s="3">
        <v>0</v>
      </c>
      <c r="MF25" s="3">
        <v>1</v>
      </c>
      <c r="MG25" s="3">
        <v>0</v>
      </c>
      <c r="MH25" s="3">
        <v>1</v>
      </c>
      <c r="MI25" s="3">
        <f t="shared" si="8"/>
        <v>2</v>
      </c>
    </row>
    <row r="26" spans="1:347" ht="15.75" customHeight="1" x14ac:dyDescent="0.25">
      <c r="A26" s="4" t="s">
        <v>1026</v>
      </c>
      <c r="B26" s="4">
        <v>66</v>
      </c>
      <c r="C26" s="4" t="s">
        <v>403</v>
      </c>
      <c r="D26" s="4">
        <v>8</v>
      </c>
      <c r="E26" s="4">
        <v>1</v>
      </c>
      <c r="F26" s="4" t="s">
        <v>350</v>
      </c>
      <c r="G26" s="4" t="s">
        <v>351</v>
      </c>
      <c r="H26" s="4" t="s">
        <v>1027</v>
      </c>
      <c r="I26" s="4" t="s">
        <v>1028</v>
      </c>
      <c r="J26" s="4"/>
      <c r="K26" s="4"/>
      <c r="L26" s="4" t="s">
        <v>991</v>
      </c>
      <c r="M26" s="4" t="s">
        <v>449</v>
      </c>
      <c r="N26" s="4" t="s">
        <v>406</v>
      </c>
      <c r="O26" s="6">
        <v>45589</v>
      </c>
      <c r="P26" s="9">
        <v>45603</v>
      </c>
      <c r="Q26" s="4" t="s">
        <v>1029</v>
      </c>
      <c r="R26" s="4" t="s">
        <v>1030</v>
      </c>
      <c r="S26" s="4"/>
      <c r="T26" s="4"/>
      <c r="U26" s="4"/>
      <c r="V26" s="4"/>
      <c r="W26" s="4"/>
      <c r="X26" s="4"/>
      <c r="Y26" s="4"/>
      <c r="Z26" s="4"/>
      <c r="AA26" s="4"/>
      <c r="AB26" s="4"/>
      <c r="AC26" s="4"/>
      <c r="AD26" s="4"/>
      <c r="AE26" s="4"/>
      <c r="AF26" s="4"/>
      <c r="AG26" s="4"/>
      <c r="AH26" s="4" t="s">
        <v>1031</v>
      </c>
      <c r="AI26" s="4" t="s">
        <v>1032</v>
      </c>
      <c r="AJ26" s="4" t="s">
        <v>701</v>
      </c>
      <c r="AK26" s="4" t="s">
        <v>1033</v>
      </c>
      <c r="AL26" s="5" t="s">
        <v>356</v>
      </c>
      <c r="AM26" s="5" t="s">
        <v>356</v>
      </c>
      <c r="AN26" s="5" t="s">
        <v>356</v>
      </c>
      <c r="AO26" s="5" t="s">
        <v>356</v>
      </c>
      <c r="AP26" s="5" t="s">
        <v>356</v>
      </c>
      <c r="AQ26" s="5" t="s">
        <v>356</v>
      </c>
      <c r="AR26" s="5" t="s">
        <v>356</v>
      </c>
      <c r="AS26" s="5" t="s">
        <v>356</v>
      </c>
      <c r="AT26" s="5" t="s">
        <v>356</v>
      </c>
      <c r="AU26" s="5" t="s">
        <v>356</v>
      </c>
      <c r="AV26" s="5" t="s">
        <v>356</v>
      </c>
      <c r="AW26" s="5" t="s">
        <v>356</v>
      </c>
      <c r="AX26" s="4">
        <v>2</v>
      </c>
      <c r="AY26" s="4"/>
      <c r="AZ26" s="4" t="s">
        <v>360</v>
      </c>
      <c r="BA26" s="4">
        <f t="shared" si="9"/>
        <v>14</v>
      </c>
      <c r="BB26" s="4"/>
      <c r="BC26" s="4"/>
      <c r="BD26" s="4"/>
      <c r="BE26" s="4"/>
      <c r="BF26" s="4"/>
      <c r="BG26" s="6">
        <v>45596</v>
      </c>
      <c r="BH26" s="4">
        <v>4</v>
      </c>
      <c r="BI26" s="4">
        <v>2</v>
      </c>
      <c r="BJ26" s="4">
        <v>4</v>
      </c>
      <c r="BK26" s="4">
        <v>4</v>
      </c>
      <c r="BL26" s="4">
        <v>3</v>
      </c>
      <c r="BM26" s="4">
        <v>4</v>
      </c>
      <c r="BN26" s="4">
        <v>1</v>
      </c>
      <c r="BO26" s="4">
        <f>SUM(Foglio1!$BH26:$BM26)</f>
        <v>21</v>
      </c>
      <c r="BP26" s="4">
        <v>3</v>
      </c>
      <c r="BQ26" s="4">
        <v>3</v>
      </c>
      <c r="BR26" s="4">
        <v>6</v>
      </c>
      <c r="BS26" s="4">
        <v>51</v>
      </c>
      <c r="BT26" s="4">
        <v>5</v>
      </c>
      <c r="BU26" s="4">
        <v>2</v>
      </c>
      <c r="BV26" s="4">
        <v>2</v>
      </c>
      <c r="BW26" s="4">
        <v>1</v>
      </c>
      <c r="BX26" s="4">
        <v>2</v>
      </c>
      <c r="BY26" s="4">
        <v>4</v>
      </c>
      <c r="BZ26" s="4">
        <v>1</v>
      </c>
      <c r="CA26" s="4">
        <v>1</v>
      </c>
      <c r="CB26" s="4">
        <v>1</v>
      </c>
      <c r="CC26" s="4">
        <v>1</v>
      </c>
      <c r="CD26" s="4">
        <v>2</v>
      </c>
      <c r="CE26" s="4">
        <v>2</v>
      </c>
      <c r="CF26" s="4">
        <v>1</v>
      </c>
      <c r="CG26" s="4">
        <v>1</v>
      </c>
      <c r="CH26" s="4">
        <v>1</v>
      </c>
      <c r="CI26" s="4">
        <v>1</v>
      </c>
      <c r="CJ26" s="4">
        <v>1</v>
      </c>
      <c r="CK26" s="4">
        <v>1</v>
      </c>
      <c r="CL26" s="4">
        <v>1</v>
      </c>
      <c r="CM26" s="4">
        <v>1</v>
      </c>
      <c r="CN26" s="4">
        <v>1</v>
      </c>
      <c r="CO26" s="4">
        <v>1</v>
      </c>
      <c r="CP26" s="4">
        <v>4</v>
      </c>
      <c r="CQ26" s="4">
        <v>1</v>
      </c>
      <c r="CR26" s="4">
        <v>1</v>
      </c>
      <c r="CS26" s="4">
        <v>1</v>
      </c>
      <c r="CT26" s="4">
        <v>1</v>
      </c>
      <c r="CU26" s="4">
        <v>1</v>
      </c>
      <c r="CV26" s="4">
        <v>2</v>
      </c>
      <c r="CW26" s="4">
        <v>2</v>
      </c>
      <c r="CX26" s="4">
        <f>SUM(Foglio1!$BT26:$CW26)</f>
        <v>47</v>
      </c>
      <c r="CY26" s="4">
        <f>SUM(Foglio1!$BT26+Foglio1!$BV26+Foglio1!$CP26+Foglio1!$BY26+Foglio1!$BX26+Foglio1!$CH26+Foglio1!$CS26+Foglio1!$CW26-Foglio1!$CE26)</f>
        <v>19</v>
      </c>
      <c r="CZ26" s="4">
        <f>SUM(Foglio1!$CF26+Foglio1!$CA26+Foglio1!$CB26+Foglio1!$CD26+Foglio1!$CN26+Foglio1!$CC26+Foglio1!$CW26+Foglio1!$CO26+Foglio1!$CT26-Foglio1!$BU26)</f>
        <v>9</v>
      </c>
      <c r="DA26" s="4">
        <f>SUM(Foglio1!$CG26+Foglio1!$CR26+Foglio1!$CQ26+Foglio1!$BU26+Foglio1!$CE26+Foglio1!$CL26+Foglio1!$CS26+Foglio1!$CT26+Foglio1!$CV26+Foglio1!$CP26)</f>
        <v>16</v>
      </c>
      <c r="DB26" s="4">
        <f>SUM(Foglio1!$CU26+Foglio1!$BW26+Foglio1!$BZ26+Foglio1!$CO26+Foglio1!$BX26+Foglio1!$CC26+Foglio1!$CK26+Foglio1!$CW26)</f>
        <v>10</v>
      </c>
      <c r="DC26" s="4">
        <f>SUM(Foglio1!$CI26+Foglio1!$CM26+Foglio1!$CJ26+Foglio1!$CK26+Foglio1!$BY26+Foglio1!$CH26+Foglio1!$CV26+Foglio1!$CW26)</f>
        <v>13</v>
      </c>
      <c r="DD26" s="4">
        <v>3</v>
      </c>
      <c r="DE26" s="4">
        <v>3</v>
      </c>
      <c r="DF26" s="4">
        <v>3</v>
      </c>
      <c r="DG26" s="4">
        <v>2</v>
      </c>
      <c r="DH26" s="4">
        <v>3</v>
      </c>
      <c r="DI26" s="4">
        <v>0</v>
      </c>
      <c r="DJ26" s="4">
        <v>0</v>
      </c>
      <c r="DK26" s="4">
        <v>0</v>
      </c>
      <c r="DL26" s="4">
        <v>2</v>
      </c>
      <c r="DM26" s="4">
        <v>2</v>
      </c>
      <c r="DN26" s="4">
        <v>3</v>
      </c>
      <c r="DO26" s="4">
        <v>0</v>
      </c>
      <c r="DP26" s="4">
        <v>1</v>
      </c>
      <c r="DQ26" s="4">
        <v>2</v>
      </c>
      <c r="DR26" s="4">
        <v>0</v>
      </c>
      <c r="DS26" s="4">
        <v>0</v>
      </c>
      <c r="DT26" s="4">
        <v>0</v>
      </c>
      <c r="DU26" s="4">
        <v>3</v>
      </c>
      <c r="DV26" s="4">
        <v>0</v>
      </c>
      <c r="DW26" s="4">
        <v>0</v>
      </c>
      <c r="DX26" s="4">
        <v>0</v>
      </c>
      <c r="DY26" s="4">
        <v>0</v>
      </c>
      <c r="DZ26" s="4">
        <v>0</v>
      </c>
      <c r="EA26" s="4">
        <v>3</v>
      </c>
      <c r="EB26" s="4">
        <v>2</v>
      </c>
      <c r="EC26" s="4">
        <v>0</v>
      </c>
      <c r="ED26" s="4">
        <v>0</v>
      </c>
      <c r="EE26" s="4">
        <v>2</v>
      </c>
      <c r="EF26" s="4">
        <v>1</v>
      </c>
      <c r="EG26" s="4">
        <v>1</v>
      </c>
      <c r="EH26" s="4">
        <f>(Foglio1!$DE26+Foglio1!$DH26+Foglio1!$DG26+Foglio1!$DF26+Foglio1!$DM26+Foglio1!$DD26+Foglio1!$DO26+Foglio1!$DL26+Foglio1!$DN26+Foglio1!$DQ26+Foglio1!$DP26+Foglio1!$DT26+Foglio1!$DI26+Foglio1!$DK26+Foglio1!$DU26)</f>
        <v>27</v>
      </c>
      <c r="EI26" s="4">
        <f>(Foglio1!$EA26+Foglio1!$EB26+Foglio1!$EE26+Foglio1!$EC26+Foglio1!$ED26+Foglio1!$DZ26+Foglio1!$DY26)</f>
        <v>7</v>
      </c>
      <c r="EJ26" s="4">
        <f>(Foglio1!$DW26+Foglio1!$DV26+Foglio1!$DX26)</f>
        <v>0</v>
      </c>
      <c r="EK26" s="4">
        <f>(Foglio1!$EG26+Foglio1!$EF26)</f>
        <v>2</v>
      </c>
      <c r="EL26" s="4">
        <v>0</v>
      </c>
      <c r="EM26" s="4">
        <v>1</v>
      </c>
      <c r="EN26" s="4">
        <v>0</v>
      </c>
      <c r="EO26" s="4">
        <v>1</v>
      </c>
      <c r="EP26" s="4">
        <f t="array" ref="EP26">SUM(EL26:EO26/4)</f>
        <v>0.5</v>
      </c>
      <c r="EQ26" s="4">
        <v>1</v>
      </c>
      <c r="ER26" s="4">
        <v>0</v>
      </c>
      <c r="ES26" s="4">
        <v>0</v>
      </c>
      <c r="ET26" s="4">
        <v>1</v>
      </c>
      <c r="EU26" s="4" t="s">
        <v>930</v>
      </c>
      <c r="EV26" s="4">
        <v>0</v>
      </c>
      <c r="EW26" s="4" t="s">
        <v>1034</v>
      </c>
      <c r="EX26" s="4">
        <v>0</v>
      </c>
      <c r="EY26" s="4">
        <f>(Foglio1!$EQ26+Foglio1!$ER26+Foglio1!$ES26+Foglio1!$ET26+Foglio1!$EV26+Foglio1!$EX26)/6</f>
        <v>0.33333333333333331</v>
      </c>
      <c r="EZ26" s="4">
        <v>1</v>
      </c>
      <c r="FA26" s="4">
        <v>0</v>
      </c>
      <c r="FB26" s="4">
        <v>0</v>
      </c>
      <c r="FC26" s="4">
        <f>(Foglio1!$EZ26+Foglio1!$FA26+Foglio1!$FB26)/3</f>
        <v>0.33333333333333331</v>
      </c>
      <c r="FD26" s="4">
        <v>1</v>
      </c>
      <c r="FE26" s="4">
        <v>0</v>
      </c>
      <c r="FF26" s="4">
        <f>(Foglio1!$FD26+Foglio1!$FE26)/2</f>
        <v>0.5</v>
      </c>
      <c r="FG26" s="4" t="s">
        <v>1035</v>
      </c>
      <c r="FH26" s="4">
        <v>0</v>
      </c>
      <c r="FI26" s="4" t="s">
        <v>1036</v>
      </c>
      <c r="FJ26" s="4">
        <v>0</v>
      </c>
      <c r="FK26" s="4" t="s">
        <v>1037</v>
      </c>
      <c r="FL26" s="4">
        <v>0</v>
      </c>
      <c r="FM26" s="4">
        <f>(Foglio1!$FH26+Foglio1!$FJ26+Foglio1!$FL26)/3</f>
        <v>0</v>
      </c>
      <c r="FN26" s="4">
        <f>(Foglio1!$EP26)</f>
        <v>0.5</v>
      </c>
      <c r="FO26" s="4">
        <f>(Foglio1!$EY26+Foglio1!$FC26+Foglio1!$FF26+Foglio1!$FM26)/4</f>
        <v>0.29166666666666663</v>
      </c>
      <c r="FP26" s="4">
        <f>(Foglio1!$EP26+Foglio1!$EY26+Foglio1!$FC26+Foglio1!$FF26+Foglio1!$FM26)/5</f>
        <v>0.33333333333333331</v>
      </c>
      <c r="FQ26" s="6">
        <v>45602</v>
      </c>
      <c r="FR26" s="4">
        <v>3</v>
      </c>
      <c r="FS26" s="4">
        <v>2</v>
      </c>
      <c r="FT26" s="4">
        <v>3</v>
      </c>
      <c r="FU26" s="4">
        <v>3</v>
      </c>
      <c r="FV26" s="4">
        <v>4</v>
      </c>
      <c r="FW26" s="4">
        <v>3</v>
      </c>
      <c r="FX26" s="4">
        <v>1</v>
      </c>
      <c r="FY26" s="4">
        <v>2</v>
      </c>
      <c r="FZ26" s="4">
        <v>3</v>
      </c>
      <c r="GA26" s="4">
        <v>5</v>
      </c>
      <c r="GB26" s="4">
        <v>55</v>
      </c>
      <c r="GC26" s="4">
        <v>4</v>
      </c>
      <c r="GD26" s="4">
        <v>1</v>
      </c>
      <c r="GE26" s="4">
        <v>0</v>
      </c>
      <c r="GF26" s="4">
        <v>0</v>
      </c>
      <c r="GG26" s="4">
        <v>1</v>
      </c>
      <c r="GH26" s="4">
        <v>2</v>
      </c>
      <c r="GI26" s="4">
        <v>1</v>
      </c>
      <c r="GJ26" s="4">
        <v>0</v>
      </c>
      <c r="GK26" s="4">
        <v>0</v>
      </c>
      <c r="GL26" s="4">
        <v>1</v>
      </c>
      <c r="GM26" s="4">
        <v>1</v>
      </c>
      <c r="GN26" s="4">
        <v>1</v>
      </c>
      <c r="GO26" s="4">
        <v>1</v>
      </c>
      <c r="GP26" s="4">
        <v>1</v>
      </c>
      <c r="GQ26" s="4">
        <v>0</v>
      </c>
      <c r="GR26" s="4">
        <v>2</v>
      </c>
      <c r="GS26" s="4">
        <v>0</v>
      </c>
      <c r="GT26" s="4">
        <v>0</v>
      </c>
      <c r="GU26" s="4">
        <v>0</v>
      </c>
      <c r="GV26" s="4">
        <v>0</v>
      </c>
      <c r="GW26" s="4">
        <v>1</v>
      </c>
      <c r="GX26" s="4">
        <v>1</v>
      </c>
      <c r="GY26" s="4">
        <v>4</v>
      </c>
      <c r="GZ26" s="4">
        <v>0</v>
      </c>
      <c r="HA26" s="4">
        <v>0</v>
      </c>
      <c r="HB26" s="4">
        <v>0</v>
      </c>
      <c r="HC26" s="4">
        <v>0</v>
      </c>
      <c r="HD26" s="4">
        <v>0</v>
      </c>
      <c r="HE26" s="4">
        <v>2</v>
      </c>
      <c r="HF26" s="4">
        <v>1</v>
      </c>
      <c r="HG26" s="4">
        <f t="shared" si="24"/>
        <v>25</v>
      </c>
      <c r="HH26" s="4">
        <f t="shared" si="25"/>
        <v>11</v>
      </c>
      <c r="HI26" s="4">
        <f t="shared" si="26"/>
        <v>5</v>
      </c>
      <c r="HJ26" s="4">
        <f t="shared" si="27"/>
        <v>9</v>
      </c>
      <c r="HK26" s="4">
        <f t="shared" si="28"/>
        <v>5</v>
      </c>
      <c r="HL26" s="4">
        <f t="shared" si="29"/>
        <v>7</v>
      </c>
      <c r="HM26" s="4">
        <v>3</v>
      </c>
      <c r="HN26" s="4">
        <v>4</v>
      </c>
      <c r="HO26" s="4">
        <v>4</v>
      </c>
      <c r="HP26" s="4">
        <v>2</v>
      </c>
      <c r="HQ26" s="4">
        <v>2</v>
      </c>
      <c r="HR26" s="4">
        <v>0</v>
      </c>
      <c r="HS26" s="4">
        <v>0</v>
      </c>
      <c r="HT26" s="4">
        <v>0</v>
      </c>
      <c r="HU26" s="4">
        <v>2</v>
      </c>
      <c r="HV26" s="4">
        <v>2</v>
      </c>
      <c r="HW26" s="4">
        <v>2</v>
      </c>
      <c r="HX26" s="4">
        <v>0</v>
      </c>
      <c r="HY26" s="4">
        <v>0</v>
      </c>
      <c r="HZ26" s="4">
        <v>2</v>
      </c>
      <c r="IA26" s="4">
        <v>0</v>
      </c>
      <c r="IB26" s="4">
        <v>0</v>
      </c>
      <c r="IC26" s="4">
        <v>2</v>
      </c>
      <c r="ID26" s="4">
        <v>0</v>
      </c>
      <c r="IE26" s="4">
        <v>0</v>
      </c>
      <c r="IF26" s="4">
        <v>0</v>
      </c>
      <c r="IG26" s="4">
        <v>2</v>
      </c>
      <c r="IH26" s="4">
        <v>3</v>
      </c>
      <c r="II26" s="4">
        <v>3</v>
      </c>
      <c r="IJ26" s="4">
        <v>3</v>
      </c>
      <c r="IK26" s="4">
        <v>4</v>
      </c>
      <c r="IL26" s="4">
        <v>0</v>
      </c>
      <c r="IM26" s="4">
        <v>0</v>
      </c>
      <c r="IN26" s="4">
        <v>3</v>
      </c>
      <c r="IO26" s="4">
        <v>1</v>
      </c>
      <c r="IP26" s="4">
        <v>0</v>
      </c>
      <c r="IQ26" s="4">
        <f t="shared" ref="IQ26:IQ33" si="34">SUM(HN26+HQ26+HP26+HO26+HV26+HM26+HX26+HU26+HW26+HZ26+HY26+IC26+HR26+HT26+ID26)</f>
        <v>25</v>
      </c>
      <c r="IR26" s="4">
        <f t="shared" ref="IR26:IR33" si="35">SUM(IJ26+IK26+IN26+IL26+IM26+II26+IH26)</f>
        <v>16</v>
      </c>
      <c r="IS26" s="4">
        <f t="shared" ref="IS26:IS33" si="36">SUM(IF26+IE26+IG26)</f>
        <v>2</v>
      </c>
      <c r="IT26" s="4">
        <f t="shared" ref="IT26:IT33" si="37">SUM(IP26+IO26)</f>
        <v>1</v>
      </c>
      <c r="IU26" s="4" t="s">
        <v>383</v>
      </c>
      <c r="IV26" s="4" t="s">
        <v>383</v>
      </c>
      <c r="IW26" s="4" t="s">
        <v>383</v>
      </c>
      <c r="IX26" s="4" t="s">
        <v>383</v>
      </c>
      <c r="IY26" s="4">
        <v>1</v>
      </c>
      <c r="IZ26" s="4">
        <v>0</v>
      </c>
      <c r="JA26" s="4">
        <v>1</v>
      </c>
      <c r="JB26" s="4">
        <v>1</v>
      </c>
      <c r="JC26" s="4">
        <f>(Foglio1!$IY26+Foglio1!$IZ26+Foglio1!$JA26+Foglio1!$JB26)/4</f>
        <v>0.75</v>
      </c>
      <c r="JD26" s="4">
        <v>1</v>
      </c>
      <c r="JE26" s="4">
        <v>1</v>
      </c>
      <c r="JF26" s="4">
        <v>1</v>
      </c>
      <c r="JG26" s="4">
        <v>1</v>
      </c>
      <c r="JH26" s="4" t="s">
        <v>1038</v>
      </c>
      <c r="JI26" s="4">
        <v>0</v>
      </c>
      <c r="JJ26" s="4" t="s">
        <v>1039</v>
      </c>
      <c r="JK26" s="4">
        <v>0</v>
      </c>
      <c r="JL26" s="4">
        <f>(Foglio1!$JD26+Foglio1!$JE26+Foglio1!$JF26+Foglio1!$JG26+Foglio1!$JI26+Foglio1!$JK26)/6</f>
        <v>0.66666666666666663</v>
      </c>
      <c r="JM26" s="4">
        <v>1</v>
      </c>
      <c r="JN26" s="4">
        <v>1</v>
      </c>
      <c r="JO26" s="4">
        <v>0</v>
      </c>
      <c r="JP26" s="4">
        <f>(Foglio1!$JM26+Foglio1!$JN26+Foglio1!$JO26)/3</f>
        <v>0.66666666666666663</v>
      </c>
      <c r="JQ26" s="4">
        <v>0</v>
      </c>
      <c r="JR26" s="4">
        <v>1</v>
      </c>
      <c r="JS26" s="4">
        <f>(Foglio1!$JQ26+Foglio1!$JR26)/2</f>
        <v>0.5</v>
      </c>
      <c r="JT26" s="4" t="s">
        <v>1040</v>
      </c>
      <c r="JU26" s="4">
        <v>0</v>
      </c>
      <c r="JV26" s="4" t="s">
        <v>1041</v>
      </c>
      <c r="JW26" s="4">
        <v>0</v>
      </c>
      <c r="JX26" s="4" t="s">
        <v>1042</v>
      </c>
      <c r="JY26" s="4">
        <v>1</v>
      </c>
      <c r="JZ26" s="4">
        <f>(Foglio1!$JU26+Foglio1!$JW26+Foglio1!$JY26)/3</f>
        <v>0.33333333333333331</v>
      </c>
      <c r="KA26" s="4">
        <f>(Foglio1!$JC26)</f>
        <v>0.75</v>
      </c>
      <c r="KB26" s="4">
        <f>(Foglio1!$JL26+Foglio1!$JP26+Foglio1!$JS26+Foglio1!$JZ26)/4</f>
        <v>0.54166666666666663</v>
      </c>
      <c r="KC26" s="4">
        <f>(Foglio1!$JC26+Foglio1!$JL26+Foglio1!$JP26+Foglio1!$JS26+Foglio1!$JZ26)/5</f>
        <v>0.58333333333333326</v>
      </c>
      <c r="KD26" s="4" t="s">
        <v>1043</v>
      </c>
      <c r="KE26" s="4">
        <v>0</v>
      </c>
      <c r="KF26" s="4">
        <v>2</v>
      </c>
      <c r="KG26" s="4" t="s">
        <v>930</v>
      </c>
      <c r="KH26" s="4">
        <v>0</v>
      </c>
      <c r="KI26" s="4">
        <v>0</v>
      </c>
      <c r="KJ26" s="4" t="s">
        <v>1044</v>
      </c>
      <c r="KK26" s="4">
        <v>1</v>
      </c>
      <c r="KL26" s="4">
        <v>2</v>
      </c>
      <c r="KM26" s="4" t="s">
        <v>930</v>
      </c>
      <c r="KN26" s="4">
        <v>0</v>
      </c>
      <c r="KO26" s="4">
        <v>0</v>
      </c>
      <c r="KP26" s="4" t="s">
        <v>1045</v>
      </c>
      <c r="KQ26" s="4">
        <v>1</v>
      </c>
      <c r="KR26" s="4">
        <v>3</v>
      </c>
      <c r="KS26" s="4" t="s">
        <v>1046</v>
      </c>
      <c r="KT26" s="4">
        <v>2</v>
      </c>
      <c r="KU26" s="4">
        <v>1</v>
      </c>
      <c r="KV26" s="4" t="s">
        <v>1047</v>
      </c>
      <c r="KW26" s="4">
        <v>1</v>
      </c>
      <c r="KX26" s="4">
        <v>1</v>
      </c>
      <c r="KY26" s="4" t="s">
        <v>1048</v>
      </c>
      <c r="KZ26" s="4">
        <v>0</v>
      </c>
      <c r="LA26" s="4">
        <v>0</v>
      </c>
      <c r="LB26" s="4" t="s">
        <v>1049</v>
      </c>
      <c r="LC26" s="4">
        <v>2</v>
      </c>
      <c r="LD26" s="4">
        <v>1</v>
      </c>
      <c r="LE26" s="4" t="s">
        <v>1050</v>
      </c>
      <c r="LF26" s="4">
        <v>0</v>
      </c>
      <c r="LG26" s="4">
        <v>2</v>
      </c>
      <c r="LH26" s="4" t="s">
        <v>930</v>
      </c>
      <c r="LI26" s="4">
        <v>0</v>
      </c>
      <c r="LJ26" s="4">
        <v>0</v>
      </c>
      <c r="LK26" s="4" t="s">
        <v>1051</v>
      </c>
      <c r="LL26" s="4">
        <v>0</v>
      </c>
      <c r="LM26" s="4">
        <v>0</v>
      </c>
      <c r="LN26" s="4" t="s">
        <v>1052</v>
      </c>
      <c r="LO26" s="4">
        <v>0</v>
      </c>
      <c r="LP26" s="4">
        <v>0</v>
      </c>
      <c r="LQ26" s="4" t="s">
        <v>1053</v>
      </c>
      <c r="LR26" s="4">
        <v>0</v>
      </c>
      <c r="LS26" s="4">
        <v>2</v>
      </c>
      <c r="LT26" s="4">
        <f>(Foglio1!$KE26+Foglio1!$KH26+Foglio1!$KK26+Foglio1!$KN26+Foglio1!$KQ26+Foglio1!$KT26+Foglio1!$KW26+Foglio1!$KZ26+Foglio1!$LC26+Foglio1!$LF26+Foglio1!$LI26+Foglio1!$LL26+Foglio1!$LO26+Foglio1!$LR26)</f>
        <v>7</v>
      </c>
      <c r="LU26" s="4">
        <f>(Foglio1!$KI26+Foglio1!$KF26+Foglio1!$KL26+Foglio1!$KO26+Foglio1!$KR26+Foglio1!$KU26+Foglio1!$KX26+Foglio1!$LA26+Foglio1!$LD26+Foglio1!$LG26+Foglio1!$LJ26+Foglio1!$LM26+Foglio1!$LP26+Foglio1!$LS26)</f>
        <v>14</v>
      </c>
      <c r="LV26" s="4">
        <v>12</v>
      </c>
      <c r="LW26" s="4">
        <v>37</v>
      </c>
      <c r="LX26" s="4">
        <v>11</v>
      </c>
      <c r="LY26" s="4">
        <v>23</v>
      </c>
      <c r="LZ26" s="3">
        <v>9</v>
      </c>
      <c r="MA26" s="3">
        <v>8</v>
      </c>
      <c r="MB26" s="3">
        <v>4</v>
      </c>
      <c r="MC26" s="3">
        <v>3</v>
      </c>
      <c r="MD26" s="3">
        <f t="shared" si="7"/>
        <v>24</v>
      </c>
      <c r="ME26" s="3">
        <v>1</v>
      </c>
      <c r="MF26" s="3">
        <v>5</v>
      </c>
      <c r="MG26" s="3">
        <v>4</v>
      </c>
      <c r="MH26" s="3">
        <v>1</v>
      </c>
      <c r="MI26" s="3">
        <f t="shared" si="8"/>
        <v>11</v>
      </c>
    </row>
    <row r="27" spans="1:347" ht="15.75" customHeight="1" x14ac:dyDescent="0.25">
      <c r="A27" s="4" t="s">
        <v>1054</v>
      </c>
      <c r="B27" s="4">
        <v>31</v>
      </c>
      <c r="C27" s="4" t="s">
        <v>403</v>
      </c>
      <c r="D27" s="4">
        <v>13</v>
      </c>
      <c r="E27" s="4">
        <v>1</v>
      </c>
      <c r="F27" s="4" t="s">
        <v>350</v>
      </c>
      <c r="G27" s="4" t="s">
        <v>404</v>
      </c>
      <c r="H27" s="4" t="s">
        <v>352</v>
      </c>
      <c r="I27" s="4" t="s">
        <v>405</v>
      </c>
      <c r="J27" s="4"/>
      <c r="K27" s="4"/>
      <c r="L27" s="5" t="s">
        <v>356</v>
      </c>
      <c r="M27" s="4" t="s">
        <v>357</v>
      </c>
      <c r="N27" s="4" t="s">
        <v>406</v>
      </c>
      <c r="O27" s="6">
        <v>45604</v>
      </c>
      <c r="P27" s="9">
        <v>45630</v>
      </c>
      <c r="Q27" s="4" t="s">
        <v>1055</v>
      </c>
      <c r="R27" s="4"/>
      <c r="S27" s="4"/>
      <c r="T27" s="4"/>
      <c r="U27" s="4"/>
      <c r="V27" s="4"/>
      <c r="W27" s="4"/>
      <c r="X27" s="4"/>
      <c r="Y27" s="4"/>
      <c r="Z27" s="4"/>
      <c r="AA27" s="4"/>
      <c r="AB27" s="4"/>
      <c r="AC27" s="4"/>
      <c r="AD27" s="4"/>
      <c r="AE27" s="4"/>
      <c r="AF27" s="4"/>
      <c r="AG27" s="4"/>
      <c r="AH27" s="4" t="s">
        <v>1056</v>
      </c>
      <c r="AI27" s="4" t="s">
        <v>1057</v>
      </c>
      <c r="AJ27" s="4" t="s">
        <v>607</v>
      </c>
      <c r="AK27" s="4" t="s">
        <v>1058</v>
      </c>
      <c r="AL27" s="5" t="s">
        <v>356</v>
      </c>
      <c r="AM27" s="5" t="s">
        <v>356</v>
      </c>
      <c r="AN27" s="5" t="s">
        <v>356</v>
      </c>
      <c r="AO27" s="5" t="s">
        <v>356</v>
      </c>
      <c r="AP27" s="5" t="s">
        <v>356</v>
      </c>
      <c r="AQ27" s="5" t="s">
        <v>356</v>
      </c>
      <c r="AR27" s="5" t="s">
        <v>356</v>
      </c>
      <c r="AS27" s="5" t="s">
        <v>356</v>
      </c>
      <c r="AT27" s="5" t="s">
        <v>356</v>
      </c>
      <c r="AU27" s="5" t="s">
        <v>356</v>
      </c>
      <c r="AV27" s="5" t="s">
        <v>356</v>
      </c>
      <c r="AW27" s="5" t="s">
        <v>356</v>
      </c>
      <c r="AX27" s="4">
        <v>2</v>
      </c>
      <c r="AY27" s="4"/>
      <c r="AZ27" s="4" t="s">
        <v>360</v>
      </c>
      <c r="BA27" s="4">
        <f t="shared" si="9"/>
        <v>26</v>
      </c>
      <c r="BB27" s="4"/>
      <c r="BC27" s="4"/>
      <c r="BD27" s="4"/>
      <c r="BE27" s="4"/>
      <c r="BF27" s="4"/>
      <c r="BG27" s="6">
        <v>45608</v>
      </c>
      <c r="BH27" s="4">
        <v>4</v>
      </c>
      <c r="BI27" s="4">
        <v>2</v>
      </c>
      <c r="BJ27" s="4">
        <v>4</v>
      </c>
      <c r="BK27" s="4">
        <v>4</v>
      </c>
      <c r="BL27" s="4">
        <v>4</v>
      </c>
      <c r="BM27" s="4">
        <v>4</v>
      </c>
      <c r="BN27" s="4">
        <v>3</v>
      </c>
      <c r="BO27" s="4">
        <f>SUM(Foglio1!$BH27:$BM27)</f>
        <v>22</v>
      </c>
      <c r="BP27" s="4">
        <v>5</v>
      </c>
      <c r="BQ27" s="4">
        <v>0</v>
      </c>
      <c r="BR27" s="4">
        <v>0</v>
      </c>
      <c r="BS27" s="4">
        <v>55</v>
      </c>
      <c r="BT27" s="4">
        <v>4</v>
      </c>
      <c r="BU27" s="4">
        <v>1</v>
      </c>
      <c r="BV27" s="4">
        <v>1</v>
      </c>
      <c r="BW27" s="4">
        <v>1</v>
      </c>
      <c r="BX27" s="4">
        <v>1</v>
      </c>
      <c r="BY27" s="4">
        <v>4</v>
      </c>
      <c r="BZ27" s="4">
        <v>3</v>
      </c>
      <c r="CA27" s="4">
        <v>1</v>
      </c>
      <c r="CB27" s="4">
        <v>1</v>
      </c>
      <c r="CC27" s="4">
        <v>1</v>
      </c>
      <c r="CD27" s="4">
        <v>1</v>
      </c>
      <c r="CE27" s="4">
        <v>1</v>
      </c>
      <c r="CF27" s="4">
        <v>1</v>
      </c>
      <c r="CG27" s="4">
        <v>1</v>
      </c>
      <c r="CH27" s="4">
        <v>1</v>
      </c>
      <c r="CI27" s="4">
        <v>3</v>
      </c>
      <c r="CJ27" s="4">
        <v>1</v>
      </c>
      <c r="CK27" s="4">
        <v>4</v>
      </c>
      <c r="CL27" s="4">
        <v>1</v>
      </c>
      <c r="CM27" s="4">
        <v>3</v>
      </c>
      <c r="CN27" s="4">
        <v>1</v>
      </c>
      <c r="CO27" s="4">
        <v>1</v>
      </c>
      <c r="CP27" s="4">
        <v>2</v>
      </c>
      <c r="CQ27" s="4">
        <v>1</v>
      </c>
      <c r="CR27" s="4">
        <v>1</v>
      </c>
      <c r="CS27" s="4">
        <v>5</v>
      </c>
      <c r="CT27" s="4">
        <v>1</v>
      </c>
      <c r="CU27" s="4">
        <v>1</v>
      </c>
      <c r="CV27" s="4">
        <v>5</v>
      </c>
      <c r="CW27" s="4">
        <v>3</v>
      </c>
      <c r="CX27" s="4">
        <f>SUM(Foglio1!$BT27:$CW27)</f>
        <v>56</v>
      </c>
      <c r="CY27" s="4">
        <f>SUM(Foglio1!$BT27+Foglio1!$BV27+Foglio1!$CP27+Foglio1!$BY27+Foglio1!$BX27+Foglio1!$CH27+Foglio1!$CS27+Foglio1!$CW27-Foglio1!$CE27)</f>
        <v>20</v>
      </c>
      <c r="CZ27" s="4">
        <f>SUM(Foglio1!$CF27+Foglio1!$CA27+Foglio1!$CB27+Foglio1!$CD27+Foglio1!$CN27+Foglio1!$CC27+Foglio1!$CW27+Foglio1!$CO27+Foglio1!$CT27-Foglio1!$BU27)</f>
        <v>10</v>
      </c>
      <c r="DA27" s="4">
        <f>SUM(Foglio1!$CG27+Foglio1!$CR27+Foglio1!$CQ27+Foglio1!$BU27+Foglio1!$CE27+Foglio1!$CL27+Foglio1!$CS27+Foglio1!$CT27+Foglio1!$CV27+Foglio1!$CP27)</f>
        <v>19</v>
      </c>
      <c r="DB27" s="4">
        <f>SUM(Foglio1!$CU27+Foglio1!$BW27+Foglio1!$BZ27+Foglio1!$CO27+Foglio1!$BX27+Foglio1!$CC27+Foglio1!$CK27+Foglio1!$CW27)</f>
        <v>15</v>
      </c>
      <c r="DC27" s="4">
        <f>SUM(Foglio1!$CI27+Foglio1!$CM27+Foglio1!$CJ27+Foglio1!$CK27+Foglio1!$BY27+Foglio1!$CH27+Foglio1!$CV27+Foglio1!$CW27)</f>
        <v>24</v>
      </c>
      <c r="DD27" s="4">
        <v>0</v>
      </c>
      <c r="DE27" s="4">
        <v>2</v>
      </c>
      <c r="DF27" s="4">
        <v>0</v>
      </c>
      <c r="DG27" s="4">
        <v>0</v>
      </c>
      <c r="DH27" s="4">
        <v>0</v>
      </c>
      <c r="DI27" s="4">
        <v>0</v>
      </c>
      <c r="DJ27" s="4">
        <v>0</v>
      </c>
      <c r="DK27" s="4">
        <v>0</v>
      </c>
      <c r="DL27" s="4">
        <v>0</v>
      </c>
      <c r="DM27" s="4">
        <v>1</v>
      </c>
      <c r="DN27" s="4">
        <v>0</v>
      </c>
      <c r="DO27" s="4">
        <v>0</v>
      </c>
      <c r="DP27" s="4">
        <v>0</v>
      </c>
      <c r="DQ27" s="4">
        <v>0</v>
      </c>
      <c r="DR27" s="4">
        <v>0</v>
      </c>
      <c r="DS27" s="4">
        <v>0</v>
      </c>
      <c r="DT27" s="4">
        <v>0</v>
      </c>
      <c r="DU27" s="4">
        <v>0</v>
      </c>
      <c r="DV27" s="4">
        <v>0</v>
      </c>
      <c r="DW27" s="4">
        <v>0</v>
      </c>
      <c r="DX27" s="4">
        <v>0</v>
      </c>
      <c r="DY27" s="4">
        <v>0</v>
      </c>
      <c r="DZ27" s="4">
        <v>2</v>
      </c>
      <c r="EA27" s="4">
        <v>3</v>
      </c>
      <c r="EB27" s="4">
        <v>0</v>
      </c>
      <c r="EC27" s="4">
        <v>0</v>
      </c>
      <c r="ED27" s="4">
        <v>0</v>
      </c>
      <c r="EE27" s="4">
        <v>4</v>
      </c>
      <c r="EF27" s="4">
        <v>0</v>
      </c>
      <c r="EG27" s="4">
        <v>0</v>
      </c>
      <c r="EH27" s="4">
        <f>(Foglio1!$DE27+Foglio1!$DH27+Foglio1!$DG27+Foglio1!$DF27+Foglio1!$DM27+Foglio1!$DD27+Foglio1!$DO27+Foglio1!$DL27+Foglio1!$DN27+Foglio1!$DQ27+Foglio1!$DP27+Foglio1!$DT27+Foglio1!$DI27+Foglio1!$DK27+Foglio1!$DU27)</f>
        <v>3</v>
      </c>
      <c r="EI27" s="4">
        <f>(Foglio1!$EA27+Foglio1!$EB27+Foglio1!$EE27+Foglio1!$EC27+Foglio1!$ED27+Foglio1!$DZ27+Foglio1!$DY27)</f>
        <v>9</v>
      </c>
      <c r="EJ27" s="4">
        <f>(Foglio1!$DW27+Foglio1!$DV27+Foglio1!$DX27)</f>
        <v>0</v>
      </c>
      <c r="EK27" s="4">
        <f>(Foglio1!$EG27+Foglio1!$EF27)</f>
        <v>0</v>
      </c>
      <c r="EL27" s="4">
        <v>1</v>
      </c>
      <c r="EM27" s="4">
        <v>0</v>
      </c>
      <c r="EN27" s="4">
        <v>1</v>
      </c>
      <c r="EO27" s="4">
        <v>1</v>
      </c>
      <c r="EP27" s="4">
        <f t="array" ref="EP27">SUM(EL27:EO27/4)</f>
        <v>0.75</v>
      </c>
      <c r="EQ27" s="4">
        <v>1</v>
      </c>
      <c r="ER27" s="4">
        <v>1</v>
      </c>
      <c r="ES27" s="4">
        <v>0</v>
      </c>
      <c r="ET27" s="4">
        <v>1</v>
      </c>
      <c r="EU27" s="4" t="s">
        <v>1059</v>
      </c>
      <c r="EV27" s="4">
        <v>1</v>
      </c>
      <c r="EW27" s="4" t="s">
        <v>1060</v>
      </c>
      <c r="EX27" s="4">
        <v>1</v>
      </c>
      <c r="EY27" s="4">
        <f>(Foglio1!$EQ27+Foglio1!$ER27+Foglio1!$ES27+Foglio1!$ET27+Foglio1!$EV27+Foglio1!$EX27)/6</f>
        <v>0.83333333333333337</v>
      </c>
      <c r="EZ27" s="4">
        <v>1</v>
      </c>
      <c r="FA27" s="4">
        <v>1</v>
      </c>
      <c r="FB27" s="4">
        <v>1</v>
      </c>
      <c r="FC27" s="4">
        <f>(Foglio1!$EZ27+Foglio1!$FA27+Foglio1!$FB27)/3</f>
        <v>1</v>
      </c>
      <c r="FD27" s="4">
        <v>0</v>
      </c>
      <c r="FE27" s="4">
        <v>1</v>
      </c>
      <c r="FF27" s="4">
        <f>(Foglio1!$FD27+Foglio1!$FE27)/2</f>
        <v>0.5</v>
      </c>
      <c r="FG27" s="4" t="s">
        <v>1061</v>
      </c>
      <c r="FH27" s="4">
        <v>1</v>
      </c>
      <c r="FI27" s="4" t="s">
        <v>1062</v>
      </c>
      <c r="FJ27" s="4">
        <v>0</v>
      </c>
      <c r="FK27" s="4" t="s">
        <v>1063</v>
      </c>
      <c r="FL27" s="4">
        <v>0</v>
      </c>
      <c r="FM27" s="4">
        <f>(Foglio1!$FH27+Foglio1!$FJ27+Foglio1!$FL27)/3</f>
        <v>0.33333333333333331</v>
      </c>
      <c r="FN27" s="4">
        <f>(Foglio1!$EP27)</f>
        <v>0.75</v>
      </c>
      <c r="FO27" s="4">
        <f>(Foglio1!$EY27+Foglio1!$FC27+Foglio1!$FF27+Foglio1!$FM27)/4</f>
        <v>0.66666666666666674</v>
      </c>
      <c r="FP27" s="4">
        <f>(Foglio1!$EP27+Foglio1!$EY27+Foglio1!$FC27+Foglio1!$FF27+Foglio1!$FM27)/5</f>
        <v>0.68333333333333335</v>
      </c>
      <c r="FQ27" s="6">
        <v>45616</v>
      </c>
      <c r="FR27" s="4">
        <v>1</v>
      </c>
      <c r="FS27" s="4">
        <v>2</v>
      </c>
      <c r="FT27" s="4">
        <v>2</v>
      </c>
      <c r="FU27" s="4">
        <v>2</v>
      </c>
      <c r="FV27" s="4">
        <v>2</v>
      </c>
      <c r="FW27" s="4">
        <v>2</v>
      </c>
      <c r="FX27" s="4">
        <v>2</v>
      </c>
      <c r="FY27" s="4">
        <v>3</v>
      </c>
      <c r="FZ27" s="4">
        <v>2</v>
      </c>
      <c r="GA27" s="4">
        <v>6</v>
      </c>
      <c r="GB27" s="4">
        <v>65</v>
      </c>
      <c r="GC27" s="4">
        <v>1</v>
      </c>
      <c r="GD27" s="4">
        <v>0</v>
      </c>
      <c r="GE27" s="4">
        <v>0</v>
      </c>
      <c r="GF27" s="4">
        <v>0</v>
      </c>
      <c r="GG27" s="4">
        <v>0</v>
      </c>
      <c r="GH27" s="4">
        <v>2</v>
      </c>
      <c r="GI27" s="4">
        <v>1</v>
      </c>
      <c r="GJ27" s="4">
        <v>0</v>
      </c>
      <c r="GK27" s="4">
        <v>0</v>
      </c>
      <c r="GL27" s="4">
        <v>0</v>
      </c>
      <c r="GM27" s="4">
        <v>0</v>
      </c>
      <c r="GN27" s="4">
        <v>0</v>
      </c>
      <c r="GO27" s="4">
        <v>0</v>
      </c>
      <c r="GP27" s="4">
        <v>0</v>
      </c>
      <c r="GQ27" s="4">
        <v>0</v>
      </c>
      <c r="GR27" s="4">
        <v>0</v>
      </c>
      <c r="GS27" s="4">
        <v>0</v>
      </c>
      <c r="GT27" s="4">
        <v>1</v>
      </c>
      <c r="GU27" s="4">
        <v>0</v>
      </c>
      <c r="GV27" s="4">
        <v>1</v>
      </c>
      <c r="GW27" s="4">
        <v>0</v>
      </c>
      <c r="GX27" s="4">
        <v>0</v>
      </c>
      <c r="GY27" s="4">
        <v>0</v>
      </c>
      <c r="GZ27" s="4">
        <v>0</v>
      </c>
      <c r="HA27" s="4">
        <v>0</v>
      </c>
      <c r="HB27" s="4">
        <v>0</v>
      </c>
      <c r="HC27" s="4">
        <v>0</v>
      </c>
      <c r="HD27" s="4">
        <v>0</v>
      </c>
      <c r="HE27" s="4">
        <v>0</v>
      </c>
      <c r="HF27" s="4">
        <v>0</v>
      </c>
      <c r="HG27" s="4">
        <f t="shared" si="24"/>
        <v>6</v>
      </c>
      <c r="HH27" s="4">
        <f t="shared" si="25"/>
        <v>3</v>
      </c>
      <c r="HI27" s="4">
        <f t="shared" si="26"/>
        <v>0</v>
      </c>
      <c r="HJ27" s="4">
        <f t="shared" si="27"/>
        <v>0</v>
      </c>
      <c r="HK27" s="4">
        <f t="shared" si="28"/>
        <v>2</v>
      </c>
      <c r="HL27" s="4">
        <f t="shared" si="29"/>
        <v>4</v>
      </c>
      <c r="HM27" s="4">
        <v>1</v>
      </c>
      <c r="HN27" s="4">
        <v>2</v>
      </c>
      <c r="HO27" s="4">
        <v>0</v>
      </c>
      <c r="HP27" s="4">
        <v>0</v>
      </c>
      <c r="HQ27" s="4">
        <v>0</v>
      </c>
      <c r="HR27" s="4">
        <v>0</v>
      </c>
      <c r="HS27" s="4">
        <v>0</v>
      </c>
      <c r="HT27" s="4">
        <v>0</v>
      </c>
      <c r="HU27" s="4">
        <v>0</v>
      </c>
      <c r="HV27" s="4">
        <v>0</v>
      </c>
      <c r="HW27" s="4">
        <v>0</v>
      </c>
      <c r="HX27" s="4">
        <v>0</v>
      </c>
      <c r="HY27" s="4">
        <v>0</v>
      </c>
      <c r="HZ27" s="4">
        <v>0</v>
      </c>
      <c r="IA27" s="4">
        <v>0</v>
      </c>
      <c r="IB27" s="4">
        <v>0</v>
      </c>
      <c r="IC27" s="4">
        <v>0</v>
      </c>
      <c r="ID27" s="4">
        <v>0</v>
      </c>
      <c r="IE27" s="4">
        <v>0</v>
      </c>
      <c r="IF27" s="4">
        <v>0</v>
      </c>
      <c r="IG27" s="4">
        <v>2</v>
      </c>
      <c r="IH27" s="4">
        <v>1</v>
      </c>
      <c r="II27" s="4">
        <v>3</v>
      </c>
      <c r="IJ27" s="4">
        <v>2</v>
      </c>
      <c r="IK27" s="4">
        <v>0</v>
      </c>
      <c r="IL27" s="4">
        <v>0</v>
      </c>
      <c r="IM27" s="4">
        <v>0</v>
      </c>
      <c r="IN27" s="4">
        <v>0</v>
      </c>
      <c r="IO27" s="4">
        <v>3</v>
      </c>
      <c r="IP27" s="4">
        <v>3</v>
      </c>
      <c r="IQ27" s="4">
        <f t="shared" si="34"/>
        <v>3</v>
      </c>
      <c r="IR27" s="4">
        <f t="shared" si="35"/>
        <v>6</v>
      </c>
      <c r="IS27" s="4">
        <f t="shared" si="36"/>
        <v>2</v>
      </c>
      <c r="IT27" s="4">
        <f t="shared" si="37"/>
        <v>6</v>
      </c>
      <c r="IU27" s="4" t="s">
        <v>383</v>
      </c>
      <c r="IV27" s="4" t="s">
        <v>383</v>
      </c>
      <c r="IW27" s="4" t="s">
        <v>383</v>
      </c>
      <c r="IX27" s="4" t="s">
        <v>383</v>
      </c>
      <c r="IY27" s="4">
        <v>1</v>
      </c>
      <c r="IZ27" s="4">
        <v>1</v>
      </c>
      <c r="JA27" s="4">
        <v>1</v>
      </c>
      <c r="JB27" s="4">
        <v>1</v>
      </c>
      <c r="JC27" s="4">
        <f>(Foglio1!$IY27+Foglio1!$IZ27+Foglio1!$JA27+Foglio1!$JB27)/4</f>
        <v>1</v>
      </c>
      <c r="JD27" s="4">
        <v>1</v>
      </c>
      <c r="JE27" s="4">
        <v>1</v>
      </c>
      <c r="JF27" s="4">
        <v>1</v>
      </c>
      <c r="JG27" s="4">
        <v>1</v>
      </c>
      <c r="JH27" s="4" t="s">
        <v>1064</v>
      </c>
      <c r="JI27" s="4">
        <v>1</v>
      </c>
      <c r="JJ27" s="4" t="s">
        <v>1065</v>
      </c>
      <c r="JK27" s="4">
        <v>1</v>
      </c>
      <c r="JL27" s="4">
        <f>(Foglio1!$JD27+Foglio1!$JE27+Foglio1!$JF27+Foglio1!$JG27+Foglio1!$JI27+Foglio1!$JK27)/6</f>
        <v>1</v>
      </c>
      <c r="JM27" s="4">
        <v>1</v>
      </c>
      <c r="JN27" s="4">
        <v>1</v>
      </c>
      <c r="JO27" s="4">
        <v>1</v>
      </c>
      <c r="JP27" s="4">
        <f>(Foglio1!$JM27+Foglio1!$JN27+Foglio1!$JO27)/3</f>
        <v>1</v>
      </c>
      <c r="JQ27" s="4">
        <v>1</v>
      </c>
      <c r="JR27" s="4">
        <v>0</v>
      </c>
      <c r="JS27" s="4">
        <f>(Foglio1!$JQ27+Foglio1!$JR27)/2</f>
        <v>0.5</v>
      </c>
      <c r="JT27" s="4" t="s">
        <v>1066</v>
      </c>
      <c r="JU27" s="4">
        <v>0</v>
      </c>
      <c r="JV27" s="4" t="s">
        <v>1067</v>
      </c>
      <c r="JW27" s="4">
        <v>1</v>
      </c>
      <c r="JX27" s="4" t="s">
        <v>1068</v>
      </c>
      <c r="JY27" s="4">
        <v>1</v>
      </c>
      <c r="JZ27" s="4">
        <f>(Foglio1!$JU27+Foglio1!$JW27+Foglio1!$JY27)/3</f>
        <v>0.66666666666666663</v>
      </c>
      <c r="KA27" s="4">
        <f>(Foglio1!$JC27)</f>
        <v>1</v>
      </c>
      <c r="KB27" s="4">
        <f>(Foglio1!$JL27+Foglio1!$JP27+Foglio1!$JS27+Foglio1!$JZ27)/4</f>
        <v>0.79166666666666663</v>
      </c>
      <c r="KC27" s="4">
        <f>(Foglio1!$JC27+Foglio1!$JL27+Foglio1!$JP27+Foglio1!$JS27+Foglio1!$JZ27)/5</f>
        <v>0.83333333333333337</v>
      </c>
      <c r="KD27" s="4" t="s">
        <v>1069</v>
      </c>
      <c r="KE27" s="4">
        <v>1</v>
      </c>
      <c r="KF27" s="4">
        <v>2</v>
      </c>
      <c r="KG27" s="4" t="s">
        <v>1070</v>
      </c>
      <c r="KH27" s="4">
        <v>1</v>
      </c>
      <c r="KI27" s="4">
        <v>2</v>
      </c>
      <c r="KJ27" s="4" t="s">
        <v>1071</v>
      </c>
      <c r="KK27" s="4">
        <v>1</v>
      </c>
      <c r="KL27" s="4">
        <v>2</v>
      </c>
      <c r="KM27" s="4" t="s">
        <v>1072</v>
      </c>
      <c r="KN27" s="4">
        <v>2</v>
      </c>
      <c r="KO27" s="4">
        <v>1</v>
      </c>
      <c r="KP27" s="4" t="s">
        <v>1073</v>
      </c>
      <c r="KQ27" s="4">
        <v>2</v>
      </c>
      <c r="KR27" s="4">
        <v>3</v>
      </c>
      <c r="KS27" s="4" t="s">
        <v>1074</v>
      </c>
      <c r="KT27" s="4">
        <v>2</v>
      </c>
      <c r="KU27" s="4">
        <v>1</v>
      </c>
      <c r="KV27" s="4" t="s">
        <v>1075</v>
      </c>
      <c r="KW27" s="4">
        <v>2</v>
      </c>
      <c r="KX27" s="4">
        <v>1</v>
      </c>
      <c r="KY27" s="4" t="s">
        <v>1076</v>
      </c>
      <c r="KZ27" s="4">
        <v>2</v>
      </c>
      <c r="LA27" s="4">
        <v>3</v>
      </c>
      <c r="LB27" s="4" t="s">
        <v>1077</v>
      </c>
      <c r="LC27" s="4">
        <v>0</v>
      </c>
      <c r="LD27" s="4">
        <v>1</v>
      </c>
      <c r="LE27" s="4" t="s">
        <v>1078</v>
      </c>
      <c r="LF27" s="4">
        <v>1</v>
      </c>
      <c r="LG27" s="4">
        <v>2</v>
      </c>
      <c r="LH27" s="4" t="s">
        <v>1079</v>
      </c>
      <c r="LI27" s="4">
        <v>2</v>
      </c>
      <c r="LJ27" s="4">
        <v>1</v>
      </c>
      <c r="LK27" s="4" t="s">
        <v>1080</v>
      </c>
      <c r="LL27" s="4">
        <v>2</v>
      </c>
      <c r="LM27" s="4">
        <v>3</v>
      </c>
      <c r="LN27" s="4" t="s">
        <v>1081</v>
      </c>
      <c r="LO27" s="4">
        <v>2</v>
      </c>
      <c r="LP27" s="4">
        <v>2</v>
      </c>
      <c r="LQ27" s="4" t="s">
        <v>1082</v>
      </c>
      <c r="LR27" s="4">
        <v>1</v>
      </c>
      <c r="LS27" s="4">
        <v>2</v>
      </c>
      <c r="LT27" s="4">
        <f>(Foglio1!$KE27+Foglio1!$KH27+Foglio1!$KK27+Foglio1!$KN27+Foglio1!$KQ27+Foglio1!$KT27+Foglio1!$KW27+Foglio1!$KZ27+Foglio1!$LC27+Foglio1!$LF27+Foglio1!$LI27+Foglio1!$LL27+Foglio1!$LO27+Foglio1!$LR27)</f>
        <v>21</v>
      </c>
      <c r="LU27" s="4">
        <f>(Foglio1!$KI27+Foglio1!$KF27+Foglio1!$KL27+Foglio1!$KO27+Foglio1!$KR27+Foglio1!$KU27+Foglio1!$KX27+Foglio1!$LA27+Foglio1!$LD27+Foglio1!$LG27+Foglio1!$LJ27+Foglio1!$LM27+Foglio1!$LP27+Foglio1!$LS27)</f>
        <v>26</v>
      </c>
      <c r="LV27" s="4">
        <v>33</v>
      </c>
      <c r="LW27" s="4">
        <v>42</v>
      </c>
      <c r="LX27" s="4">
        <v>22</v>
      </c>
      <c r="LY27" s="4">
        <v>21</v>
      </c>
      <c r="LZ27" s="3">
        <v>0</v>
      </c>
      <c r="MA27" s="3">
        <v>4</v>
      </c>
      <c r="MB27" s="3">
        <v>0</v>
      </c>
      <c r="MC27" s="3">
        <v>2</v>
      </c>
      <c r="MD27" s="3">
        <f t="shared" si="7"/>
        <v>6</v>
      </c>
      <c r="ME27" s="3">
        <v>0</v>
      </c>
      <c r="MF27" s="3">
        <v>3</v>
      </c>
      <c r="MG27" s="3">
        <v>2</v>
      </c>
      <c r="MH27" s="3">
        <v>0</v>
      </c>
      <c r="MI27" s="3">
        <f t="shared" si="8"/>
        <v>5</v>
      </c>
    </row>
    <row r="28" spans="1:347" ht="15.75" customHeight="1" x14ac:dyDescent="0.25">
      <c r="A28" s="4" t="s">
        <v>1083</v>
      </c>
      <c r="B28" s="4">
        <v>37</v>
      </c>
      <c r="C28" s="4" t="s">
        <v>403</v>
      </c>
      <c r="D28" s="4">
        <v>8</v>
      </c>
      <c r="E28" s="4">
        <v>0</v>
      </c>
      <c r="F28" s="4" t="s">
        <v>350</v>
      </c>
      <c r="G28" s="4" t="s">
        <v>356</v>
      </c>
      <c r="H28" s="4" t="s">
        <v>1084</v>
      </c>
      <c r="I28" s="4" t="s">
        <v>1085</v>
      </c>
      <c r="J28" s="4"/>
      <c r="K28" s="4"/>
      <c r="L28" s="5" t="s">
        <v>356</v>
      </c>
      <c r="M28" s="4" t="s">
        <v>449</v>
      </c>
      <c r="N28" s="4" t="s">
        <v>1086</v>
      </c>
      <c r="O28" s="9">
        <v>45583</v>
      </c>
      <c r="P28" s="9">
        <v>45603</v>
      </c>
      <c r="Q28" s="4" t="s">
        <v>1023</v>
      </c>
      <c r="R28" s="4"/>
      <c r="S28" s="4"/>
      <c r="T28" s="4"/>
      <c r="U28" s="4"/>
      <c r="V28" s="4"/>
      <c r="W28" s="4"/>
      <c r="X28" s="4"/>
      <c r="Y28" s="4"/>
      <c r="Z28" s="4"/>
      <c r="AA28" s="4"/>
      <c r="AB28" s="4"/>
      <c r="AC28" s="4"/>
      <c r="AD28" s="4"/>
      <c r="AE28" s="4"/>
      <c r="AF28" s="4"/>
      <c r="AG28" s="4"/>
      <c r="AH28" s="4" t="s">
        <v>1087</v>
      </c>
      <c r="AI28" s="4" t="s">
        <v>1088</v>
      </c>
      <c r="AJ28" s="4" t="s">
        <v>689</v>
      </c>
      <c r="AK28" s="4" t="s">
        <v>1089</v>
      </c>
      <c r="AL28" s="4" t="s">
        <v>456</v>
      </c>
      <c r="AM28" s="4" t="s">
        <v>1090</v>
      </c>
      <c r="AN28" s="5" t="s">
        <v>356</v>
      </c>
      <c r="AO28" s="5" t="s">
        <v>356</v>
      </c>
      <c r="AP28" s="5" t="s">
        <v>356</v>
      </c>
      <c r="AQ28" s="5" t="s">
        <v>356</v>
      </c>
      <c r="AR28" s="5" t="s">
        <v>356</v>
      </c>
      <c r="AS28" s="5" t="s">
        <v>356</v>
      </c>
      <c r="AT28" s="5" t="s">
        <v>356</v>
      </c>
      <c r="AU28" s="5" t="s">
        <v>356</v>
      </c>
      <c r="AV28" s="5" t="s">
        <v>356</v>
      </c>
      <c r="AW28" s="5" t="s">
        <v>356</v>
      </c>
      <c r="AX28" s="4">
        <v>3</v>
      </c>
      <c r="AY28" s="4"/>
      <c r="AZ28" s="4" t="s">
        <v>360</v>
      </c>
      <c r="BA28" s="4">
        <f t="shared" si="9"/>
        <v>20</v>
      </c>
      <c r="BB28" s="4"/>
      <c r="BC28" s="4"/>
      <c r="BD28" s="4"/>
      <c r="BE28" s="4"/>
      <c r="BF28" s="4"/>
      <c r="BG28" s="6">
        <v>45589</v>
      </c>
      <c r="BH28" s="4" t="s">
        <v>356</v>
      </c>
      <c r="BI28" s="4" t="s">
        <v>356</v>
      </c>
      <c r="BJ28" s="4" t="s">
        <v>356</v>
      </c>
      <c r="BK28" s="4" t="s">
        <v>356</v>
      </c>
      <c r="BL28" s="4" t="s">
        <v>356</v>
      </c>
      <c r="BM28" s="4" t="s">
        <v>356</v>
      </c>
      <c r="BN28" s="4" t="s">
        <v>356</v>
      </c>
      <c r="BO28" s="4" t="s">
        <v>356</v>
      </c>
      <c r="BP28" s="4">
        <v>3</v>
      </c>
      <c r="BQ28" s="4">
        <v>4</v>
      </c>
      <c r="BR28" s="4">
        <v>10</v>
      </c>
      <c r="BS28" s="4">
        <v>61</v>
      </c>
      <c r="BT28" s="4">
        <v>1</v>
      </c>
      <c r="BU28" s="4">
        <v>3</v>
      </c>
      <c r="BV28" s="4">
        <v>1</v>
      </c>
      <c r="BW28" s="4">
        <v>4</v>
      </c>
      <c r="BX28" s="4">
        <v>3</v>
      </c>
      <c r="BY28" s="4">
        <v>2</v>
      </c>
      <c r="BZ28" s="4">
        <v>1</v>
      </c>
      <c r="CA28" s="4">
        <v>1</v>
      </c>
      <c r="CB28" s="4">
        <v>1</v>
      </c>
      <c r="CC28" s="4">
        <v>1</v>
      </c>
      <c r="CD28" s="4">
        <v>1</v>
      </c>
      <c r="CE28" s="4">
        <v>1</v>
      </c>
      <c r="CF28" s="4">
        <v>1</v>
      </c>
      <c r="CG28" s="4">
        <v>1</v>
      </c>
      <c r="CH28" s="4">
        <v>2</v>
      </c>
      <c r="CI28" s="4">
        <v>1</v>
      </c>
      <c r="CJ28" s="4">
        <v>1</v>
      </c>
      <c r="CK28" s="4">
        <v>3</v>
      </c>
      <c r="CL28" s="4">
        <v>1</v>
      </c>
      <c r="CM28" s="4">
        <v>1</v>
      </c>
      <c r="CN28" s="4">
        <v>1</v>
      </c>
      <c r="CO28" s="4">
        <v>1</v>
      </c>
      <c r="CP28" s="4">
        <v>1</v>
      </c>
      <c r="CQ28" s="4">
        <v>1</v>
      </c>
      <c r="CR28" s="4">
        <v>2</v>
      </c>
      <c r="CS28" s="4">
        <v>2</v>
      </c>
      <c r="CT28" s="4">
        <v>2</v>
      </c>
      <c r="CU28" s="4">
        <v>2</v>
      </c>
      <c r="CV28" s="4">
        <v>1</v>
      </c>
      <c r="CW28" s="4">
        <v>1</v>
      </c>
      <c r="CX28" s="4">
        <f>SUM(Foglio1!$BT28:$CW28)</f>
        <v>45</v>
      </c>
      <c r="CY28" s="4">
        <f>SUM(Foglio1!$BT28+Foglio1!$BV28+Foglio1!$CP28+Foglio1!$BY28+Foglio1!$BX28+Foglio1!$CH28+Foglio1!$CS28+Foglio1!$CW28-Foglio1!$CE28)</f>
        <v>12</v>
      </c>
      <c r="CZ28" s="4">
        <f>SUM(Foglio1!$CF28+Foglio1!$CA28+Foglio1!$CB28+Foglio1!$CD28+Foglio1!$CN28+Foglio1!$CC28+Foglio1!$CW28+Foglio1!$CO28+Foglio1!$CT28-Foglio1!$BU28)</f>
        <v>7</v>
      </c>
      <c r="DA28" s="4">
        <f>SUM(Foglio1!$CG28+Foglio1!$CR28+Foglio1!$CQ28+Foglio1!$BU28+Foglio1!$CE28+Foglio1!$CL28+Foglio1!$CS28+Foglio1!$CT28+Foglio1!$CV28+Foglio1!$CP28)</f>
        <v>15</v>
      </c>
      <c r="DB28" s="4">
        <f>SUM(Foglio1!$CU28+Foglio1!$BW28+Foglio1!$BZ28+Foglio1!$CO28+Foglio1!$BX28+Foglio1!$CC28+Foglio1!$CK28+Foglio1!$CW28)</f>
        <v>16</v>
      </c>
      <c r="DC28" s="4">
        <f>SUM(Foglio1!$CI28+Foglio1!$CM28+Foglio1!$CJ28+Foglio1!$CK28+Foglio1!$BY28+Foglio1!$CH28+Foglio1!$CV28+Foglio1!$CW28)</f>
        <v>12</v>
      </c>
      <c r="DD28" s="4">
        <v>3</v>
      </c>
      <c r="DE28" s="4">
        <v>2</v>
      </c>
      <c r="DF28" s="4">
        <v>3</v>
      </c>
      <c r="DG28" s="4">
        <v>0</v>
      </c>
      <c r="DH28" s="4">
        <v>0</v>
      </c>
      <c r="DI28" s="4">
        <v>0</v>
      </c>
      <c r="DJ28" s="4">
        <v>0</v>
      </c>
      <c r="DK28" s="4">
        <v>0</v>
      </c>
      <c r="DL28" s="4">
        <v>0</v>
      </c>
      <c r="DM28" s="4">
        <v>1</v>
      </c>
      <c r="DN28" s="4">
        <v>0</v>
      </c>
      <c r="DO28" s="4">
        <v>0</v>
      </c>
      <c r="DP28" s="4">
        <v>0</v>
      </c>
      <c r="DQ28" s="4">
        <v>0</v>
      </c>
      <c r="DR28" s="4">
        <v>0</v>
      </c>
      <c r="DS28" s="4">
        <v>0</v>
      </c>
      <c r="DT28" s="4">
        <v>0</v>
      </c>
      <c r="DU28" s="4">
        <v>0</v>
      </c>
      <c r="DV28" s="4">
        <v>0</v>
      </c>
      <c r="DW28" s="4">
        <v>0</v>
      </c>
      <c r="DX28" s="4">
        <v>0</v>
      </c>
      <c r="DY28" s="4">
        <v>0</v>
      </c>
      <c r="DZ28" s="4">
        <v>0</v>
      </c>
      <c r="EA28" s="4">
        <v>0</v>
      </c>
      <c r="EB28" s="4">
        <v>0</v>
      </c>
      <c r="EC28" s="4">
        <v>0</v>
      </c>
      <c r="ED28" s="4">
        <v>0</v>
      </c>
      <c r="EE28" s="4">
        <v>0</v>
      </c>
      <c r="EF28" s="4">
        <v>0</v>
      </c>
      <c r="EG28" s="4">
        <v>0</v>
      </c>
      <c r="EH28" s="4">
        <f>(Foglio1!$DE28+Foglio1!$DH28+Foglio1!$DG28+Foglio1!$DF28+Foglio1!$DM28+Foglio1!$DD28+Foglio1!$DO28+Foglio1!$DL28+Foglio1!$DN28+Foglio1!$DQ28+Foglio1!$DP28+Foglio1!$DT28+Foglio1!$DI28+Foglio1!$DK28+Foglio1!$DU28)</f>
        <v>9</v>
      </c>
      <c r="EI28" s="4">
        <f>(Foglio1!$EA28+Foglio1!$EB28+Foglio1!$EE28+Foglio1!$EC28+Foglio1!$ED28+Foglio1!$DZ28+Foglio1!$DY28)</f>
        <v>0</v>
      </c>
      <c r="EJ28" s="4">
        <f>(Foglio1!$DW28+Foglio1!$DV28+Foglio1!$DX28)</f>
        <v>0</v>
      </c>
      <c r="EK28" s="4">
        <f>(Foglio1!$EG28+Foglio1!$EF28)</f>
        <v>0</v>
      </c>
      <c r="EL28" s="4">
        <v>0</v>
      </c>
      <c r="EM28" s="4">
        <v>1</v>
      </c>
      <c r="EN28" s="4">
        <v>1</v>
      </c>
      <c r="EO28" s="4">
        <v>1</v>
      </c>
      <c r="EP28" s="4">
        <f t="array" ref="EP28">SUM(EL28:EO28/4)</f>
        <v>0.75</v>
      </c>
      <c r="EQ28" s="4">
        <v>1</v>
      </c>
      <c r="ER28" s="4">
        <v>1</v>
      </c>
      <c r="ES28" s="4">
        <v>1</v>
      </c>
      <c r="ET28" s="4">
        <v>1</v>
      </c>
      <c r="EU28" s="4" t="s">
        <v>1091</v>
      </c>
      <c r="EV28" s="4">
        <v>1</v>
      </c>
      <c r="EW28" s="4" t="s">
        <v>1092</v>
      </c>
      <c r="EX28" s="4">
        <v>0</v>
      </c>
      <c r="EY28" s="4">
        <f>(Foglio1!$EQ28+Foglio1!$ER28+Foglio1!$ES28+Foglio1!$ET28+Foglio1!$EV28+Foglio1!$EX28)/6</f>
        <v>0.83333333333333337</v>
      </c>
      <c r="EZ28" s="4">
        <v>1</v>
      </c>
      <c r="FA28" s="4">
        <v>1</v>
      </c>
      <c r="FB28" s="4">
        <v>1</v>
      </c>
      <c r="FC28" s="4">
        <f>(Foglio1!$EZ28+Foglio1!$FA28+Foglio1!$FB28)/3</f>
        <v>1</v>
      </c>
      <c r="FD28" s="4">
        <v>1</v>
      </c>
      <c r="FE28" s="4">
        <v>1</v>
      </c>
      <c r="FF28" s="4">
        <f>(Foglio1!$FD28+Foglio1!$FE28)/2</f>
        <v>1</v>
      </c>
      <c r="FG28" s="4" t="s">
        <v>1093</v>
      </c>
      <c r="FH28" s="4">
        <v>0</v>
      </c>
      <c r="FI28" s="4" t="s">
        <v>1094</v>
      </c>
      <c r="FJ28" s="4">
        <v>0</v>
      </c>
      <c r="FK28" s="4" t="s">
        <v>1095</v>
      </c>
      <c r="FL28" s="4">
        <v>1</v>
      </c>
      <c r="FM28" s="4">
        <f>(Foglio1!$FH28+Foglio1!$FJ28+Foglio1!$FL28)/3</f>
        <v>0.33333333333333331</v>
      </c>
      <c r="FN28" s="4">
        <f>(Foglio1!$EP28)</f>
        <v>0.75</v>
      </c>
      <c r="FO28" s="4">
        <f>(Foglio1!$EY28+Foglio1!$FC28+Foglio1!$FF28+Foglio1!$FM28)/4</f>
        <v>0.79166666666666674</v>
      </c>
      <c r="FP28" s="4">
        <f>(Foglio1!$EP28+Foglio1!$EY28+Foglio1!$FC28+Foglio1!$FF28+Foglio1!$FM28)/5</f>
        <v>0.78333333333333344</v>
      </c>
      <c r="FQ28" s="6">
        <v>45601</v>
      </c>
      <c r="FR28" s="4" t="s">
        <v>356</v>
      </c>
      <c r="FS28" s="4" t="s">
        <v>356</v>
      </c>
      <c r="FT28" s="4" t="s">
        <v>356</v>
      </c>
      <c r="FU28" s="4" t="s">
        <v>356</v>
      </c>
      <c r="FV28" s="4" t="s">
        <v>356</v>
      </c>
      <c r="FW28" s="4" t="s">
        <v>356</v>
      </c>
      <c r="FX28" s="4" t="s">
        <v>356</v>
      </c>
      <c r="FY28" s="4">
        <v>2</v>
      </c>
      <c r="FZ28" s="4">
        <v>2</v>
      </c>
      <c r="GA28" s="4">
        <v>1</v>
      </c>
      <c r="GB28" s="4">
        <v>83</v>
      </c>
      <c r="GC28" s="4">
        <v>0</v>
      </c>
      <c r="GD28" s="4">
        <v>0</v>
      </c>
      <c r="GE28" s="4">
        <v>0</v>
      </c>
      <c r="GF28" s="4">
        <v>0</v>
      </c>
      <c r="GG28" s="4">
        <v>0</v>
      </c>
      <c r="GH28" s="4">
        <v>0</v>
      </c>
      <c r="GI28" s="4">
        <v>0</v>
      </c>
      <c r="GJ28" s="4">
        <v>0</v>
      </c>
      <c r="GK28" s="4">
        <v>0</v>
      </c>
      <c r="GL28" s="4">
        <v>0</v>
      </c>
      <c r="GM28" s="4">
        <v>0</v>
      </c>
      <c r="GN28" s="4">
        <v>0</v>
      </c>
      <c r="GO28" s="4">
        <v>0</v>
      </c>
      <c r="GP28" s="4">
        <v>0</v>
      </c>
      <c r="GQ28" s="4">
        <v>0</v>
      </c>
      <c r="GR28" s="4">
        <v>0</v>
      </c>
      <c r="GS28" s="4">
        <v>0</v>
      </c>
      <c r="GT28" s="4">
        <v>0</v>
      </c>
      <c r="GU28" s="4">
        <v>0</v>
      </c>
      <c r="GV28" s="4">
        <v>0</v>
      </c>
      <c r="GW28" s="4">
        <v>0</v>
      </c>
      <c r="GX28" s="4">
        <v>0</v>
      </c>
      <c r="GY28" s="4">
        <v>0</v>
      </c>
      <c r="GZ28" s="4">
        <v>0</v>
      </c>
      <c r="HA28" s="4">
        <v>0</v>
      </c>
      <c r="HB28" s="4">
        <v>0</v>
      </c>
      <c r="HC28" s="4">
        <v>0</v>
      </c>
      <c r="HD28" s="4">
        <v>0</v>
      </c>
      <c r="HE28" s="4">
        <v>0</v>
      </c>
      <c r="HF28" s="4">
        <v>0</v>
      </c>
      <c r="HG28" s="4">
        <f t="shared" si="24"/>
        <v>0</v>
      </c>
      <c r="HH28" s="4">
        <f t="shared" si="25"/>
        <v>0</v>
      </c>
      <c r="HI28" s="4">
        <f t="shared" si="26"/>
        <v>0</v>
      </c>
      <c r="HJ28" s="4">
        <f t="shared" si="27"/>
        <v>0</v>
      </c>
      <c r="HK28" s="4">
        <f t="shared" si="28"/>
        <v>0</v>
      </c>
      <c r="HL28" s="4">
        <f t="shared" si="29"/>
        <v>0</v>
      </c>
      <c r="HM28" s="4">
        <v>3</v>
      </c>
      <c r="HN28" s="4">
        <v>2</v>
      </c>
      <c r="HO28" s="4">
        <v>3</v>
      </c>
      <c r="HP28" s="4">
        <v>0</v>
      </c>
      <c r="HQ28" s="4">
        <v>0</v>
      </c>
      <c r="HR28" s="4">
        <v>0</v>
      </c>
      <c r="HS28" s="4">
        <v>0</v>
      </c>
      <c r="HT28" s="4">
        <v>0</v>
      </c>
      <c r="HU28" s="4">
        <v>0</v>
      </c>
      <c r="HV28" s="4">
        <v>0</v>
      </c>
      <c r="HW28" s="4">
        <v>0</v>
      </c>
      <c r="HX28" s="4">
        <v>0</v>
      </c>
      <c r="HY28" s="4">
        <v>0</v>
      </c>
      <c r="HZ28" s="4">
        <v>0</v>
      </c>
      <c r="IA28" s="4">
        <v>0</v>
      </c>
      <c r="IB28" s="4">
        <v>0</v>
      </c>
      <c r="IC28" s="4">
        <v>2</v>
      </c>
      <c r="ID28" s="4">
        <v>0</v>
      </c>
      <c r="IE28" s="4">
        <v>0</v>
      </c>
      <c r="IF28" s="4">
        <v>0</v>
      </c>
      <c r="IG28" s="4">
        <v>2</v>
      </c>
      <c r="IH28" s="4">
        <v>0</v>
      </c>
      <c r="II28" s="4">
        <v>0</v>
      </c>
      <c r="IJ28" s="4">
        <v>0</v>
      </c>
      <c r="IK28" s="4">
        <v>2</v>
      </c>
      <c r="IL28" s="4">
        <v>2</v>
      </c>
      <c r="IM28" s="4">
        <v>0</v>
      </c>
      <c r="IN28" s="4">
        <v>0</v>
      </c>
      <c r="IO28" s="4">
        <v>0</v>
      </c>
      <c r="IP28" s="4">
        <v>1</v>
      </c>
      <c r="IQ28" s="4">
        <f t="shared" si="34"/>
        <v>10</v>
      </c>
      <c r="IR28" s="4">
        <f t="shared" si="35"/>
        <v>4</v>
      </c>
      <c r="IS28" s="4">
        <f t="shared" si="36"/>
        <v>2</v>
      </c>
      <c r="IT28" s="4">
        <f t="shared" si="37"/>
        <v>1</v>
      </c>
      <c r="IU28" s="4" t="s">
        <v>383</v>
      </c>
      <c r="IV28" s="4" t="s">
        <v>383</v>
      </c>
      <c r="IW28" s="4" t="s">
        <v>383</v>
      </c>
      <c r="IX28" s="4" t="s">
        <v>383</v>
      </c>
      <c r="IY28" s="4">
        <v>0</v>
      </c>
      <c r="IZ28" s="4">
        <v>1</v>
      </c>
      <c r="JA28" s="4">
        <v>1</v>
      </c>
      <c r="JB28" s="4">
        <v>1</v>
      </c>
      <c r="JC28" s="4">
        <f>(Foglio1!$IY28+Foglio1!$IZ28+Foglio1!$JA28+Foglio1!$JB28)/4</f>
        <v>0.75</v>
      </c>
      <c r="JD28" s="4">
        <v>1</v>
      </c>
      <c r="JE28" s="4">
        <v>0</v>
      </c>
      <c r="JF28" s="4">
        <v>1</v>
      </c>
      <c r="JG28" s="4">
        <v>1</v>
      </c>
      <c r="JH28" s="4" t="s">
        <v>1096</v>
      </c>
      <c r="JI28" s="4">
        <v>0</v>
      </c>
      <c r="JJ28" s="4" t="s">
        <v>1097</v>
      </c>
      <c r="JK28" s="4">
        <v>0</v>
      </c>
      <c r="JL28" s="4">
        <f>(Foglio1!$JD28+Foglio1!$JE28+Foglio1!$JF28+Foglio1!$JG28+Foglio1!$JI28+Foglio1!$JK28)/6</f>
        <v>0.5</v>
      </c>
      <c r="JM28" s="4">
        <v>1</v>
      </c>
      <c r="JN28" s="4">
        <v>1</v>
      </c>
      <c r="JO28" s="4">
        <v>1</v>
      </c>
      <c r="JP28" s="4">
        <f>(Foglio1!$JM28+Foglio1!$JN28+Foglio1!$JO28)/3</f>
        <v>1</v>
      </c>
      <c r="JQ28" s="4">
        <v>1</v>
      </c>
      <c r="JR28" s="4">
        <v>1</v>
      </c>
      <c r="JS28" s="4">
        <f>(Foglio1!$JQ28+Foglio1!$JR28)/2</f>
        <v>1</v>
      </c>
      <c r="JT28" s="4" t="s">
        <v>1098</v>
      </c>
      <c r="JU28" s="4">
        <v>1</v>
      </c>
      <c r="JV28" s="4" t="s">
        <v>1099</v>
      </c>
      <c r="JW28" s="4">
        <v>0</v>
      </c>
      <c r="JX28" s="4" t="s">
        <v>1100</v>
      </c>
      <c r="JY28" s="4">
        <v>0</v>
      </c>
      <c r="JZ28" s="4">
        <f>(Foglio1!$JU28+Foglio1!$JW28+Foglio1!$JY28)/3</f>
        <v>0.33333333333333331</v>
      </c>
      <c r="KA28" s="4">
        <f>(Foglio1!$JC28)</f>
        <v>0.75</v>
      </c>
      <c r="KB28" s="4">
        <f>(Foglio1!$JL28+Foglio1!$JP28+Foglio1!$JS28+Foglio1!$JZ28)/4</f>
        <v>0.70833333333333337</v>
      </c>
      <c r="KC28" s="4">
        <f>(Foglio1!$JC28+Foglio1!$JL28+Foglio1!$JP28+Foglio1!$JS28+Foglio1!$JZ28)/5</f>
        <v>0.71666666666666667</v>
      </c>
      <c r="KD28" s="4" t="s">
        <v>1101</v>
      </c>
      <c r="KE28" s="4">
        <v>1</v>
      </c>
      <c r="KF28" s="4">
        <v>2</v>
      </c>
      <c r="KG28" s="4" t="s">
        <v>1102</v>
      </c>
      <c r="KH28" s="4">
        <v>0</v>
      </c>
      <c r="KI28" s="4">
        <v>3</v>
      </c>
      <c r="KJ28" s="4" t="s">
        <v>1103</v>
      </c>
      <c r="KK28" s="4">
        <v>0</v>
      </c>
      <c r="KL28" s="4">
        <v>3</v>
      </c>
      <c r="KM28" s="4" t="s">
        <v>1104</v>
      </c>
      <c r="KN28" s="4">
        <v>0</v>
      </c>
      <c r="KO28" s="4">
        <v>0</v>
      </c>
      <c r="KP28" s="4" t="s">
        <v>1105</v>
      </c>
      <c r="KQ28" s="4">
        <v>2</v>
      </c>
      <c r="KR28" s="4">
        <v>3</v>
      </c>
      <c r="KS28" s="4" t="s">
        <v>1106</v>
      </c>
      <c r="KT28" s="4">
        <v>2</v>
      </c>
      <c r="KU28" s="4">
        <v>1</v>
      </c>
      <c r="KV28" s="4" t="s">
        <v>1107</v>
      </c>
      <c r="KW28" s="4">
        <v>1</v>
      </c>
      <c r="KX28" s="4">
        <v>1</v>
      </c>
      <c r="KY28" s="4" t="s">
        <v>1108</v>
      </c>
      <c r="KZ28" s="4">
        <v>1</v>
      </c>
      <c r="LA28" s="4">
        <v>2</v>
      </c>
      <c r="LB28" s="4" t="s">
        <v>1109</v>
      </c>
      <c r="LC28" s="4">
        <v>0</v>
      </c>
      <c r="LD28" s="4">
        <v>1</v>
      </c>
      <c r="LE28" s="4" t="s">
        <v>1110</v>
      </c>
      <c r="LF28" s="4">
        <v>0</v>
      </c>
      <c r="LG28" s="4">
        <v>3</v>
      </c>
      <c r="LH28" s="4" t="s">
        <v>1111</v>
      </c>
      <c r="LI28" s="4">
        <v>0</v>
      </c>
      <c r="LJ28" s="4">
        <v>1</v>
      </c>
      <c r="LK28" s="4" t="s">
        <v>1112</v>
      </c>
      <c r="LL28" s="4">
        <v>0</v>
      </c>
      <c r="LM28" s="4">
        <v>2</v>
      </c>
      <c r="LN28" s="4" t="s">
        <v>1113</v>
      </c>
      <c r="LO28" s="4">
        <v>1</v>
      </c>
      <c r="LP28" s="4">
        <v>1</v>
      </c>
      <c r="LQ28" s="4" t="s">
        <v>1114</v>
      </c>
      <c r="LR28" s="4">
        <v>2</v>
      </c>
      <c r="LS28" s="4">
        <v>3</v>
      </c>
      <c r="LT28" s="4">
        <f>(Foglio1!$KE28+Foglio1!$KH28+Foglio1!$KK28+Foglio1!$KN28+Foglio1!$KQ28+Foglio1!$KT28+Foglio1!$KW28+Foglio1!$KZ28+Foglio1!$LC28+Foglio1!$LF28+Foglio1!$LI28+Foglio1!$LL28+Foglio1!$LO28+Foglio1!$LR28)</f>
        <v>10</v>
      </c>
      <c r="LU28" s="4">
        <f>(Foglio1!$KI28+Foglio1!$KF28+Foglio1!$KL28+Foglio1!$KO28+Foglio1!$KR28+Foglio1!$KU28+Foglio1!$KX28+Foglio1!$LA28+Foglio1!$LD28+Foglio1!$LG28+Foglio1!$LJ28+Foglio1!$LM28+Foglio1!$LP28+Foglio1!$LS28)</f>
        <v>26</v>
      </c>
      <c r="LV28" s="4">
        <v>20</v>
      </c>
      <c r="LW28" s="4">
        <v>47</v>
      </c>
      <c r="LX28" s="4">
        <v>12</v>
      </c>
      <c r="LY28" s="4">
        <v>22</v>
      </c>
      <c r="LZ28" s="3">
        <v>0</v>
      </c>
      <c r="MA28" s="3">
        <v>2</v>
      </c>
      <c r="MB28" s="3">
        <v>1</v>
      </c>
      <c r="MC28" s="3">
        <v>2</v>
      </c>
      <c r="MD28" s="3">
        <f t="shared" si="7"/>
        <v>5</v>
      </c>
      <c r="ME28" s="3">
        <v>0</v>
      </c>
      <c r="MF28" s="3">
        <v>0</v>
      </c>
      <c r="MG28" s="3">
        <v>1</v>
      </c>
      <c r="MH28" s="3">
        <v>0</v>
      </c>
      <c r="MI28" s="3">
        <f t="shared" si="8"/>
        <v>1</v>
      </c>
    </row>
    <row r="29" spans="1:347" ht="15.75" customHeight="1" x14ac:dyDescent="0.25">
      <c r="A29" s="8" t="s">
        <v>1115</v>
      </c>
      <c r="B29" s="4">
        <v>24</v>
      </c>
      <c r="C29" s="4" t="s">
        <v>349</v>
      </c>
      <c r="D29" s="4">
        <v>13</v>
      </c>
      <c r="E29" s="4">
        <v>1</v>
      </c>
      <c r="F29" s="4" t="s">
        <v>350</v>
      </c>
      <c r="G29" s="4" t="s">
        <v>404</v>
      </c>
      <c r="H29" s="4" t="s">
        <v>1116</v>
      </c>
      <c r="I29" s="4" t="s">
        <v>1117</v>
      </c>
      <c r="J29" s="4"/>
      <c r="K29" s="4"/>
      <c r="L29" s="5" t="s">
        <v>356</v>
      </c>
      <c r="M29" s="4" t="s">
        <v>449</v>
      </c>
      <c r="N29" s="4" t="s">
        <v>406</v>
      </c>
      <c r="O29" s="6">
        <v>45611</v>
      </c>
      <c r="P29" s="9">
        <v>45632</v>
      </c>
      <c r="Q29" s="4" t="s">
        <v>359</v>
      </c>
      <c r="R29" s="4"/>
      <c r="S29" s="4"/>
      <c r="T29" s="4"/>
      <c r="U29" s="4"/>
      <c r="V29" s="4"/>
      <c r="W29" s="4"/>
      <c r="X29" s="4"/>
      <c r="Y29" s="4"/>
      <c r="Z29" s="4"/>
      <c r="AA29" s="4"/>
      <c r="AB29" s="4"/>
      <c r="AC29" s="4"/>
      <c r="AD29" s="4"/>
      <c r="AE29" s="4"/>
      <c r="AF29" s="4"/>
      <c r="AG29" s="4"/>
      <c r="AH29" s="4" t="s">
        <v>798</v>
      </c>
      <c r="AI29" s="4" t="s">
        <v>1118</v>
      </c>
      <c r="AJ29" s="4" t="s">
        <v>1119</v>
      </c>
      <c r="AK29" s="4" t="s">
        <v>1120</v>
      </c>
      <c r="AL29" s="4" t="s">
        <v>408</v>
      </c>
      <c r="AM29" s="4" t="s">
        <v>986</v>
      </c>
      <c r="AN29" s="5" t="s">
        <v>356</v>
      </c>
      <c r="AO29" s="5" t="s">
        <v>356</v>
      </c>
      <c r="AP29" s="5" t="s">
        <v>356</v>
      </c>
      <c r="AQ29" s="5" t="s">
        <v>356</v>
      </c>
      <c r="AR29" s="5" t="s">
        <v>356</v>
      </c>
      <c r="AS29" s="5" t="s">
        <v>356</v>
      </c>
      <c r="AT29" s="5" t="s">
        <v>356</v>
      </c>
      <c r="AU29" s="5" t="s">
        <v>356</v>
      </c>
      <c r="AV29" s="5" t="s">
        <v>356</v>
      </c>
      <c r="AW29" s="5" t="s">
        <v>356</v>
      </c>
      <c r="AX29" s="4">
        <v>3</v>
      </c>
      <c r="AY29" s="4"/>
      <c r="AZ29" s="4" t="s">
        <v>360</v>
      </c>
      <c r="BA29" s="4">
        <f t="shared" si="9"/>
        <v>21</v>
      </c>
      <c r="BB29" s="4"/>
      <c r="BC29" s="4"/>
      <c r="BD29" s="4"/>
      <c r="BE29" s="4"/>
      <c r="BF29" s="4"/>
      <c r="BG29" s="6">
        <v>45617</v>
      </c>
      <c r="BH29" s="4">
        <v>4</v>
      </c>
      <c r="BI29" s="4">
        <v>3</v>
      </c>
      <c r="BJ29" s="4">
        <v>4</v>
      </c>
      <c r="BK29" s="4">
        <v>4</v>
      </c>
      <c r="BL29" s="4">
        <v>3</v>
      </c>
      <c r="BM29" s="4">
        <v>3</v>
      </c>
      <c r="BN29" s="4">
        <v>4</v>
      </c>
      <c r="BO29" s="4">
        <f>SUM(Foglio1!$BH29:$BM29)</f>
        <v>21</v>
      </c>
      <c r="BP29" s="4">
        <v>6</v>
      </c>
      <c r="BQ29" s="4">
        <v>0</v>
      </c>
      <c r="BR29" s="4">
        <v>0</v>
      </c>
      <c r="BS29" s="4">
        <v>25</v>
      </c>
      <c r="BT29" s="4">
        <v>5</v>
      </c>
      <c r="BU29" s="4">
        <v>4</v>
      </c>
      <c r="BV29" s="4">
        <v>3</v>
      </c>
      <c r="BW29" s="4">
        <v>1</v>
      </c>
      <c r="BX29" s="4">
        <v>1</v>
      </c>
      <c r="BY29" s="4">
        <v>5</v>
      </c>
      <c r="BZ29" s="4">
        <v>4</v>
      </c>
      <c r="CA29" s="4">
        <v>1</v>
      </c>
      <c r="CB29" s="4">
        <v>1</v>
      </c>
      <c r="CC29" s="4">
        <v>1</v>
      </c>
      <c r="CD29" s="4">
        <v>2</v>
      </c>
      <c r="CE29" s="4">
        <v>1</v>
      </c>
      <c r="CF29" s="4">
        <v>2</v>
      </c>
      <c r="CG29" s="4">
        <v>3</v>
      </c>
      <c r="CH29" s="4">
        <v>4</v>
      </c>
      <c r="CI29" s="4">
        <v>2</v>
      </c>
      <c r="CJ29" s="4">
        <v>5</v>
      </c>
      <c r="CK29" s="4">
        <v>3</v>
      </c>
      <c r="CL29" s="4">
        <v>2</v>
      </c>
      <c r="CM29" s="4">
        <v>3</v>
      </c>
      <c r="CN29" s="4">
        <v>4</v>
      </c>
      <c r="CO29" s="4">
        <v>2</v>
      </c>
      <c r="CP29" s="4">
        <v>5</v>
      </c>
      <c r="CQ29" s="4">
        <v>1</v>
      </c>
      <c r="CR29" s="4">
        <v>2</v>
      </c>
      <c r="CS29" s="4">
        <v>5</v>
      </c>
      <c r="CT29" s="4">
        <v>1</v>
      </c>
      <c r="CU29" s="4">
        <v>1</v>
      </c>
      <c r="CV29" s="4">
        <v>5</v>
      </c>
      <c r="CW29" s="4">
        <v>1</v>
      </c>
      <c r="CX29" s="4">
        <f>SUM(Foglio1!$BT29:$CW29)</f>
        <v>80</v>
      </c>
      <c r="CY29" s="4">
        <f>SUM(Foglio1!$BT29+Foglio1!$BV29+Foglio1!$CP29+Foglio1!$BY29+Foglio1!$BX29+Foglio1!$CH29+Foglio1!$CS29+Foglio1!$CW29-Foglio1!$CE29)</f>
        <v>28</v>
      </c>
      <c r="CZ29" s="4">
        <f>SUM(Foglio1!$CF29+Foglio1!$CA29+Foglio1!$CB29+Foglio1!$CD29+Foglio1!$CN29+Foglio1!$CC29+Foglio1!$CW29+Foglio1!$CO29+Foglio1!$CT29-Foglio1!$BU29)</f>
        <v>11</v>
      </c>
      <c r="DA29" s="4">
        <f>SUM(Foglio1!$CG29+Foglio1!$CR29+Foglio1!$CQ29+Foglio1!$BU29+Foglio1!$CE29+Foglio1!$CL29+Foglio1!$CS29+Foglio1!$CT29+Foglio1!$CV29+Foglio1!$CP29)</f>
        <v>29</v>
      </c>
      <c r="DB29" s="4">
        <f>SUM(Foglio1!$CU29+Foglio1!$BW29+Foglio1!$BZ29+Foglio1!$CO29+Foglio1!$BX29+Foglio1!$CC29+Foglio1!$CK29+Foglio1!$CW29)</f>
        <v>14</v>
      </c>
      <c r="DC29" s="4">
        <f>SUM(Foglio1!$CI29+Foglio1!$CM29+Foglio1!$CJ29+Foglio1!$CK29+Foglio1!$BY29+Foglio1!$CH29+Foglio1!$CV29+Foglio1!$CW29)</f>
        <v>28</v>
      </c>
      <c r="DD29" s="4">
        <v>3</v>
      </c>
      <c r="DE29" s="4">
        <v>0</v>
      </c>
      <c r="DF29" s="4">
        <v>2</v>
      </c>
      <c r="DG29" s="4">
        <v>0</v>
      </c>
      <c r="DH29" s="4">
        <v>0</v>
      </c>
      <c r="DI29" s="4">
        <v>0</v>
      </c>
      <c r="DJ29" s="4">
        <v>0</v>
      </c>
      <c r="DK29" s="4">
        <v>2</v>
      </c>
      <c r="DL29" s="4">
        <v>0</v>
      </c>
      <c r="DM29" s="4">
        <v>0</v>
      </c>
      <c r="DN29" s="4">
        <v>0</v>
      </c>
      <c r="DO29" s="4">
        <v>0</v>
      </c>
      <c r="DP29" s="4">
        <v>0</v>
      </c>
      <c r="DQ29" s="4">
        <v>0</v>
      </c>
      <c r="DR29" s="4">
        <v>0</v>
      </c>
      <c r="DS29" s="4">
        <v>0</v>
      </c>
      <c r="DT29" s="4">
        <v>3</v>
      </c>
      <c r="DU29" s="4">
        <v>0</v>
      </c>
      <c r="DV29" s="4">
        <v>0</v>
      </c>
      <c r="DW29" s="4">
        <v>0</v>
      </c>
      <c r="DX29" s="4">
        <v>0</v>
      </c>
      <c r="DY29" s="4">
        <v>3</v>
      </c>
      <c r="DZ29" s="4">
        <v>4</v>
      </c>
      <c r="EA29" s="4">
        <v>1</v>
      </c>
      <c r="EB29" s="4">
        <v>0</v>
      </c>
      <c r="EC29" s="4">
        <v>3</v>
      </c>
      <c r="ED29" s="4">
        <v>1</v>
      </c>
      <c r="EE29" s="4">
        <v>0</v>
      </c>
      <c r="EF29" s="4">
        <v>0</v>
      </c>
      <c r="EG29" s="4">
        <v>0</v>
      </c>
      <c r="EH29" s="4">
        <f>(Foglio1!$DE29+Foglio1!$DH29+Foglio1!$DG29+Foglio1!$DF29+Foglio1!$DM29+Foglio1!$DD29+Foglio1!$DO29+Foglio1!$DL29+Foglio1!$DN29+Foglio1!$DQ29+Foglio1!$DP29+Foglio1!$DT29+Foglio1!$DI29+Foglio1!$DK29+Foglio1!$DU29)</f>
        <v>10</v>
      </c>
      <c r="EI29" s="4">
        <f>(Foglio1!$EA29+Foglio1!$EB29+Foglio1!$EE29+Foglio1!$EC29+Foglio1!$ED29+Foglio1!$DZ29+Foglio1!$DY29)</f>
        <v>12</v>
      </c>
      <c r="EJ29" s="4">
        <f>(Foglio1!$DW29+Foglio1!$DV29+Foglio1!$DX29)</f>
        <v>0</v>
      </c>
      <c r="EK29" s="4">
        <f>(Foglio1!$EG29+Foglio1!$EF29)</f>
        <v>0</v>
      </c>
      <c r="EL29" s="4">
        <v>1</v>
      </c>
      <c r="EM29" s="4">
        <v>0</v>
      </c>
      <c r="EN29" s="4">
        <v>1</v>
      </c>
      <c r="EO29" s="4">
        <v>1</v>
      </c>
      <c r="EP29" s="4">
        <f t="array" ref="EP29">SUM(EL29:EO29/4)</f>
        <v>0.75</v>
      </c>
      <c r="EQ29" s="4">
        <v>1</v>
      </c>
      <c r="ER29" s="4">
        <v>0</v>
      </c>
      <c r="ES29" s="4">
        <v>1</v>
      </c>
      <c r="ET29" s="4">
        <v>0</v>
      </c>
      <c r="EU29" s="4" t="s">
        <v>1121</v>
      </c>
      <c r="EV29" s="4">
        <v>1</v>
      </c>
      <c r="EW29" s="4" t="s">
        <v>1122</v>
      </c>
      <c r="EX29" s="4">
        <v>1</v>
      </c>
      <c r="EY29" s="4">
        <f>(Foglio1!$EQ29+Foglio1!$ER29+Foglio1!$ES29+Foglio1!$ET29+Foglio1!$EV29+Foglio1!$EX29)/6</f>
        <v>0.66666666666666663</v>
      </c>
      <c r="EZ29" s="4">
        <v>1</v>
      </c>
      <c r="FA29" s="4">
        <v>1</v>
      </c>
      <c r="FB29" s="4">
        <v>1</v>
      </c>
      <c r="FC29" s="4">
        <f>(Foglio1!$EZ29+Foglio1!$FA29+Foglio1!$FB29)/3</f>
        <v>1</v>
      </c>
      <c r="FD29" s="4">
        <v>1</v>
      </c>
      <c r="FE29" s="4">
        <v>1</v>
      </c>
      <c r="FF29" s="4">
        <f>(Foglio1!$FD29+Foglio1!$FE29)/2</f>
        <v>1</v>
      </c>
      <c r="FG29" s="4" t="s">
        <v>1123</v>
      </c>
      <c r="FH29" s="4">
        <v>0</v>
      </c>
      <c r="FI29" s="4" t="s">
        <v>1124</v>
      </c>
      <c r="FJ29" s="4">
        <v>0</v>
      </c>
      <c r="FK29" s="4" t="s">
        <v>1125</v>
      </c>
      <c r="FL29" s="4">
        <v>1</v>
      </c>
      <c r="FM29" s="4">
        <f>(Foglio1!$FH29+Foglio1!$FJ29+Foglio1!$FL29)/3</f>
        <v>0.33333333333333331</v>
      </c>
      <c r="FN29" s="4">
        <f>(Foglio1!$EP29)</f>
        <v>0.75</v>
      </c>
      <c r="FO29" s="4">
        <f>(Foglio1!$EY29+Foglio1!$FC29+Foglio1!$FF29+Foglio1!$FM29)/4</f>
        <v>0.75</v>
      </c>
      <c r="FP29" s="4">
        <f>(Foglio1!$EP29+Foglio1!$EY29+Foglio1!$FC29+Foglio1!$FF29+Foglio1!$FM29)/5</f>
        <v>0.75</v>
      </c>
      <c r="FQ29" s="4" t="s">
        <v>359</v>
      </c>
      <c r="FR29" s="4">
        <v>1</v>
      </c>
      <c r="FS29" s="4">
        <v>2</v>
      </c>
      <c r="FT29" s="4">
        <v>0</v>
      </c>
      <c r="FU29" s="4">
        <v>0</v>
      </c>
      <c r="FV29" s="4">
        <v>1</v>
      </c>
      <c r="FW29" s="4">
        <v>1</v>
      </c>
      <c r="FX29" s="4">
        <v>2</v>
      </c>
      <c r="FY29" s="4">
        <v>4</v>
      </c>
      <c r="FZ29" s="4">
        <v>2</v>
      </c>
      <c r="GA29" s="4">
        <v>6</v>
      </c>
      <c r="GB29" s="4">
        <v>60</v>
      </c>
      <c r="GC29" s="4">
        <v>1</v>
      </c>
      <c r="GD29" s="4">
        <v>1</v>
      </c>
      <c r="GE29" s="4">
        <v>0</v>
      </c>
      <c r="GF29" s="4">
        <v>0</v>
      </c>
      <c r="GG29" s="4">
        <v>0</v>
      </c>
      <c r="GH29" s="4">
        <v>1</v>
      </c>
      <c r="GI29" s="4">
        <v>0</v>
      </c>
      <c r="GJ29" s="4">
        <v>0</v>
      </c>
      <c r="GK29" s="4">
        <v>0</v>
      </c>
      <c r="GL29" s="4">
        <v>0</v>
      </c>
      <c r="GM29" s="4">
        <v>0</v>
      </c>
      <c r="GN29" s="4">
        <v>0</v>
      </c>
      <c r="GO29" s="4">
        <v>1</v>
      </c>
      <c r="GP29" s="4">
        <v>0</v>
      </c>
      <c r="GQ29" s="4">
        <v>1</v>
      </c>
      <c r="GR29" s="4">
        <v>0</v>
      </c>
      <c r="GS29" s="4">
        <v>1</v>
      </c>
      <c r="GT29" s="4">
        <v>1</v>
      </c>
      <c r="GU29" s="4">
        <v>0</v>
      </c>
      <c r="GV29" s="4">
        <v>2</v>
      </c>
      <c r="GW29" s="4">
        <v>1</v>
      </c>
      <c r="GX29" s="4">
        <v>0</v>
      </c>
      <c r="GY29" s="4">
        <v>0</v>
      </c>
      <c r="GZ29" s="4">
        <v>0</v>
      </c>
      <c r="HA29" s="4">
        <v>0</v>
      </c>
      <c r="HB29" s="4">
        <v>1</v>
      </c>
      <c r="HC29" s="4">
        <v>0</v>
      </c>
      <c r="HD29" s="4">
        <v>0</v>
      </c>
      <c r="HE29" s="4">
        <v>1</v>
      </c>
      <c r="HF29" s="4">
        <v>0</v>
      </c>
      <c r="HG29" s="4">
        <f t="shared" si="24"/>
        <v>12</v>
      </c>
      <c r="HH29" s="4">
        <f t="shared" si="25"/>
        <v>4</v>
      </c>
      <c r="HI29" s="4">
        <f t="shared" si="26"/>
        <v>1</v>
      </c>
      <c r="HJ29" s="4">
        <f t="shared" si="27"/>
        <v>3</v>
      </c>
      <c r="HK29" s="4">
        <f t="shared" si="28"/>
        <v>1</v>
      </c>
      <c r="HL29" s="4">
        <f t="shared" si="29"/>
        <v>7</v>
      </c>
      <c r="HM29" s="4">
        <v>1</v>
      </c>
      <c r="HN29" s="4">
        <v>0</v>
      </c>
      <c r="HO29" s="4">
        <v>0</v>
      </c>
      <c r="HP29" s="4">
        <v>0</v>
      </c>
      <c r="HQ29" s="4">
        <v>0</v>
      </c>
      <c r="HR29" s="4">
        <v>0</v>
      </c>
      <c r="HS29" s="4">
        <v>0</v>
      </c>
      <c r="HT29" s="4">
        <v>0</v>
      </c>
      <c r="HU29" s="4">
        <v>0</v>
      </c>
      <c r="HV29" s="4">
        <v>0</v>
      </c>
      <c r="HW29" s="4">
        <v>0</v>
      </c>
      <c r="HX29" s="4">
        <v>0</v>
      </c>
      <c r="HY29" s="4">
        <v>0</v>
      </c>
      <c r="HZ29" s="4">
        <v>0</v>
      </c>
      <c r="IA29" s="4">
        <v>0</v>
      </c>
      <c r="IB29" s="4">
        <v>0</v>
      </c>
      <c r="IC29" s="4">
        <v>3</v>
      </c>
      <c r="ID29" s="4">
        <v>0</v>
      </c>
      <c r="IE29" s="4">
        <v>0</v>
      </c>
      <c r="IF29" s="4">
        <v>0</v>
      </c>
      <c r="IG29" s="4">
        <v>0</v>
      </c>
      <c r="IH29" s="4">
        <v>0</v>
      </c>
      <c r="II29" s="4">
        <v>2</v>
      </c>
      <c r="IJ29" s="4">
        <v>0</v>
      </c>
      <c r="IK29" s="4">
        <v>2</v>
      </c>
      <c r="IL29" s="4">
        <v>2</v>
      </c>
      <c r="IM29" s="4">
        <v>0</v>
      </c>
      <c r="IN29" s="4">
        <v>0</v>
      </c>
      <c r="IO29" s="4">
        <v>0</v>
      </c>
      <c r="IP29" s="4">
        <v>0</v>
      </c>
      <c r="IQ29" s="4">
        <f t="shared" si="34"/>
        <v>4</v>
      </c>
      <c r="IR29" s="4">
        <f t="shared" si="35"/>
        <v>6</v>
      </c>
      <c r="IS29" s="4">
        <f t="shared" si="36"/>
        <v>0</v>
      </c>
      <c r="IT29" s="4">
        <f t="shared" si="37"/>
        <v>0</v>
      </c>
      <c r="IU29" s="4" t="s">
        <v>383</v>
      </c>
      <c r="IV29" s="4" t="s">
        <v>383</v>
      </c>
      <c r="IW29" s="4" t="s">
        <v>383</v>
      </c>
      <c r="IX29" s="4" t="s">
        <v>383</v>
      </c>
      <c r="IY29" s="4">
        <v>1</v>
      </c>
      <c r="IZ29" s="4">
        <v>0</v>
      </c>
      <c r="JA29" s="4">
        <v>1</v>
      </c>
      <c r="JB29" s="4">
        <v>1</v>
      </c>
      <c r="JC29" s="4">
        <f>(Foglio1!$IY29+Foglio1!$IZ29+Foglio1!$JA29+Foglio1!$JB29)/4</f>
        <v>0.75</v>
      </c>
      <c r="JD29" s="4">
        <v>1</v>
      </c>
      <c r="JE29" s="4">
        <v>1</v>
      </c>
      <c r="JF29" s="4">
        <v>1</v>
      </c>
      <c r="JG29" s="4">
        <v>1</v>
      </c>
      <c r="JH29" s="4" t="s">
        <v>1126</v>
      </c>
      <c r="JI29" s="4">
        <v>1</v>
      </c>
      <c r="JJ29" s="4" t="s">
        <v>1127</v>
      </c>
      <c r="JK29" s="4">
        <v>1</v>
      </c>
      <c r="JL29" s="4">
        <f>(Foglio1!$JD29+Foglio1!$JE29+Foglio1!$JF29+Foglio1!$JG29+Foglio1!$JI29+Foglio1!$JK29)/6</f>
        <v>1</v>
      </c>
      <c r="JM29" s="4">
        <v>1</v>
      </c>
      <c r="JN29" s="4">
        <v>1</v>
      </c>
      <c r="JO29" s="4">
        <v>1</v>
      </c>
      <c r="JP29" s="4">
        <f>(Foglio1!$JM29+Foglio1!$JN29+Foglio1!$JO29)/3</f>
        <v>1</v>
      </c>
      <c r="JQ29" s="4">
        <v>0</v>
      </c>
      <c r="JR29" s="4">
        <v>1</v>
      </c>
      <c r="JS29" s="4">
        <f>(Foglio1!$JQ29+Foglio1!$JR29)/2</f>
        <v>0.5</v>
      </c>
      <c r="JT29" s="4" t="s">
        <v>1128</v>
      </c>
      <c r="JU29" s="4">
        <v>0</v>
      </c>
      <c r="JV29" s="4" t="s">
        <v>1129</v>
      </c>
      <c r="JW29" s="4">
        <v>1</v>
      </c>
      <c r="JX29" s="4" t="s">
        <v>1130</v>
      </c>
      <c r="JY29" s="4">
        <v>1</v>
      </c>
      <c r="JZ29" s="4">
        <f>(Foglio1!$JU29+Foglio1!$JW29+Foglio1!$JY29)/3</f>
        <v>0.66666666666666663</v>
      </c>
      <c r="KA29" s="4">
        <f>(Foglio1!$JC29)</f>
        <v>0.75</v>
      </c>
      <c r="KB29" s="4">
        <f>(Foglio1!$JL29+Foglio1!$JP29+Foglio1!$JS29+Foglio1!$JZ29)/4</f>
        <v>0.79166666666666663</v>
      </c>
      <c r="KC29" s="4">
        <f>(Foglio1!$JC29+Foglio1!$JL29+Foglio1!$JP29+Foglio1!$JS29+Foglio1!$JZ29)/5</f>
        <v>0.78333333333333333</v>
      </c>
      <c r="KD29" s="4" t="s">
        <v>1131</v>
      </c>
      <c r="KE29" s="4">
        <v>2</v>
      </c>
      <c r="KF29" s="4">
        <v>3</v>
      </c>
      <c r="KG29" s="4" t="s">
        <v>1132</v>
      </c>
      <c r="KH29" s="4">
        <v>2</v>
      </c>
      <c r="KI29" s="4">
        <v>1</v>
      </c>
      <c r="KJ29" s="4" t="s">
        <v>1133</v>
      </c>
      <c r="KK29" s="4">
        <v>2</v>
      </c>
      <c r="KL29" s="4">
        <v>2</v>
      </c>
      <c r="KM29" s="4" t="s">
        <v>1134</v>
      </c>
      <c r="KN29" s="4">
        <v>2</v>
      </c>
      <c r="KO29" s="4">
        <v>1</v>
      </c>
      <c r="KP29" s="4" t="s">
        <v>1135</v>
      </c>
      <c r="KQ29" s="4">
        <v>0</v>
      </c>
      <c r="KR29" s="4">
        <v>2</v>
      </c>
      <c r="KS29" s="4" t="s">
        <v>1136</v>
      </c>
      <c r="KT29" s="4">
        <v>2</v>
      </c>
      <c r="KU29" s="4">
        <v>1</v>
      </c>
      <c r="KV29" s="4" t="s">
        <v>1137</v>
      </c>
      <c r="KW29" s="4">
        <v>1</v>
      </c>
      <c r="KX29" s="4">
        <v>1</v>
      </c>
      <c r="KY29" s="4" t="s">
        <v>1138</v>
      </c>
      <c r="KZ29" s="4">
        <v>1</v>
      </c>
      <c r="LA29" s="4">
        <v>3</v>
      </c>
      <c r="LB29" s="4" t="s">
        <v>1139</v>
      </c>
      <c r="LC29" s="4">
        <v>2</v>
      </c>
      <c r="LD29" s="4">
        <v>1</v>
      </c>
      <c r="LE29" s="4" t="s">
        <v>1140</v>
      </c>
      <c r="LF29" s="4">
        <v>1</v>
      </c>
      <c r="LG29" s="4">
        <v>2</v>
      </c>
      <c r="LH29" s="4" t="s">
        <v>1141</v>
      </c>
      <c r="LI29" s="4">
        <v>2</v>
      </c>
      <c r="LJ29" s="4">
        <v>1</v>
      </c>
      <c r="LK29" s="4" t="s">
        <v>1142</v>
      </c>
      <c r="LL29" s="4">
        <v>2</v>
      </c>
      <c r="LM29" s="4">
        <v>2</v>
      </c>
      <c r="LN29" s="4" t="s">
        <v>1143</v>
      </c>
      <c r="LO29" s="4">
        <v>1</v>
      </c>
      <c r="LP29" s="4">
        <v>1</v>
      </c>
      <c r="LQ29" s="4" t="s">
        <v>1144</v>
      </c>
      <c r="LR29" s="4">
        <v>2</v>
      </c>
      <c r="LS29" s="4">
        <v>2</v>
      </c>
      <c r="LT29" s="4">
        <f>(Foglio1!$KE29+Foglio1!$KH29+Foglio1!$KK29+Foglio1!$KN29+Foglio1!$KQ29+Foglio1!$KT29+Foglio1!$KW29+Foglio1!$KZ29+Foglio1!$LC29+Foglio1!$LF29+Foglio1!$LI29+Foglio1!$LL29+Foglio1!$LO29+Foglio1!$LR29)</f>
        <v>22</v>
      </c>
      <c r="LU29" s="4">
        <f>(Foglio1!$KI29+Foglio1!$KF29+Foglio1!$KL29+Foglio1!$KO29+Foglio1!$KR29+Foglio1!$KU29+Foglio1!$KX29+Foglio1!$LA29+Foglio1!$LD29+Foglio1!$LG29+Foglio1!$LJ29+Foglio1!$LM29+Foglio1!$LP29+Foglio1!$LS29)</f>
        <v>23</v>
      </c>
      <c r="LV29" s="4">
        <v>26</v>
      </c>
      <c r="LW29" s="4">
        <v>57</v>
      </c>
      <c r="LX29" s="4">
        <v>14</v>
      </c>
      <c r="LY29" s="4">
        <v>26</v>
      </c>
      <c r="LZ29" s="3">
        <v>1</v>
      </c>
      <c r="MA29" s="3">
        <v>1</v>
      </c>
      <c r="MB29" s="3">
        <v>2</v>
      </c>
      <c r="MC29" s="3">
        <v>2</v>
      </c>
      <c r="MD29" s="3">
        <f t="shared" si="7"/>
        <v>6</v>
      </c>
      <c r="ME29" s="3">
        <v>0</v>
      </c>
      <c r="MF29" s="3">
        <v>0</v>
      </c>
      <c r="MG29" s="3">
        <v>0</v>
      </c>
      <c r="MH29" s="3">
        <v>0</v>
      </c>
      <c r="MI29" s="3">
        <f t="shared" si="8"/>
        <v>0</v>
      </c>
    </row>
    <row r="30" spans="1:347" ht="15.75" customHeight="1" x14ac:dyDescent="0.25">
      <c r="A30" s="4" t="s">
        <v>1145</v>
      </c>
      <c r="B30" s="4">
        <v>36</v>
      </c>
      <c r="C30" s="4" t="s">
        <v>349</v>
      </c>
      <c r="D30" s="4">
        <v>5</v>
      </c>
      <c r="E30" s="4">
        <v>1</v>
      </c>
      <c r="F30" s="4" t="s">
        <v>350</v>
      </c>
      <c r="G30" s="4" t="s">
        <v>351</v>
      </c>
      <c r="H30" s="4" t="s">
        <v>1146</v>
      </c>
      <c r="I30" s="4" t="s">
        <v>1147</v>
      </c>
      <c r="J30" s="7" t="s">
        <v>405</v>
      </c>
      <c r="K30" s="7" t="s">
        <v>1148</v>
      </c>
      <c r="L30" s="4" t="s">
        <v>1149</v>
      </c>
      <c r="M30" s="4" t="s">
        <v>357</v>
      </c>
      <c r="N30" s="4" t="s">
        <v>1150</v>
      </c>
      <c r="O30" s="9">
        <v>45629</v>
      </c>
      <c r="P30" s="6">
        <v>45646</v>
      </c>
      <c r="Q30" s="4" t="s">
        <v>359</v>
      </c>
      <c r="R30" s="4"/>
      <c r="S30" s="4"/>
      <c r="T30" s="4"/>
      <c r="U30" s="4"/>
      <c r="V30" s="4"/>
      <c r="W30" s="4"/>
      <c r="X30" s="4"/>
      <c r="Y30" s="4"/>
      <c r="Z30" s="4"/>
      <c r="AA30" s="4"/>
      <c r="AB30" s="4"/>
      <c r="AC30" s="4"/>
      <c r="AD30" s="4"/>
      <c r="AE30" s="4"/>
      <c r="AF30" s="4"/>
      <c r="AG30" s="4"/>
      <c r="AH30" s="4" t="s">
        <v>1151</v>
      </c>
      <c r="AI30" s="4" t="s">
        <v>1152</v>
      </c>
      <c r="AJ30" s="5" t="s">
        <v>356</v>
      </c>
      <c r="AK30" s="5" t="s">
        <v>356</v>
      </c>
      <c r="AL30" s="5" t="s">
        <v>356</v>
      </c>
      <c r="AM30" s="5" t="s">
        <v>356</v>
      </c>
      <c r="AN30" s="5" t="s">
        <v>356</v>
      </c>
      <c r="AO30" s="5" t="s">
        <v>356</v>
      </c>
      <c r="AP30" s="5" t="s">
        <v>356</v>
      </c>
      <c r="AQ30" s="5" t="s">
        <v>356</v>
      </c>
      <c r="AR30" s="5" t="s">
        <v>356</v>
      </c>
      <c r="AS30" s="5" t="s">
        <v>356</v>
      </c>
      <c r="AT30" s="5" t="s">
        <v>356</v>
      </c>
      <c r="AU30" s="5" t="s">
        <v>356</v>
      </c>
      <c r="AV30" s="5" t="s">
        <v>356</v>
      </c>
      <c r="AW30" s="5" t="s">
        <v>356</v>
      </c>
      <c r="AX30" s="4">
        <v>1</v>
      </c>
      <c r="AY30" s="4"/>
      <c r="AZ30" s="4" t="s">
        <v>409</v>
      </c>
      <c r="BA30" s="4">
        <f t="shared" si="9"/>
        <v>17</v>
      </c>
      <c r="BB30" s="4"/>
      <c r="BC30" s="4"/>
      <c r="BD30" s="4"/>
      <c r="BE30" s="4"/>
      <c r="BF30" s="4"/>
      <c r="BG30" s="6">
        <v>45639</v>
      </c>
      <c r="BH30" s="4">
        <v>4</v>
      </c>
      <c r="BI30" s="4">
        <v>2</v>
      </c>
      <c r="BJ30" s="4">
        <v>4</v>
      </c>
      <c r="BK30" s="4">
        <v>3</v>
      </c>
      <c r="BL30" s="4">
        <v>4</v>
      </c>
      <c r="BM30" s="4">
        <v>4</v>
      </c>
      <c r="BN30" s="4">
        <v>3</v>
      </c>
      <c r="BO30" s="4">
        <f>SUM(Foglio1!$BH30:$BM30)</f>
        <v>21</v>
      </c>
      <c r="BP30" s="4">
        <v>5</v>
      </c>
      <c r="BQ30" s="4">
        <v>0</v>
      </c>
      <c r="BR30" s="4">
        <v>0</v>
      </c>
      <c r="BS30" s="4">
        <v>55</v>
      </c>
      <c r="BT30" s="4">
        <v>7</v>
      </c>
      <c r="BU30" s="4">
        <v>4</v>
      </c>
      <c r="BV30" s="4">
        <v>4</v>
      </c>
      <c r="BW30" s="4">
        <v>2</v>
      </c>
      <c r="BX30" s="4">
        <v>1</v>
      </c>
      <c r="BY30" s="4">
        <v>7</v>
      </c>
      <c r="BZ30" s="4">
        <v>1</v>
      </c>
      <c r="CA30" s="4">
        <v>1</v>
      </c>
      <c r="CB30" s="4">
        <v>1</v>
      </c>
      <c r="CC30" s="4">
        <v>1</v>
      </c>
      <c r="CD30" s="4">
        <v>1</v>
      </c>
      <c r="CE30" s="4">
        <v>2</v>
      </c>
      <c r="CF30" s="4">
        <v>1</v>
      </c>
      <c r="CG30" s="4">
        <v>1</v>
      </c>
      <c r="CH30" s="4">
        <v>5</v>
      </c>
      <c r="CI30" s="4">
        <v>1</v>
      </c>
      <c r="CJ30" s="4">
        <v>6</v>
      </c>
      <c r="CK30" s="4">
        <v>1</v>
      </c>
      <c r="CL30" s="4">
        <v>1</v>
      </c>
      <c r="CM30" s="4">
        <v>1</v>
      </c>
      <c r="CN30" s="4">
        <v>1</v>
      </c>
      <c r="CO30" s="4">
        <v>6</v>
      </c>
      <c r="CP30" s="4">
        <v>1</v>
      </c>
      <c r="CQ30" s="4">
        <v>1</v>
      </c>
      <c r="CR30" s="4">
        <v>5</v>
      </c>
      <c r="CS30" s="4">
        <v>1</v>
      </c>
      <c r="CT30" s="4">
        <v>1</v>
      </c>
      <c r="CU30" s="4">
        <v>1</v>
      </c>
      <c r="CV30" s="4">
        <v>1</v>
      </c>
      <c r="CW30" s="4">
        <v>6</v>
      </c>
      <c r="CX30" s="4">
        <f>SUM(Foglio1!$BT30:$CW30)</f>
        <v>73</v>
      </c>
      <c r="CY30" s="4">
        <f>SUM(Foglio1!$BT30+Foglio1!$BV30+Foglio1!$CP30+Foglio1!$BY30+Foglio1!$BX30+Foglio1!$CH30+Foglio1!$CS30+Foglio1!$CW30-Foglio1!$CE30)</f>
        <v>30</v>
      </c>
      <c r="CZ30" s="4">
        <f>SUM(Foglio1!$CF30+Foglio1!$CA30+Foglio1!$CB30+Foglio1!$CD30+Foglio1!$CN30+Foglio1!$CC30+Foglio1!$CW30+Foglio1!$CO30+Foglio1!$CT30-Foglio1!$BU30)</f>
        <v>15</v>
      </c>
      <c r="DA30" s="4">
        <f>SUM(Foglio1!$CG30+Foglio1!$CR30+Foglio1!$CQ30+Foglio1!$BU30+Foglio1!$CE30+Foglio1!$CL30+Foglio1!$CS30+Foglio1!$CT30+Foglio1!$CV30+Foglio1!$CP30)</f>
        <v>18</v>
      </c>
      <c r="DB30" s="4">
        <f>SUM(Foglio1!$CU30+Foglio1!$BW30+Foglio1!$BZ30+Foglio1!$CO30+Foglio1!$BX30+Foglio1!$CC30+Foglio1!$CK30+Foglio1!$CW30)</f>
        <v>19</v>
      </c>
      <c r="DC30" s="4">
        <f>SUM(Foglio1!$CI30+Foglio1!$CM30+Foglio1!$CJ30+Foglio1!$CK30+Foglio1!$BY30+Foglio1!$CH30+Foglio1!$CV30+Foglio1!$CW30)</f>
        <v>28</v>
      </c>
      <c r="DD30" s="4">
        <v>2</v>
      </c>
      <c r="DE30" s="4">
        <v>3</v>
      </c>
      <c r="DF30" s="4">
        <v>3</v>
      </c>
      <c r="DG30" s="4">
        <v>0</v>
      </c>
      <c r="DH30" s="4">
        <v>0</v>
      </c>
      <c r="DI30" s="4">
        <v>3</v>
      </c>
      <c r="DJ30" s="4">
        <v>0</v>
      </c>
      <c r="DK30" s="4">
        <v>0</v>
      </c>
      <c r="DL30" s="4">
        <v>0</v>
      </c>
      <c r="DM30" s="4">
        <v>0</v>
      </c>
      <c r="DN30" s="4">
        <v>0</v>
      </c>
      <c r="DO30" s="4">
        <v>0</v>
      </c>
      <c r="DP30" s="4">
        <v>0</v>
      </c>
      <c r="DQ30" s="4">
        <v>0</v>
      </c>
      <c r="DR30" s="4">
        <v>0</v>
      </c>
      <c r="DS30" s="4">
        <v>0</v>
      </c>
      <c r="DT30" s="4">
        <v>0</v>
      </c>
      <c r="DU30" s="4">
        <v>3</v>
      </c>
      <c r="DV30" s="4">
        <v>0</v>
      </c>
      <c r="DW30" s="4">
        <v>0</v>
      </c>
      <c r="DX30" s="4">
        <v>1</v>
      </c>
      <c r="DY30" s="4">
        <v>0</v>
      </c>
      <c r="DZ30" s="4">
        <v>0</v>
      </c>
      <c r="EA30" s="4">
        <v>0</v>
      </c>
      <c r="EB30" s="4">
        <v>0</v>
      </c>
      <c r="EC30" s="4">
        <v>0</v>
      </c>
      <c r="ED30" s="4">
        <v>0</v>
      </c>
      <c r="EE30" s="4">
        <v>0</v>
      </c>
      <c r="EF30" s="4">
        <v>0</v>
      </c>
      <c r="EG30" s="4">
        <v>0</v>
      </c>
      <c r="EH30" s="4">
        <f>(Foglio1!$DE30+Foglio1!$DH30+Foglio1!$DG30+Foglio1!$DF30+Foglio1!$DM30+Foglio1!$DD30+Foglio1!$DO30+Foglio1!$DL30+Foglio1!$DN30+Foglio1!$DQ30+Foglio1!$DP30+Foglio1!$DT30+Foglio1!$DI30+Foglio1!$DK30+Foglio1!$DU30)</f>
        <v>14</v>
      </c>
      <c r="EI30" s="4">
        <f>(Foglio1!$EA30+Foglio1!$EB30+Foglio1!$EE30+Foglio1!$EC30+Foglio1!$ED30+Foglio1!$DZ30+Foglio1!$DY30)</f>
        <v>0</v>
      </c>
      <c r="EJ30" s="4">
        <f>(Foglio1!$DW30+Foglio1!$DV30+Foglio1!$DX30)</f>
        <v>1</v>
      </c>
      <c r="EK30" s="4">
        <f>(Foglio1!$EG30+Foglio1!$EF30)</f>
        <v>0</v>
      </c>
      <c r="EL30" s="4">
        <v>1</v>
      </c>
      <c r="EM30" s="4">
        <v>0</v>
      </c>
      <c r="EN30" s="4">
        <v>1</v>
      </c>
      <c r="EO30" s="4">
        <v>1</v>
      </c>
      <c r="EP30" s="4">
        <f t="array" ref="EP30">SUM(EL30:EO30/4)</f>
        <v>0.75</v>
      </c>
      <c r="EQ30" s="4">
        <v>1</v>
      </c>
      <c r="ER30" s="4">
        <v>0</v>
      </c>
      <c r="ES30" s="4">
        <v>1</v>
      </c>
      <c r="ET30" s="4">
        <v>1</v>
      </c>
      <c r="EU30" s="4" t="s">
        <v>1153</v>
      </c>
      <c r="EV30" s="4">
        <v>0</v>
      </c>
      <c r="EW30" s="4" t="s">
        <v>1154</v>
      </c>
      <c r="EX30" s="4">
        <v>0</v>
      </c>
      <c r="EY30" s="4">
        <f>(Foglio1!$EQ30+Foglio1!$ER30+Foglio1!$ES30+Foglio1!$ET30+Foglio1!$EV30+Foglio1!$EX30)/6</f>
        <v>0.5</v>
      </c>
      <c r="EZ30" s="4">
        <v>1</v>
      </c>
      <c r="FA30" s="4">
        <v>1</v>
      </c>
      <c r="FB30" s="4">
        <v>1</v>
      </c>
      <c r="FC30" s="4">
        <f>(Foglio1!$EZ30+Foglio1!$FA30+Foglio1!$FB30)/3</f>
        <v>1</v>
      </c>
      <c r="FD30" s="4">
        <v>0</v>
      </c>
      <c r="FE30" s="4">
        <v>0</v>
      </c>
      <c r="FF30" s="4">
        <f>(Foglio1!$FD30+Foglio1!$FE30)/2</f>
        <v>0</v>
      </c>
      <c r="FG30" s="4" t="s">
        <v>1155</v>
      </c>
      <c r="FH30" s="4">
        <v>1</v>
      </c>
      <c r="FI30" s="4" t="s">
        <v>1156</v>
      </c>
      <c r="FJ30" s="4">
        <v>0</v>
      </c>
      <c r="FK30" s="4" t="s">
        <v>1157</v>
      </c>
      <c r="FL30" s="4">
        <v>0</v>
      </c>
      <c r="FM30" s="4">
        <f>(Foglio1!$FH30+Foglio1!$FJ30+Foglio1!$FL30)/3</f>
        <v>0.33333333333333331</v>
      </c>
      <c r="FN30" s="4">
        <f>(Foglio1!$EP30)</f>
        <v>0.75</v>
      </c>
      <c r="FO30" s="4">
        <f>(Foglio1!$EY30+Foglio1!$FC30+Foglio1!$FF30+Foglio1!$FM30)/4</f>
        <v>0.45833333333333331</v>
      </c>
      <c r="FP30" s="4">
        <f>(Foglio1!$EP30+Foglio1!$EY30+Foglio1!$FC30+Foglio1!$FF30+Foglio1!$FM30)/5</f>
        <v>0.51666666666666672</v>
      </c>
      <c r="FQ30" s="6">
        <v>45645</v>
      </c>
      <c r="FR30" s="4">
        <v>3</v>
      </c>
      <c r="FS30" s="4">
        <v>2</v>
      </c>
      <c r="FT30" s="4">
        <v>2</v>
      </c>
      <c r="FU30" s="4">
        <v>2</v>
      </c>
      <c r="FV30" s="4">
        <v>1</v>
      </c>
      <c r="FW30" s="4">
        <v>2</v>
      </c>
      <c r="FX30" s="4">
        <v>3</v>
      </c>
      <c r="FY30" s="4">
        <v>4</v>
      </c>
      <c r="FZ30" s="4">
        <v>3</v>
      </c>
      <c r="GA30" s="4">
        <v>2</v>
      </c>
      <c r="GB30" s="4">
        <v>65</v>
      </c>
      <c r="GC30" s="4">
        <v>2</v>
      </c>
      <c r="GD30" s="4">
        <v>2</v>
      </c>
      <c r="GE30" s="4">
        <v>1</v>
      </c>
      <c r="GF30" s="4">
        <v>2</v>
      </c>
      <c r="GG30" s="4">
        <v>2</v>
      </c>
      <c r="GH30" s="4">
        <v>2</v>
      </c>
      <c r="GI30" s="4">
        <v>2</v>
      </c>
      <c r="GJ30" s="4">
        <v>1</v>
      </c>
      <c r="GK30" s="4">
        <v>1</v>
      </c>
      <c r="GL30" s="4">
        <v>1</v>
      </c>
      <c r="GM30" s="4">
        <v>1</v>
      </c>
      <c r="GN30" s="4">
        <v>2</v>
      </c>
      <c r="GO30" s="4">
        <v>2</v>
      </c>
      <c r="GP30" s="4">
        <v>2</v>
      </c>
      <c r="GQ30" s="4">
        <v>2</v>
      </c>
      <c r="GR30" s="4">
        <v>2</v>
      </c>
      <c r="GS30" s="4">
        <v>1</v>
      </c>
      <c r="GT30" s="4">
        <v>1</v>
      </c>
      <c r="GU30" s="4">
        <v>1</v>
      </c>
      <c r="GV30" s="4">
        <v>1</v>
      </c>
      <c r="GW30" s="4">
        <v>1</v>
      </c>
      <c r="GX30" s="4">
        <v>2</v>
      </c>
      <c r="GY30" s="4">
        <v>3</v>
      </c>
      <c r="GZ30" s="4">
        <v>1</v>
      </c>
      <c r="HA30" s="4">
        <v>2</v>
      </c>
      <c r="HB30" s="4">
        <v>2</v>
      </c>
      <c r="HC30" s="4">
        <v>2</v>
      </c>
      <c r="HD30" s="4">
        <v>3</v>
      </c>
      <c r="HE30" s="4">
        <v>2</v>
      </c>
      <c r="HF30" s="4">
        <v>1</v>
      </c>
      <c r="HG30" s="4">
        <f t="shared" si="24"/>
        <v>50</v>
      </c>
      <c r="HH30" s="4">
        <f t="shared" si="25"/>
        <v>13</v>
      </c>
      <c r="HI30" s="4">
        <f t="shared" si="26"/>
        <v>10</v>
      </c>
      <c r="HJ30" s="4">
        <f t="shared" si="27"/>
        <v>19</v>
      </c>
      <c r="HK30" s="4">
        <f t="shared" si="28"/>
        <v>14</v>
      </c>
      <c r="HL30" s="4">
        <f t="shared" si="29"/>
        <v>12</v>
      </c>
      <c r="HM30" s="4">
        <v>3</v>
      </c>
      <c r="HN30" s="4">
        <v>3</v>
      </c>
      <c r="HO30" s="4">
        <v>3</v>
      </c>
      <c r="HP30" s="4">
        <v>0</v>
      </c>
      <c r="HQ30" s="4">
        <v>1</v>
      </c>
      <c r="HR30" s="4">
        <v>3</v>
      </c>
      <c r="HS30" s="4">
        <v>0</v>
      </c>
      <c r="HT30" s="4">
        <v>0</v>
      </c>
      <c r="HU30" s="4">
        <v>0</v>
      </c>
      <c r="HV30" s="4">
        <v>0</v>
      </c>
      <c r="HW30" s="4">
        <v>0</v>
      </c>
      <c r="HX30" s="4">
        <v>0</v>
      </c>
      <c r="HY30" s="4">
        <v>0</v>
      </c>
      <c r="HZ30" s="4">
        <v>0</v>
      </c>
      <c r="IA30" s="4">
        <v>0</v>
      </c>
      <c r="IB30" s="4">
        <v>0</v>
      </c>
      <c r="IC30" s="4">
        <v>3</v>
      </c>
      <c r="ID30" s="4">
        <v>3</v>
      </c>
      <c r="IE30" s="4">
        <v>0</v>
      </c>
      <c r="IF30" s="4">
        <v>0</v>
      </c>
      <c r="IG30" s="4">
        <v>3</v>
      </c>
      <c r="IH30" s="4">
        <v>0</v>
      </c>
      <c r="II30" s="4">
        <v>0</v>
      </c>
      <c r="IJ30" s="4">
        <v>3</v>
      </c>
      <c r="IK30" s="4">
        <v>1</v>
      </c>
      <c r="IL30" s="4">
        <v>0</v>
      </c>
      <c r="IM30" s="4">
        <v>0</v>
      </c>
      <c r="IN30" s="4">
        <v>1</v>
      </c>
      <c r="IO30" s="4">
        <v>0</v>
      </c>
      <c r="IP30" s="4">
        <v>0</v>
      </c>
      <c r="IQ30" s="4">
        <f t="shared" si="34"/>
        <v>19</v>
      </c>
      <c r="IR30" s="4">
        <f t="shared" si="35"/>
        <v>5</v>
      </c>
      <c r="IS30" s="4">
        <f t="shared" si="36"/>
        <v>3</v>
      </c>
      <c r="IT30" s="4">
        <f t="shared" si="37"/>
        <v>0</v>
      </c>
      <c r="IU30" s="4" t="s">
        <v>383</v>
      </c>
      <c r="IV30" s="4" t="s">
        <v>383</v>
      </c>
      <c r="IW30" s="4" t="s">
        <v>383</v>
      </c>
      <c r="IX30" s="4" t="s">
        <v>383</v>
      </c>
      <c r="IY30" s="4">
        <v>1</v>
      </c>
      <c r="IZ30" s="4">
        <v>0</v>
      </c>
      <c r="JA30" s="4">
        <v>1</v>
      </c>
      <c r="JB30" s="4">
        <v>1</v>
      </c>
      <c r="JC30" s="4">
        <f>(Foglio1!$IY30+Foglio1!$IZ30+Foglio1!$JA30+Foglio1!$JB30)/4</f>
        <v>0.75</v>
      </c>
      <c r="JD30" s="4">
        <v>0</v>
      </c>
      <c r="JE30" s="4"/>
      <c r="JF30" s="4">
        <v>0</v>
      </c>
      <c r="JG30" s="4">
        <v>1</v>
      </c>
      <c r="JH30" s="4" t="s">
        <v>1158</v>
      </c>
      <c r="JI30" s="4">
        <v>1</v>
      </c>
      <c r="JJ30" s="4" t="s">
        <v>1159</v>
      </c>
      <c r="JK30" s="4">
        <v>0</v>
      </c>
      <c r="JL30" s="4">
        <f>(Foglio1!$JD30+Foglio1!$JE30+Foglio1!$JF30+Foglio1!$JG30+Foglio1!$JI30+Foglio1!$JK30)/6</f>
        <v>0.33333333333333331</v>
      </c>
      <c r="JM30" s="4">
        <v>0</v>
      </c>
      <c r="JN30" s="4">
        <v>0</v>
      </c>
      <c r="JO30" s="4">
        <v>0</v>
      </c>
      <c r="JP30" s="4">
        <f>(Foglio1!$JM30+Foglio1!$JN30+Foglio1!$JO30)/3</f>
        <v>0</v>
      </c>
      <c r="JQ30" s="4">
        <v>0</v>
      </c>
      <c r="JR30" s="4">
        <v>0</v>
      </c>
      <c r="JS30" s="4">
        <f>(Foglio1!$JQ30+Foglio1!$JR30)/2</f>
        <v>0</v>
      </c>
      <c r="JT30" s="4" t="s">
        <v>1160</v>
      </c>
      <c r="JU30" s="4">
        <v>0</v>
      </c>
      <c r="JV30" s="4" t="s">
        <v>1161</v>
      </c>
      <c r="JW30" s="4">
        <v>0</v>
      </c>
      <c r="JX30" s="4" t="s">
        <v>1162</v>
      </c>
      <c r="JY30" s="4">
        <v>0</v>
      </c>
      <c r="JZ30" s="4">
        <f>(Foglio1!$JU30+Foglio1!$JW30+Foglio1!$JY30)/3</f>
        <v>0</v>
      </c>
      <c r="KA30" s="4">
        <f>(Foglio1!$JC30)</f>
        <v>0.75</v>
      </c>
      <c r="KB30" s="4">
        <f>(Foglio1!$JL30+Foglio1!$JP30+Foglio1!$JS30+Foglio1!$JZ30)/4</f>
        <v>8.3333333333333329E-2</v>
      </c>
      <c r="KC30" s="4">
        <f>(Foglio1!$JC30+Foglio1!$JL30+Foglio1!$JP30+Foglio1!$JS30+Foglio1!$JZ30)/5</f>
        <v>0.21666666666666665</v>
      </c>
      <c r="KD30" s="4" t="s">
        <v>1163</v>
      </c>
      <c r="KE30" s="4">
        <v>0</v>
      </c>
      <c r="KF30" s="4">
        <v>0</v>
      </c>
      <c r="KG30" s="4" t="s">
        <v>1164</v>
      </c>
      <c r="KH30" s="4">
        <v>0</v>
      </c>
      <c r="KI30" s="4">
        <v>1</v>
      </c>
      <c r="KJ30" s="4" t="s">
        <v>1165</v>
      </c>
      <c r="KK30" s="4">
        <v>0</v>
      </c>
      <c r="KL30" s="4">
        <v>2</v>
      </c>
      <c r="KM30" s="4" t="s">
        <v>1166</v>
      </c>
      <c r="KN30" s="4">
        <v>2</v>
      </c>
      <c r="KO30" s="4">
        <v>1</v>
      </c>
      <c r="KP30" s="4" t="s">
        <v>1167</v>
      </c>
      <c r="KQ30" s="4">
        <v>0</v>
      </c>
      <c r="KR30" s="4">
        <v>2</v>
      </c>
      <c r="KS30" s="4" t="s">
        <v>1168</v>
      </c>
      <c r="KT30" s="4">
        <v>2</v>
      </c>
      <c r="KU30" s="4">
        <v>1</v>
      </c>
      <c r="KV30" s="4" t="s">
        <v>1169</v>
      </c>
      <c r="KW30" s="4">
        <v>1</v>
      </c>
      <c r="KX30" s="4">
        <v>1</v>
      </c>
      <c r="KY30" s="4" t="s">
        <v>1170</v>
      </c>
      <c r="KZ30" s="4">
        <v>1</v>
      </c>
      <c r="LA30" s="4">
        <v>3</v>
      </c>
      <c r="LB30" s="4"/>
      <c r="LC30" s="4"/>
      <c r="LD30" s="4"/>
      <c r="LE30" s="4" t="s">
        <v>1171</v>
      </c>
      <c r="LF30" s="4">
        <v>0</v>
      </c>
      <c r="LG30" s="4">
        <v>1</v>
      </c>
      <c r="LH30" s="4" t="s">
        <v>1172</v>
      </c>
      <c r="LI30" s="4">
        <v>0</v>
      </c>
      <c r="LJ30" s="4">
        <v>1</v>
      </c>
      <c r="LK30" s="4"/>
      <c r="LL30" s="4"/>
      <c r="LM30" s="4"/>
      <c r="LN30" s="4" t="s">
        <v>1173</v>
      </c>
      <c r="LO30" s="4">
        <v>0</v>
      </c>
      <c r="LP30" s="4">
        <v>0</v>
      </c>
      <c r="LQ30" s="4" t="s">
        <v>1174</v>
      </c>
      <c r="LR30" s="4">
        <v>0</v>
      </c>
      <c r="LS30" s="4">
        <v>2</v>
      </c>
      <c r="LT30" s="4">
        <f>(Foglio1!$KE30+Foglio1!$KH30+Foglio1!$KK30+Foglio1!$KN30+Foglio1!$KQ30+Foglio1!$KT30+Foglio1!$KW30+Foglio1!$KZ30+Foglio1!$LC30+Foglio1!$LF30+Foglio1!$LI30+Foglio1!$LL30+Foglio1!$LO30+Foglio1!$LR30)</f>
        <v>6</v>
      </c>
      <c r="LU30" s="4">
        <f>(Foglio1!$KI30+Foglio1!$KF30+Foglio1!$KL30+Foglio1!$KO30+Foglio1!$KR30+Foglio1!$KU30+Foglio1!$KX30+Foglio1!$LA30+Foglio1!$LD30+Foglio1!$LG30+Foglio1!$LJ30+Foglio1!$LM30+Foglio1!$LP30+Foglio1!$LS30)</f>
        <v>15</v>
      </c>
      <c r="LV30" s="4">
        <v>20</v>
      </c>
      <c r="LW30" s="4" t="s">
        <v>355</v>
      </c>
      <c r="LX30" s="4" t="s">
        <v>355</v>
      </c>
      <c r="LY30" s="4" t="s">
        <v>355</v>
      </c>
      <c r="LZ30" s="3">
        <v>0</v>
      </c>
      <c r="MA30" s="3">
        <v>0</v>
      </c>
      <c r="MB30" s="3">
        <v>1</v>
      </c>
      <c r="MC30" s="3">
        <v>0</v>
      </c>
      <c r="MD30" s="3">
        <f t="shared" si="7"/>
        <v>1</v>
      </c>
      <c r="ME30" s="3">
        <v>0</v>
      </c>
      <c r="MF30" s="3">
        <v>0</v>
      </c>
      <c r="MG30" s="3">
        <v>0</v>
      </c>
      <c r="MH30" s="3">
        <v>0</v>
      </c>
      <c r="MI30" s="3">
        <f t="shared" si="8"/>
        <v>0</v>
      </c>
    </row>
    <row r="31" spans="1:347" ht="15.75" customHeight="1" x14ac:dyDescent="0.25">
      <c r="A31" s="4" t="s">
        <v>1175</v>
      </c>
      <c r="B31" s="4">
        <v>24</v>
      </c>
      <c r="C31" s="4" t="s">
        <v>349</v>
      </c>
      <c r="D31" s="4">
        <v>13</v>
      </c>
      <c r="E31" s="4">
        <v>1</v>
      </c>
      <c r="F31" s="4" t="s">
        <v>350</v>
      </c>
      <c r="G31" s="4" t="s">
        <v>351</v>
      </c>
      <c r="H31" s="4" t="s">
        <v>1176</v>
      </c>
      <c r="I31" s="4" t="s">
        <v>1177</v>
      </c>
      <c r="J31" s="4"/>
      <c r="K31" s="4"/>
      <c r="L31" s="5" t="s">
        <v>356</v>
      </c>
      <c r="M31" s="4" t="s">
        <v>357</v>
      </c>
      <c r="N31" s="4" t="s">
        <v>406</v>
      </c>
      <c r="O31" s="6">
        <v>45637</v>
      </c>
      <c r="P31" s="9">
        <v>45686</v>
      </c>
      <c r="Q31" s="4" t="s">
        <v>359</v>
      </c>
      <c r="R31" s="4"/>
      <c r="S31" s="4"/>
      <c r="T31" s="4"/>
      <c r="U31" s="4"/>
      <c r="V31" s="4"/>
      <c r="W31" s="4"/>
      <c r="X31" s="4"/>
      <c r="Y31" s="4"/>
      <c r="Z31" s="4"/>
      <c r="AA31" s="4"/>
      <c r="AB31" s="4"/>
      <c r="AC31" s="4"/>
      <c r="AD31" s="4"/>
      <c r="AE31" s="4"/>
      <c r="AF31" s="4"/>
      <c r="AG31" s="4"/>
      <c r="AH31" s="4" t="s">
        <v>1178</v>
      </c>
      <c r="AI31" s="4" t="s">
        <v>1179</v>
      </c>
      <c r="AJ31" s="4" t="s">
        <v>574</v>
      </c>
      <c r="AK31" s="4" t="s">
        <v>1180</v>
      </c>
      <c r="AL31" s="5" t="s">
        <v>356</v>
      </c>
      <c r="AM31" s="5" t="s">
        <v>356</v>
      </c>
      <c r="AN31" s="5" t="s">
        <v>356</v>
      </c>
      <c r="AO31" s="5" t="s">
        <v>356</v>
      </c>
      <c r="AP31" s="5" t="s">
        <v>356</v>
      </c>
      <c r="AQ31" s="5" t="s">
        <v>356</v>
      </c>
      <c r="AR31" s="5" t="s">
        <v>356</v>
      </c>
      <c r="AS31" s="5" t="s">
        <v>356</v>
      </c>
      <c r="AT31" s="5" t="s">
        <v>356</v>
      </c>
      <c r="AU31" s="5" t="s">
        <v>356</v>
      </c>
      <c r="AV31" s="5" t="s">
        <v>356</v>
      </c>
      <c r="AW31" s="5" t="s">
        <v>356</v>
      </c>
      <c r="AX31" s="4">
        <v>2</v>
      </c>
      <c r="AY31" s="4"/>
      <c r="AZ31" s="4" t="s">
        <v>409</v>
      </c>
      <c r="BA31" s="4">
        <f t="shared" si="9"/>
        <v>49</v>
      </c>
      <c r="BB31" s="4"/>
      <c r="BC31" s="4" t="s">
        <v>409</v>
      </c>
      <c r="BD31" s="4"/>
      <c r="BE31" s="4"/>
      <c r="BF31" s="4"/>
      <c r="BG31" s="6">
        <v>45665</v>
      </c>
      <c r="BH31" s="4">
        <v>3</v>
      </c>
      <c r="BI31" s="4">
        <v>1</v>
      </c>
      <c r="BJ31" s="4">
        <v>4</v>
      </c>
      <c r="BK31" s="4">
        <v>4</v>
      </c>
      <c r="BL31" s="4">
        <v>3</v>
      </c>
      <c r="BM31" s="4">
        <v>4</v>
      </c>
      <c r="BN31" s="4">
        <v>3</v>
      </c>
      <c r="BO31" s="4">
        <f>SUM(Foglio1!$BH31:$BM31)</f>
        <v>19</v>
      </c>
      <c r="BP31" s="4">
        <v>5</v>
      </c>
      <c r="BQ31" s="4">
        <v>0</v>
      </c>
      <c r="BR31" s="4">
        <v>0</v>
      </c>
      <c r="BS31" s="4">
        <v>21</v>
      </c>
      <c r="BT31" s="4">
        <v>5</v>
      </c>
      <c r="BU31" s="4">
        <v>5</v>
      </c>
      <c r="BV31" s="4">
        <v>1</v>
      </c>
      <c r="BW31" s="4">
        <v>1</v>
      </c>
      <c r="BX31" s="4">
        <v>2</v>
      </c>
      <c r="BY31" s="4">
        <v>3</v>
      </c>
      <c r="BZ31" s="4">
        <v>3</v>
      </c>
      <c r="CA31" s="4">
        <v>3</v>
      </c>
      <c r="CB31" s="4">
        <v>4</v>
      </c>
      <c r="CC31" s="4">
        <v>4</v>
      </c>
      <c r="CD31" s="4">
        <v>6</v>
      </c>
      <c r="CE31" s="4">
        <v>3</v>
      </c>
      <c r="CF31" s="4">
        <v>4</v>
      </c>
      <c r="CG31" s="4">
        <v>2</v>
      </c>
      <c r="CH31" s="4">
        <v>1</v>
      </c>
      <c r="CI31" s="4">
        <v>1</v>
      </c>
      <c r="CJ31" s="4">
        <v>1</v>
      </c>
      <c r="CK31" s="4">
        <v>1</v>
      </c>
      <c r="CL31" s="4">
        <v>1</v>
      </c>
      <c r="CM31" s="4">
        <v>2</v>
      </c>
      <c r="CN31" s="4">
        <v>1</v>
      </c>
      <c r="CO31" s="4">
        <v>3</v>
      </c>
      <c r="CP31" s="4">
        <v>4</v>
      </c>
      <c r="CQ31" s="4">
        <v>4</v>
      </c>
      <c r="CR31" s="4">
        <v>3</v>
      </c>
      <c r="CS31" s="4">
        <v>4</v>
      </c>
      <c r="CT31" s="4">
        <v>4</v>
      </c>
      <c r="CU31" s="4">
        <v>3</v>
      </c>
      <c r="CV31" s="4">
        <v>1</v>
      </c>
      <c r="CW31" s="4">
        <v>5</v>
      </c>
      <c r="CX31" s="4">
        <f>SUM(Foglio1!$BT31:$CW31)</f>
        <v>85</v>
      </c>
      <c r="CY31" s="4">
        <f>SUM(Foglio1!$BT31+Foglio1!$BV31+Foglio1!$CP31+Foglio1!$BY31+Foglio1!$BX31+Foglio1!$CH31+Foglio1!$CS31+Foglio1!$CW31-Foglio1!$CE31)</f>
        <v>22</v>
      </c>
      <c r="CZ31" s="4">
        <f>SUM(Foglio1!$CF31+Foglio1!$CA31+Foglio1!$CB31+Foglio1!$CD31+Foglio1!$CN31+Foglio1!$CC31+Foglio1!$CW31+Foglio1!$CO31+Foglio1!$CT31-Foglio1!$BU31)</f>
        <v>29</v>
      </c>
      <c r="DA31" s="4">
        <f>SUM(Foglio1!$CG31+Foglio1!$CR31+Foglio1!$CQ31+Foglio1!$BU31+Foglio1!$CE31+Foglio1!$CL31+Foglio1!$CS31+Foglio1!$CT31+Foglio1!$CV31+Foglio1!$CP31)</f>
        <v>31</v>
      </c>
      <c r="DB31" s="4">
        <f>SUM(Foglio1!$CU31+Foglio1!$BW31+Foglio1!$BZ31+Foglio1!$CO31+Foglio1!$BX31+Foglio1!$CC31+Foglio1!$CK31+Foglio1!$CW31)</f>
        <v>22</v>
      </c>
      <c r="DC31" s="4">
        <f>SUM(Foglio1!$CI31+Foglio1!$CM31+Foglio1!$CJ31+Foglio1!$CK31+Foglio1!$BY31+Foglio1!$CH31+Foglio1!$CV31+Foglio1!$CW31)</f>
        <v>15</v>
      </c>
      <c r="DD31" s="4">
        <v>0</v>
      </c>
      <c r="DE31" s="4">
        <v>4</v>
      </c>
      <c r="DF31" s="4">
        <v>4</v>
      </c>
      <c r="DG31" s="4">
        <v>2</v>
      </c>
      <c r="DH31" s="4">
        <v>1</v>
      </c>
      <c r="DI31" s="4">
        <v>1</v>
      </c>
      <c r="DJ31" s="4">
        <v>0</v>
      </c>
      <c r="DK31" s="4">
        <v>2</v>
      </c>
      <c r="DL31" s="4">
        <v>0</v>
      </c>
      <c r="DM31" s="4">
        <v>0</v>
      </c>
      <c r="DN31" s="4">
        <v>0</v>
      </c>
      <c r="DO31" s="4">
        <v>0</v>
      </c>
      <c r="DP31" s="4">
        <v>0</v>
      </c>
      <c r="DQ31" s="4">
        <v>0</v>
      </c>
      <c r="DR31" s="4">
        <v>0</v>
      </c>
      <c r="DS31" s="4">
        <v>0</v>
      </c>
      <c r="DT31" s="4">
        <v>2</v>
      </c>
      <c r="DU31" s="4">
        <v>1</v>
      </c>
      <c r="DV31" s="4">
        <v>3</v>
      </c>
      <c r="DW31" s="4">
        <v>2</v>
      </c>
      <c r="DX31" s="4">
        <v>0</v>
      </c>
      <c r="DY31" s="4" t="s">
        <v>359</v>
      </c>
      <c r="DZ31" s="4" t="s">
        <v>359</v>
      </c>
      <c r="EA31" s="4" t="s">
        <v>359</v>
      </c>
      <c r="EB31" s="4" t="s">
        <v>359</v>
      </c>
      <c r="EC31" s="4" t="s">
        <v>359</v>
      </c>
      <c r="ED31" s="4" t="s">
        <v>359</v>
      </c>
      <c r="EE31" s="4" t="s">
        <v>359</v>
      </c>
      <c r="EF31" s="4" t="s">
        <v>359</v>
      </c>
      <c r="EG31" s="4" t="s">
        <v>359</v>
      </c>
      <c r="EH31" s="4">
        <f>(Foglio1!$DE31+Foglio1!$DH31+Foglio1!$DG31+Foglio1!$DF31+Foglio1!$DM31+Foglio1!$DD31+Foglio1!$DO31+Foglio1!$DL31+Foglio1!$DN31+Foglio1!$DQ31+Foglio1!$DP31+Foglio1!$DT31+Foglio1!$DI31+Foglio1!$DK31+Foglio1!$DU31)</f>
        <v>17</v>
      </c>
      <c r="EI31" s="4" t="e">
        <f>(Foglio1!$EA31+Foglio1!$EB31+Foglio1!$EE31+Foglio1!$EC31+Foglio1!$ED31+Foglio1!$DZ31+Foglio1!$DY31)</f>
        <v>#VALUE!</v>
      </c>
      <c r="EJ31" s="4">
        <f>(Foglio1!$DW31+Foglio1!$DV31+Foglio1!$DX31)</f>
        <v>5</v>
      </c>
      <c r="EK31" s="4" t="e">
        <f>(Foglio1!$EG31+Foglio1!$EF31)</f>
        <v>#VALUE!</v>
      </c>
      <c r="EL31" s="4">
        <v>1</v>
      </c>
      <c r="EM31" s="4">
        <v>0</v>
      </c>
      <c r="EN31" s="4">
        <v>1</v>
      </c>
      <c r="EO31" s="4">
        <v>1</v>
      </c>
      <c r="EP31" s="4">
        <f t="array" ref="EP31">SUM(EL31:EO31/4)</f>
        <v>0.75</v>
      </c>
      <c r="EQ31" s="4">
        <v>1</v>
      </c>
      <c r="ER31" s="4">
        <v>0</v>
      </c>
      <c r="ES31" s="4">
        <v>0</v>
      </c>
      <c r="ET31" s="4">
        <v>1</v>
      </c>
      <c r="EU31" s="4" t="s">
        <v>1181</v>
      </c>
      <c r="EV31" s="4">
        <v>1</v>
      </c>
      <c r="EW31" s="4" t="s">
        <v>1182</v>
      </c>
      <c r="EX31" s="4">
        <v>0</v>
      </c>
      <c r="EY31" s="4">
        <f>(Foglio1!$EQ31+Foglio1!$ER31+Foglio1!$ES31+Foglio1!$ET31+Foglio1!$EV31+Foglio1!$EX31)/6</f>
        <v>0.5</v>
      </c>
      <c r="EZ31" s="4">
        <v>1</v>
      </c>
      <c r="FA31" s="4">
        <v>1</v>
      </c>
      <c r="FB31" s="4">
        <v>1</v>
      </c>
      <c r="FC31" s="4">
        <f>(Foglio1!$EZ31+Foglio1!$FA31+Foglio1!$FB31)/3</f>
        <v>1</v>
      </c>
      <c r="FD31" s="4">
        <v>0</v>
      </c>
      <c r="FE31" s="4">
        <v>1</v>
      </c>
      <c r="FF31" s="4">
        <f>(Foglio1!$FD31+Foglio1!$FE31)/2</f>
        <v>0.5</v>
      </c>
      <c r="FG31" s="4" t="s">
        <v>1183</v>
      </c>
      <c r="FH31" s="4">
        <v>0</v>
      </c>
      <c r="FI31" s="4" t="s">
        <v>1184</v>
      </c>
      <c r="FJ31" s="4">
        <v>1</v>
      </c>
      <c r="FK31" s="4" t="s">
        <v>1185</v>
      </c>
      <c r="FL31" s="4">
        <v>1</v>
      </c>
      <c r="FM31" s="4">
        <f>(Foglio1!$FH31+Foglio1!$FJ31+Foglio1!$FL31)/3</f>
        <v>0.66666666666666663</v>
      </c>
      <c r="FN31" s="4">
        <f>(Foglio1!$EP31)</f>
        <v>0.75</v>
      </c>
      <c r="FO31" s="4">
        <f>(Foglio1!$EY31+Foglio1!$FC31+Foglio1!$FF31+Foglio1!$FM31)/4</f>
        <v>0.66666666666666663</v>
      </c>
      <c r="FP31" s="4">
        <f>(Foglio1!$EP31+Foglio1!$EY31+Foglio1!$FC31+Foglio1!$FF31+Foglio1!$FM31)/5</f>
        <v>0.68333333333333335</v>
      </c>
      <c r="FQ31" s="6">
        <v>45681</v>
      </c>
      <c r="FR31" s="4">
        <v>1</v>
      </c>
      <c r="FS31" s="4">
        <v>1</v>
      </c>
      <c r="FT31" s="4">
        <v>1</v>
      </c>
      <c r="FU31" s="4">
        <v>0</v>
      </c>
      <c r="FV31" s="4">
        <v>1</v>
      </c>
      <c r="FW31" s="4">
        <v>1</v>
      </c>
      <c r="FX31" s="4">
        <v>1</v>
      </c>
      <c r="FY31" s="4">
        <v>3</v>
      </c>
      <c r="FZ31" s="4">
        <v>2</v>
      </c>
      <c r="GA31" s="4">
        <v>2</v>
      </c>
      <c r="GB31" s="4">
        <v>51</v>
      </c>
      <c r="GC31" s="4">
        <v>2</v>
      </c>
      <c r="GD31" s="4">
        <v>3</v>
      </c>
      <c r="GE31" s="4">
        <v>0</v>
      </c>
      <c r="GF31" s="4">
        <v>0</v>
      </c>
      <c r="GG31" s="4">
        <v>0</v>
      </c>
      <c r="GH31" s="4">
        <v>1</v>
      </c>
      <c r="GI31" s="4">
        <v>0</v>
      </c>
      <c r="GJ31" s="4">
        <v>2</v>
      </c>
      <c r="GK31" s="4">
        <v>2</v>
      </c>
      <c r="GL31" s="4">
        <v>2</v>
      </c>
      <c r="GM31" s="4">
        <v>3</v>
      </c>
      <c r="GN31" s="4">
        <v>2</v>
      </c>
      <c r="GO31" s="4">
        <v>2</v>
      </c>
      <c r="GP31" s="4">
        <v>1</v>
      </c>
      <c r="GQ31" s="4">
        <v>1</v>
      </c>
      <c r="GR31" s="4">
        <v>0</v>
      </c>
      <c r="GS31" s="4">
        <v>0</v>
      </c>
      <c r="GT31" s="4">
        <v>0</v>
      </c>
      <c r="GU31" s="4">
        <v>0</v>
      </c>
      <c r="GV31" s="4">
        <v>1</v>
      </c>
      <c r="GW31" s="4">
        <v>1</v>
      </c>
      <c r="GX31" s="4">
        <v>0</v>
      </c>
      <c r="GY31" s="4">
        <v>2</v>
      </c>
      <c r="GZ31" s="4">
        <v>0</v>
      </c>
      <c r="HA31" s="4">
        <v>1</v>
      </c>
      <c r="HB31" s="4">
        <v>0</v>
      </c>
      <c r="HC31" s="4">
        <v>0</v>
      </c>
      <c r="HD31" s="4">
        <v>0</v>
      </c>
      <c r="HE31" s="4">
        <v>1</v>
      </c>
      <c r="HF31" s="4">
        <v>2</v>
      </c>
      <c r="HG31" s="4">
        <f t="shared" si="24"/>
        <v>29</v>
      </c>
      <c r="HH31" s="4">
        <f t="shared" si="25"/>
        <v>6</v>
      </c>
      <c r="HI31" s="4">
        <f t="shared" si="26"/>
        <v>11</v>
      </c>
      <c r="HJ31" s="4">
        <f t="shared" si="27"/>
        <v>10</v>
      </c>
      <c r="HK31" s="4">
        <f t="shared" si="28"/>
        <v>4</v>
      </c>
      <c r="HL31" s="4">
        <f t="shared" si="29"/>
        <v>6</v>
      </c>
      <c r="HM31" s="4">
        <v>1</v>
      </c>
      <c r="HN31" s="4">
        <v>3</v>
      </c>
      <c r="HO31" s="4">
        <v>0</v>
      </c>
      <c r="HP31" s="4">
        <v>2</v>
      </c>
      <c r="HQ31" s="4">
        <v>0</v>
      </c>
      <c r="HR31" s="4">
        <v>0</v>
      </c>
      <c r="HS31" s="4">
        <v>0</v>
      </c>
      <c r="HT31" s="4">
        <v>0</v>
      </c>
      <c r="HU31" s="4">
        <v>0</v>
      </c>
      <c r="HV31" s="4">
        <v>0</v>
      </c>
      <c r="HW31" s="4">
        <v>0</v>
      </c>
      <c r="HX31" s="4">
        <v>0</v>
      </c>
      <c r="HY31" s="4">
        <v>0</v>
      </c>
      <c r="HZ31" s="4">
        <v>0</v>
      </c>
      <c r="IA31" s="4">
        <v>0</v>
      </c>
      <c r="IB31" s="4">
        <v>0</v>
      </c>
      <c r="IC31" s="4">
        <v>2</v>
      </c>
      <c r="ID31" s="4">
        <v>0</v>
      </c>
      <c r="IE31" s="4">
        <v>3</v>
      </c>
      <c r="IF31" s="4">
        <v>3</v>
      </c>
      <c r="IG31" s="4">
        <v>1</v>
      </c>
      <c r="IH31" s="4">
        <v>2</v>
      </c>
      <c r="II31" s="4">
        <v>3</v>
      </c>
      <c r="IJ31" s="4">
        <v>4</v>
      </c>
      <c r="IK31" s="4">
        <v>0</v>
      </c>
      <c r="IL31" s="4">
        <v>2</v>
      </c>
      <c r="IM31" s="4">
        <v>2</v>
      </c>
      <c r="IN31" s="4">
        <v>4</v>
      </c>
      <c r="IO31" s="4">
        <v>0</v>
      </c>
      <c r="IP31" s="4">
        <v>3</v>
      </c>
      <c r="IQ31" s="4">
        <f t="shared" si="34"/>
        <v>8</v>
      </c>
      <c r="IR31" s="4">
        <f t="shared" si="35"/>
        <v>17</v>
      </c>
      <c r="IS31" s="4">
        <f t="shared" si="36"/>
        <v>7</v>
      </c>
      <c r="IT31" s="4">
        <f t="shared" si="37"/>
        <v>3</v>
      </c>
      <c r="IU31" s="4" t="s">
        <v>383</v>
      </c>
      <c r="IV31" s="4" t="s">
        <v>383</v>
      </c>
      <c r="IW31" s="4" t="s">
        <v>383</v>
      </c>
      <c r="IX31" s="4" t="s">
        <v>383</v>
      </c>
      <c r="IY31" s="4"/>
      <c r="IZ31" s="4"/>
      <c r="JA31" s="4"/>
      <c r="JB31" s="4"/>
      <c r="JC31" s="4">
        <f>(Foglio1!$IY31+Foglio1!$IZ31+Foglio1!$JA31+Foglio1!$JB31)/4</f>
        <v>0</v>
      </c>
      <c r="JD31" s="4">
        <v>1</v>
      </c>
      <c r="JE31" s="4">
        <v>1</v>
      </c>
      <c r="JF31" s="4">
        <v>1</v>
      </c>
      <c r="JG31" s="4">
        <v>1</v>
      </c>
      <c r="JH31" s="4" t="s">
        <v>1186</v>
      </c>
      <c r="JI31" s="4">
        <v>0</v>
      </c>
      <c r="JJ31" s="4" t="s">
        <v>1187</v>
      </c>
      <c r="JK31" s="4">
        <v>0</v>
      </c>
      <c r="JL31" s="4">
        <f>(Foglio1!$JD31+Foglio1!$JE31+Foglio1!$JF31+Foglio1!$JG31+Foglio1!$JI31+Foglio1!$JK31)/6</f>
        <v>0.66666666666666663</v>
      </c>
      <c r="JM31" s="4">
        <v>1</v>
      </c>
      <c r="JN31" s="4">
        <v>1</v>
      </c>
      <c r="JO31" s="4">
        <v>1</v>
      </c>
      <c r="JP31" s="4">
        <f>(Foglio1!$JM31+Foglio1!$JN31+Foglio1!$JO31)/3</f>
        <v>1</v>
      </c>
      <c r="JQ31" s="4">
        <v>0</v>
      </c>
      <c r="JR31" s="4">
        <v>0</v>
      </c>
      <c r="JS31" s="4">
        <f>(Foglio1!$JQ31+Foglio1!$JR31)/2</f>
        <v>0</v>
      </c>
      <c r="JT31" s="4" t="s">
        <v>1188</v>
      </c>
      <c r="JU31" s="4">
        <v>0</v>
      </c>
      <c r="JV31" s="4" t="s">
        <v>1189</v>
      </c>
      <c r="JW31" s="4">
        <v>1</v>
      </c>
      <c r="JX31" s="4" t="s">
        <v>1190</v>
      </c>
      <c r="JY31" s="4">
        <v>1</v>
      </c>
      <c r="JZ31" s="4">
        <f>(Foglio1!$JU31+Foglio1!$JW31+Foglio1!$JY31)/3</f>
        <v>0.66666666666666663</v>
      </c>
      <c r="KA31" s="4">
        <f>(Foglio1!$JC31)</f>
        <v>0</v>
      </c>
      <c r="KB31" s="4">
        <f>(Foglio1!$JL31+Foglio1!$JP31+Foglio1!$JS31+Foglio1!$JZ31)/4</f>
        <v>0.58333333333333326</v>
      </c>
      <c r="KC31" s="4">
        <f>(Foglio1!$JC31+Foglio1!$JL31+Foglio1!$JP31+Foglio1!$JS31+Foglio1!$JZ31)/5</f>
        <v>0.46666666666666662</v>
      </c>
      <c r="KD31" s="4" t="s">
        <v>1191</v>
      </c>
      <c r="KE31" s="4">
        <v>0</v>
      </c>
      <c r="KF31" s="4">
        <v>2</v>
      </c>
      <c r="KG31" s="4" t="s">
        <v>1192</v>
      </c>
      <c r="KH31" s="4">
        <v>0</v>
      </c>
      <c r="KI31" s="4">
        <v>2</v>
      </c>
      <c r="KJ31" s="4" t="s">
        <v>1193</v>
      </c>
      <c r="KK31" s="4">
        <v>2</v>
      </c>
      <c r="KL31" s="4">
        <v>3</v>
      </c>
      <c r="KM31" s="4" t="s">
        <v>1194</v>
      </c>
      <c r="KN31" s="4">
        <v>1</v>
      </c>
      <c r="KO31" s="4">
        <v>2</v>
      </c>
      <c r="KP31" s="4" t="s">
        <v>1195</v>
      </c>
      <c r="KQ31" s="4">
        <v>1</v>
      </c>
      <c r="KR31" s="4">
        <v>2</v>
      </c>
      <c r="KS31" s="4" t="s">
        <v>1196</v>
      </c>
      <c r="KT31" s="4">
        <v>2</v>
      </c>
      <c r="KU31" s="4">
        <v>1</v>
      </c>
      <c r="KV31" s="4" t="s">
        <v>1197</v>
      </c>
      <c r="KW31" s="4">
        <v>0</v>
      </c>
      <c r="KX31" s="4">
        <v>1</v>
      </c>
      <c r="KY31" s="4" t="s">
        <v>1198</v>
      </c>
      <c r="KZ31" s="4">
        <v>0</v>
      </c>
      <c r="LA31" s="4">
        <v>2</v>
      </c>
      <c r="LB31" s="4"/>
      <c r="LC31" s="4"/>
      <c r="LD31" s="4"/>
      <c r="LE31" s="4" t="s">
        <v>1199</v>
      </c>
      <c r="LF31" s="4">
        <v>1</v>
      </c>
      <c r="LG31" s="4">
        <v>2</v>
      </c>
      <c r="LH31" s="4" t="s">
        <v>1200</v>
      </c>
      <c r="LI31" s="4">
        <v>0</v>
      </c>
      <c r="LJ31" s="4">
        <v>2</v>
      </c>
      <c r="LK31" s="4" t="s">
        <v>1201</v>
      </c>
      <c r="LL31" s="4">
        <v>0</v>
      </c>
      <c r="LM31" s="4">
        <v>2</v>
      </c>
      <c r="LN31" s="4" t="s">
        <v>1202</v>
      </c>
      <c r="LO31" s="4">
        <v>1</v>
      </c>
      <c r="LP31" s="4">
        <v>1</v>
      </c>
      <c r="LQ31" s="4" t="s">
        <v>1203</v>
      </c>
      <c r="LR31" s="4">
        <v>0</v>
      </c>
      <c r="LS31" s="4">
        <v>3</v>
      </c>
      <c r="LT31" s="4">
        <f>(Foglio1!$KE31+Foglio1!$KH31+Foglio1!$KK31+Foglio1!$KN31+Foglio1!$KQ31+Foglio1!$KT31+Foglio1!$KW31+Foglio1!$KZ31+Foglio1!$LC31+Foglio1!$LF31+Foglio1!$LI31+Foglio1!$LL31+Foglio1!$LO31+Foglio1!$LR31)</f>
        <v>8</v>
      </c>
      <c r="LU31" s="4">
        <f>(Foglio1!$KI31+Foglio1!$KF31+Foglio1!$KL31+Foglio1!$KO31+Foglio1!$KR31+Foglio1!$KU31+Foglio1!$KX31+Foglio1!$LA31+Foglio1!$LD31+Foglio1!$LG31+Foglio1!$LJ31+Foglio1!$LM31+Foglio1!$LP31+Foglio1!$LS31)</f>
        <v>25</v>
      </c>
      <c r="LV31" s="4">
        <v>32</v>
      </c>
      <c r="LW31" s="4">
        <v>39</v>
      </c>
      <c r="LX31" s="4">
        <v>18</v>
      </c>
      <c r="LY31" s="4">
        <v>24</v>
      </c>
      <c r="LZ31" s="3">
        <v>0</v>
      </c>
      <c r="MA31" s="3">
        <v>1</v>
      </c>
      <c r="MB31" s="3">
        <v>3</v>
      </c>
      <c r="MC31" s="3">
        <v>1</v>
      </c>
      <c r="MD31" s="3">
        <f t="shared" si="7"/>
        <v>5</v>
      </c>
      <c r="ME31" s="3">
        <v>0</v>
      </c>
      <c r="MF31" s="3">
        <v>0</v>
      </c>
      <c r="MG31" s="3">
        <v>0</v>
      </c>
      <c r="MH31" s="3">
        <v>0</v>
      </c>
      <c r="MI31" s="3">
        <f t="shared" si="8"/>
        <v>0</v>
      </c>
    </row>
    <row r="32" spans="1:347" ht="15.75" customHeight="1" x14ac:dyDescent="0.25">
      <c r="A32" s="4" t="s">
        <v>1204</v>
      </c>
      <c r="B32" s="4">
        <v>31</v>
      </c>
      <c r="C32" s="4" t="s">
        <v>349</v>
      </c>
      <c r="D32" s="4">
        <v>13</v>
      </c>
      <c r="E32" s="4">
        <v>1</v>
      </c>
      <c r="F32" s="4" t="s">
        <v>350</v>
      </c>
      <c r="G32" s="4" t="s">
        <v>404</v>
      </c>
      <c r="H32" s="4" t="s">
        <v>1205</v>
      </c>
      <c r="I32" s="4" t="s">
        <v>1206</v>
      </c>
      <c r="J32" s="4"/>
      <c r="K32" s="4"/>
      <c r="L32" s="5" t="s">
        <v>356</v>
      </c>
      <c r="M32" s="4" t="s">
        <v>357</v>
      </c>
      <c r="N32" s="4" t="s">
        <v>358</v>
      </c>
      <c r="O32" s="9">
        <v>45671</v>
      </c>
      <c r="P32" s="9">
        <v>45687</v>
      </c>
      <c r="Q32" s="4" t="s">
        <v>1207</v>
      </c>
      <c r="R32" s="4"/>
      <c r="S32" s="4"/>
      <c r="T32" s="4"/>
      <c r="U32" s="4"/>
      <c r="V32" s="4"/>
      <c r="W32" s="4"/>
      <c r="X32" s="4"/>
      <c r="Y32" s="4"/>
      <c r="Z32" s="4"/>
      <c r="AA32" s="4"/>
      <c r="AB32" s="4"/>
      <c r="AC32" s="4"/>
      <c r="AD32" s="4"/>
      <c r="AE32" s="4"/>
      <c r="AF32" s="4"/>
      <c r="AG32" s="4"/>
      <c r="AH32" s="4" t="s">
        <v>1208</v>
      </c>
      <c r="AI32" s="4" t="s">
        <v>1209</v>
      </c>
      <c r="AJ32" s="4" t="s">
        <v>1210</v>
      </c>
      <c r="AK32" s="4" t="s">
        <v>1211</v>
      </c>
      <c r="AL32" s="4" t="s">
        <v>703</v>
      </c>
      <c r="AM32" s="4" t="s">
        <v>645</v>
      </c>
      <c r="AN32" s="5" t="s">
        <v>356</v>
      </c>
      <c r="AO32" s="5" t="s">
        <v>356</v>
      </c>
      <c r="AP32" s="5" t="s">
        <v>356</v>
      </c>
      <c r="AQ32" s="5" t="s">
        <v>356</v>
      </c>
      <c r="AR32" s="5" t="s">
        <v>356</v>
      </c>
      <c r="AS32" s="5" t="s">
        <v>356</v>
      </c>
      <c r="AT32" s="5" t="s">
        <v>356</v>
      </c>
      <c r="AU32" s="5" t="s">
        <v>356</v>
      </c>
      <c r="AV32" s="5" t="s">
        <v>356</v>
      </c>
      <c r="AW32" s="5" t="s">
        <v>356</v>
      </c>
      <c r="AX32" s="4">
        <v>3</v>
      </c>
      <c r="AY32" s="4"/>
      <c r="AZ32" s="4" t="s">
        <v>360</v>
      </c>
      <c r="BA32" s="4">
        <f t="shared" si="9"/>
        <v>16</v>
      </c>
      <c r="BB32" s="4"/>
      <c r="BC32" s="4"/>
      <c r="BD32" s="4"/>
      <c r="BE32" s="4"/>
      <c r="BF32" s="4"/>
      <c r="BG32" s="6">
        <v>45678</v>
      </c>
      <c r="BH32" s="4">
        <v>4</v>
      </c>
      <c r="BI32" s="4">
        <v>1</v>
      </c>
      <c r="BJ32" s="4">
        <v>4</v>
      </c>
      <c r="BK32" s="4">
        <v>4</v>
      </c>
      <c r="BL32" s="4">
        <v>4</v>
      </c>
      <c r="BM32" s="4">
        <v>4</v>
      </c>
      <c r="BN32" s="4">
        <v>4</v>
      </c>
      <c r="BO32" s="4">
        <f>SUM(Foglio1!$BH32:$BM32)</f>
        <v>21</v>
      </c>
      <c r="BP32" s="4">
        <v>5</v>
      </c>
      <c r="BQ32" s="4">
        <v>0</v>
      </c>
      <c r="BR32" s="4">
        <v>0</v>
      </c>
      <c r="BS32" s="4">
        <v>51</v>
      </c>
      <c r="BT32" s="4">
        <v>5</v>
      </c>
      <c r="BU32" s="4">
        <v>5</v>
      </c>
      <c r="BV32" s="4">
        <v>1</v>
      </c>
      <c r="BW32" s="4">
        <v>1</v>
      </c>
      <c r="BX32" s="4">
        <v>3</v>
      </c>
      <c r="BY32" s="4">
        <v>5</v>
      </c>
      <c r="BZ32" s="4">
        <v>4</v>
      </c>
      <c r="CA32" s="4">
        <v>4</v>
      </c>
      <c r="CB32" s="4">
        <v>4</v>
      </c>
      <c r="CC32" s="4">
        <v>4</v>
      </c>
      <c r="CD32" s="4">
        <v>4</v>
      </c>
      <c r="CE32" s="4">
        <v>5</v>
      </c>
      <c r="CF32" s="4">
        <v>4</v>
      </c>
      <c r="CG32" s="4">
        <v>3</v>
      </c>
      <c r="CH32" s="4">
        <v>1</v>
      </c>
      <c r="CI32" s="4">
        <v>3</v>
      </c>
      <c r="CJ32" s="4">
        <v>2</v>
      </c>
      <c r="CK32" s="4">
        <v>3</v>
      </c>
      <c r="CL32" s="4">
        <v>1</v>
      </c>
      <c r="CM32" s="4">
        <v>2</v>
      </c>
      <c r="CN32" s="4">
        <v>2</v>
      </c>
      <c r="CO32" s="4">
        <v>4</v>
      </c>
      <c r="CP32" s="4">
        <v>5</v>
      </c>
      <c r="CQ32" s="4">
        <v>2</v>
      </c>
      <c r="CR32" s="4">
        <v>2</v>
      </c>
      <c r="CS32" s="4">
        <v>5</v>
      </c>
      <c r="CT32" s="4">
        <v>3</v>
      </c>
      <c r="CU32" s="4">
        <v>3</v>
      </c>
      <c r="CV32" s="4">
        <v>4</v>
      </c>
      <c r="CW32" s="4">
        <v>4</v>
      </c>
      <c r="CX32" s="4">
        <f>SUM(Foglio1!$BT32:$CW32)</f>
        <v>98</v>
      </c>
      <c r="CY32" s="4">
        <f>SUM(Foglio1!$BT32+Foglio1!$BV32+Foglio1!$CP32+Foglio1!$BY32+Foglio1!$BX32+Foglio1!$CH32+Foglio1!$CS32+Foglio1!$CW32-Foglio1!$CE32)</f>
        <v>24</v>
      </c>
      <c r="CZ32" s="4">
        <f>SUM(Foglio1!$CF32+Foglio1!$CA32+Foglio1!$CB32+Foglio1!$CD32+Foglio1!$CN32+Foglio1!$CC32+Foglio1!$CW32+Foglio1!$CO32+Foglio1!$CT32-Foglio1!$BU32)</f>
        <v>28</v>
      </c>
      <c r="DA32" s="4">
        <f>SUM(Foglio1!$CG32+Foglio1!$CR32+Foglio1!$CQ32+Foglio1!$BU32+Foglio1!$CE32+Foglio1!$CL32+Foglio1!$CS32+Foglio1!$CT32+Foglio1!$CV32+Foglio1!$CP32)</f>
        <v>35</v>
      </c>
      <c r="DB32" s="4">
        <f>SUM(Foglio1!$CU32+Foglio1!$BW32+Foglio1!$BZ32+Foglio1!$CO32+Foglio1!$BX32+Foglio1!$CC32+Foglio1!$CK32+Foglio1!$CW32)</f>
        <v>26</v>
      </c>
      <c r="DC32" s="4">
        <f>SUM(Foglio1!$CI32+Foglio1!$CM32+Foglio1!$CJ32+Foglio1!$CK32+Foglio1!$BY32+Foglio1!$CH32+Foglio1!$CV32+Foglio1!$CW32)</f>
        <v>24</v>
      </c>
      <c r="DD32" s="4">
        <v>0</v>
      </c>
      <c r="DE32" s="4">
        <v>0</v>
      </c>
      <c r="DF32" s="4">
        <v>0</v>
      </c>
      <c r="DG32" s="4">
        <v>0</v>
      </c>
      <c r="DH32" s="4">
        <v>0</v>
      </c>
      <c r="DI32" s="4">
        <v>0</v>
      </c>
      <c r="DJ32" s="4">
        <v>0</v>
      </c>
      <c r="DK32" s="4">
        <v>2</v>
      </c>
      <c r="DL32" s="4">
        <v>0</v>
      </c>
      <c r="DM32" s="4">
        <v>0</v>
      </c>
      <c r="DN32" s="4">
        <v>0</v>
      </c>
      <c r="DO32" s="4">
        <v>0</v>
      </c>
      <c r="DP32" s="4">
        <v>0</v>
      </c>
      <c r="DQ32" s="4">
        <v>0</v>
      </c>
      <c r="DR32" s="4">
        <v>0</v>
      </c>
      <c r="DS32" s="4">
        <v>0</v>
      </c>
      <c r="DT32" s="4">
        <v>0</v>
      </c>
      <c r="DU32" s="4">
        <v>0</v>
      </c>
      <c r="DV32" s="4">
        <v>3</v>
      </c>
      <c r="DW32" s="4">
        <v>1</v>
      </c>
      <c r="DX32" s="4">
        <v>1</v>
      </c>
      <c r="DY32" s="4">
        <v>3</v>
      </c>
      <c r="DZ32" s="4">
        <v>2</v>
      </c>
      <c r="EA32" s="4">
        <v>3</v>
      </c>
      <c r="EB32" s="4">
        <v>2</v>
      </c>
      <c r="EC32" s="4">
        <v>2</v>
      </c>
      <c r="ED32" s="4">
        <v>2</v>
      </c>
      <c r="EE32" s="4">
        <v>2</v>
      </c>
      <c r="EF32" s="4">
        <v>3</v>
      </c>
      <c r="EG32" s="4">
        <v>2</v>
      </c>
      <c r="EH32" s="4">
        <f>(Foglio1!$DE32+Foglio1!$DH32+Foglio1!$DG32+Foglio1!$DF32+Foglio1!$DM32+Foglio1!$DD32+Foglio1!$DO32+Foglio1!$DL32+Foglio1!$DN32+Foglio1!$DQ32+Foglio1!$DP32+Foglio1!$DT32+Foglio1!$DI32+Foglio1!$DK32+Foglio1!$DU32)</f>
        <v>2</v>
      </c>
      <c r="EI32" s="4">
        <f>(Foglio1!$EA32+Foglio1!$EB32+Foglio1!$EE32+Foglio1!$EC32+Foglio1!$ED32+Foglio1!$DZ32+Foglio1!$DY32)</f>
        <v>16</v>
      </c>
      <c r="EJ32" s="4">
        <f>(Foglio1!$DW32+Foglio1!$DV32+Foglio1!$DX32)</f>
        <v>5</v>
      </c>
      <c r="EK32" s="4">
        <f>(Foglio1!$EG32+Foglio1!$EF32)</f>
        <v>5</v>
      </c>
      <c r="EL32" s="4">
        <v>1</v>
      </c>
      <c r="EM32" s="4">
        <v>0</v>
      </c>
      <c r="EN32" s="4">
        <v>1</v>
      </c>
      <c r="EO32" s="4">
        <v>1</v>
      </c>
      <c r="EP32" s="4">
        <f t="array" ref="EP32">SUM(EL32:EO32/4)</f>
        <v>0.75</v>
      </c>
      <c r="EQ32" s="4">
        <v>0</v>
      </c>
      <c r="ER32" s="4">
        <v>0</v>
      </c>
      <c r="ES32" s="4">
        <v>0</v>
      </c>
      <c r="ET32" s="4">
        <v>0</v>
      </c>
      <c r="EU32" s="4" t="s">
        <v>1212</v>
      </c>
      <c r="EV32" s="4">
        <v>0</v>
      </c>
      <c r="EW32" s="4" t="s">
        <v>1213</v>
      </c>
      <c r="EX32" s="4">
        <v>0</v>
      </c>
      <c r="EY32" s="4">
        <f>(Foglio1!$EQ32+Foglio1!$ER32+Foglio1!$ES32+Foglio1!$ET32+Foglio1!$EV32+Foglio1!$EX32)/6</f>
        <v>0</v>
      </c>
      <c r="EZ32" s="4">
        <v>1</v>
      </c>
      <c r="FA32" s="4">
        <v>1</v>
      </c>
      <c r="FB32" s="4">
        <v>1</v>
      </c>
      <c r="FC32" s="4">
        <f>(Foglio1!$EZ32+Foglio1!$FA32+Foglio1!$FB32)/3</f>
        <v>1</v>
      </c>
      <c r="FD32" s="4">
        <v>0</v>
      </c>
      <c r="FE32" s="4">
        <v>1</v>
      </c>
      <c r="FF32" s="4">
        <f>(Foglio1!$FD32+Foglio1!$FE32)/2</f>
        <v>0.5</v>
      </c>
      <c r="FG32" s="4" t="s">
        <v>1214</v>
      </c>
      <c r="FH32" s="4">
        <v>0</v>
      </c>
      <c r="FI32" s="4" t="s">
        <v>1215</v>
      </c>
      <c r="FJ32" s="4">
        <v>1</v>
      </c>
      <c r="FK32" s="4" t="s">
        <v>1216</v>
      </c>
      <c r="FL32" s="4">
        <v>0</v>
      </c>
      <c r="FM32" s="4">
        <f>(Foglio1!$FH32+Foglio1!$FJ32+Foglio1!$FL32)/3</f>
        <v>0.33333333333333331</v>
      </c>
      <c r="FN32" s="4">
        <f>(Foglio1!$EP32)</f>
        <v>0.75</v>
      </c>
      <c r="FO32" s="4">
        <f>(Foglio1!$EY32+Foglio1!$FC32+Foglio1!$FF32+Foglio1!$FM32)/4</f>
        <v>0.45833333333333331</v>
      </c>
      <c r="FP32" s="4">
        <f>(Foglio1!$EP32+Foglio1!$EY32+Foglio1!$FC32+Foglio1!$FF32+Foglio1!$FM32)/5</f>
        <v>0.51666666666666672</v>
      </c>
      <c r="FQ32" s="6">
        <v>45681</v>
      </c>
      <c r="FR32" s="4">
        <v>3</v>
      </c>
      <c r="FS32" s="4">
        <v>2</v>
      </c>
      <c r="FT32" s="4">
        <v>2</v>
      </c>
      <c r="FU32" s="4">
        <v>2</v>
      </c>
      <c r="FV32" s="4">
        <v>3</v>
      </c>
      <c r="FW32" s="4">
        <v>2</v>
      </c>
      <c r="FX32" s="4">
        <v>2</v>
      </c>
      <c r="FY32" s="4">
        <v>4</v>
      </c>
      <c r="FZ32" s="4">
        <v>3</v>
      </c>
      <c r="GA32" s="4">
        <v>6</v>
      </c>
      <c r="GB32" s="4">
        <v>51</v>
      </c>
      <c r="GC32" s="4">
        <v>4</v>
      </c>
      <c r="GD32" s="4">
        <v>3</v>
      </c>
      <c r="GE32" s="4">
        <v>1</v>
      </c>
      <c r="GF32" s="4">
        <v>1</v>
      </c>
      <c r="GG32" s="4">
        <v>1</v>
      </c>
      <c r="GH32" s="4">
        <v>4</v>
      </c>
      <c r="GI32" s="4">
        <v>1</v>
      </c>
      <c r="GJ32" s="4">
        <v>2</v>
      </c>
      <c r="GK32" s="4">
        <v>2</v>
      </c>
      <c r="GL32" s="4">
        <v>2</v>
      </c>
      <c r="GM32" s="4">
        <v>2</v>
      </c>
      <c r="GN32" s="4">
        <v>2</v>
      </c>
      <c r="GO32" s="4">
        <v>3</v>
      </c>
      <c r="GP32" s="4">
        <v>2</v>
      </c>
      <c r="GQ32" s="4">
        <v>1</v>
      </c>
      <c r="GR32" s="4">
        <v>2</v>
      </c>
      <c r="GS32" s="4">
        <v>1</v>
      </c>
      <c r="GT32" s="4">
        <v>1</v>
      </c>
      <c r="GU32" s="4">
        <v>1</v>
      </c>
      <c r="GV32" s="4">
        <v>1</v>
      </c>
      <c r="GW32" s="4">
        <v>1</v>
      </c>
      <c r="GX32" s="4">
        <v>1</v>
      </c>
      <c r="GY32" s="4">
        <v>3</v>
      </c>
      <c r="GZ32" s="4">
        <v>0</v>
      </c>
      <c r="HA32" s="4">
        <v>1</v>
      </c>
      <c r="HB32" s="4">
        <v>1</v>
      </c>
      <c r="HC32" s="4">
        <v>1</v>
      </c>
      <c r="HD32" s="4">
        <v>1</v>
      </c>
      <c r="HE32" s="4">
        <v>2</v>
      </c>
      <c r="HF32" s="4">
        <v>2</v>
      </c>
      <c r="HG32" s="4">
        <f t="shared" si="24"/>
        <v>50</v>
      </c>
      <c r="HH32" s="4">
        <f t="shared" si="25"/>
        <v>15</v>
      </c>
      <c r="HI32" s="4">
        <f t="shared" si="26"/>
        <v>13</v>
      </c>
      <c r="HJ32" s="4">
        <f t="shared" si="27"/>
        <v>16</v>
      </c>
      <c r="HK32" s="4">
        <f t="shared" si="28"/>
        <v>10</v>
      </c>
      <c r="HL32" s="4">
        <f t="shared" si="29"/>
        <v>14</v>
      </c>
      <c r="HM32" s="4">
        <v>2</v>
      </c>
      <c r="HN32" s="4">
        <v>0</v>
      </c>
      <c r="HO32" s="4">
        <v>0</v>
      </c>
      <c r="HP32" s="4">
        <v>0</v>
      </c>
      <c r="HQ32" s="4">
        <v>0</v>
      </c>
      <c r="HR32" s="4">
        <v>0</v>
      </c>
      <c r="HS32" s="4">
        <v>0</v>
      </c>
      <c r="HT32" s="4">
        <v>0</v>
      </c>
      <c r="HU32" s="4">
        <v>0</v>
      </c>
      <c r="HV32" s="4">
        <v>0</v>
      </c>
      <c r="HW32" s="4">
        <v>0</v>
      </c>
      <c r="HX32" s="4">
        <v>0</v>
      </c>
      <c r="HY32" s="4">
        <v>0</v>
      </c>
      <c r="HZ32" s="4">
        <v>0</v>
      </c>
      <c r="IA32" s="4">
        <v>0</v>
      </c>
      <c r="IB32" s="4">
        <v>0</v>
      </c>
      <c r="IC32" s="4">
        <v>3</v>
      </c>
      <c r="ID32" s="4">
        <v>0</v>
      </c>
      <c r="IE32" s="4">
        <v>3</v>
      </c>
      <c r="IF32" s="4">
        <v>2</v>
      </c>
      <c r="IG32" s="4">
        <v>1</v>
      </c>
      <c r="IH32" s="4">
        <v>0</v>
      </c>
      <c r="II32" s="4">
        <v>3</v>
      </c>
      <c r="IJ32" s="4">
        <v>0</v>
      </c>
      <c r="IK32" s="4">
        <v>0</v>
      </c>
      <c r="IL32" s="4">
        <v>3</v>
      </c>
      <c r="IM32" s="4">
        <v>3</v>
      </c>
      <c r="IN32" s="4">
        <v>3</v>
      </c>
      <c r="IO32" s="4">
        <v>4</v>
      </c>
      <c r="IP32" s="4">
        <v>0</v>
      </c>
      <c r="IQ32" s="4">
        <f t="shared" si="34"/>
        <v>5</v>
      </c>
      <c r="IR32" s="4">
        <f t="shared" si="35"/>
        <v>12</v>
      </c>
      <c r="IS32" s="4">
        <f t="shared" si="36"/>
        <v>6</v>
      </c>
      <c r="IT32" s="4">
        <f t="shared" si="37"/>
        <v>4</v>
      </c>
      <c r="IU32" s="4" t="s">
        <v>383</v>
      </c>
      <c r="IV32" s="4" t="s">
        <v>383</v>
      </c>
      <c r="IW32" s="4" t="s">
        <v>383</v>
      </c>
      <c r="IX32" s="4" t="s">
        <v>383</v>
      </c>
      <c r="IY32" s="4">
        <v>1</v>
      </c>
      <c r="IZ32" s="4">
        <v>0</v>
      </c>
      <c r="JA32" s="4">
        <v>1</v>
      </c>
      <c r="JB32" s="4">
        <v>1</v>
      </c>
      <c r="JC32" s="4">
        <f>(Foglio1!$IY32+Foglio1!$IZ32+Foglio1!$JA32+Foglio1!$JB32)/4</f>
        <v>0.75</v>
      </c>
      <c r="JD32" s="4">
        <v>1</v>
      </c>
      <c r="JE32" s="4">
        <v>1</v>
      </c>
      <c r="JF32" s="4">
        <v>1</v>
      </c>
      <c r="JG32" s="4">
        <v>0</v>
      </c>
      <c r="JH32" s="4" t="s">
        <v>1217</v>
      </c>
      <c r="JI32" s="4">
        <v>1</v>
      </c>
      <c r="JJ32" s="4" t="s">
        <v>1218</v>
      </c>
      <c r="JK32" s="4">
        <v>0</v>
      </c>
      <c r="JL32" s="4">
        <f>(Foglio1!$JD32+Foglio1!$JE32+Foglio1!$JF32+Foglio1!$JG32+Foglio1!$JI32+Foglio1!$JK32)/6</f>
        <v>0.66666666666666663</v>
      </c>
      <c r="JM32" s="4"/>
      <c r="JN32" s="4">
        <v>1</v>
      </c>
      <c r="JO32" s="4">
        <v>1</v>
      </c>
      <c r="JP32" s="4">
        <f>(Foglio1!$JM32+Foglio1!$JN32+Foglio1!$JO32)/3</f>
        <v>0.66666666666666663</v>
      </c>
      <c r="JQ32" s="4">
        <v>0</v>
      </c>
      <c r="JR32" s="4">
        <v>1</v>
      </c>
      <c r="JS32" s="4">
        <f>(Foglio1!$JQ32+Foglio1!$JR32)/2</f>
        <v>0.5</v>
      </c>
      <c r="JT32" s="4" t="s">
        <v>1219</v>
      </c>
      <c r="JU32" s="4">
        <v>1</v>
      </c>
      <c r="JV32" s="4" t="s">
        <v>1220</v>
      </c>
      <c r="JW32" s="4">
        <v>0</v>
      </c>
      <c r="JX32" s="4" t="s">
        <v>1221</v>
      </c>
      <c r="JY32" s="4">
        <v>1</v>
      </c>
      <c r="JZ32" s="4">
        <f>(Foglio1!$JU32+Foglio1!$JW32+Foglio1!$JY32)/3</f>
        <v>0.66666666666666663</v>
      </c>
      <c r="KA32" s="4">
        <f>(Foglio1!$JC32)</f>
        <v>0.75</v>
      </c>
      <c r="KB32" s="4">
        <f>(Foglio1!$JL32+Foglio1!$JP32+Foglio1!$JS32+Foglio1!$JZ32)/4</f>
        <v>0.625</v>
      </c>
      <c r="KC32" s="4">
        <f>(Foglio1!$JC32+Foglio1!$JL32+Foglio1!$JP32+Foglio1!$JS32+Foglio1!$JZ32)/5</f>
        <v>0.64999999999999991</v>
      </c>
      <c r="KD32" s="4" t="s">
        <v>1222</v>
      </c>
      <c r="KE32" s="4">
        <v>1</v>
      </c>
      <c r="KF32" s="4">
        <v>2</v>
      </c>
      <c r="KG32" s="4" t="s">
        <v>1223</v>
      </c>
      <c r="KH32" s="4">
        <v>1</v>
      </c>
      <c r="KI32" s="4">
        <v>2</v>
      </c>
      <c r="KJ32" s="4" t="s">
        <v>1224</v>
      </c>
      <c r="KK32" s="4">
        <v>0</v>
      </c>
      <c r="KL32" s="4">
        <v>3</v>
      </c>
      <c r="KM32" s="4" t="s">
        <v>1225</v>
      </c>
      <c r="KN32" s="4">
        <v>0</v>
      </c>
      <c r="KO32" s="4">
        <v>2</v>
      </c>
      <c r="KP32" s="4" t="s">
        <v>1226</v>
      </c>
      <c r="KQ32" s="4">
        <v>0</v>
      </c>
      <c r="KR32" s="4">
        <v>2</v>
      </c>
      <c r="KS32" s="4" t="s">
        <v>1227</v>
      </c>
      <c r="KT32" s="4">
        <v>2</v>
      </c>
      <c r="KU32" s="4">
        <v>1</v>
      </c>
      <c r="KV32" s="4" t="s">
        <v>1228</v>
      </c>
      <c r="KW32" s="4">
        <v>1</v>
      </c>
      <c r="KX32" s="4">
        <v>1</v>
      </c>
      <c r="KY32" s="4" t="s">
        <v>1229</v>
      </c>
      <c r="KZ32" s="4">
        <v>1</v>
      </c>
      <c r="LA32" s="4">
        <v>3</v>
      </c>
      <c r="LB32" s="4" t="s">
        <v>1230</v>
      </c>
      <c r="LC32" s="4">
        <v>2</v>
      </c>
      <c r="LD32" s="4">
        <v>1</v>
      </c>
      <c r="LE32" s="4" t="s">
        <v>1231</v>
      </c>
      <c r="LF32" s="4">
        <v>2</v>
      </c>
      <c r="LG32" s="4">
        <v>2</v>
      </c>
      <c r="LH32" s="4" t="s">
        <v>1232</v>
      </c>
      <c r="LI32" s="4">
        <v>2</v>
      </c>
      <c r="LJ32" s="4">
        <v>1</v>
      </c>
      <c r="LK32" s="4" t="s">
        <v>1233</v>
      </c>
      <c r="LL32" s="4">
        <v>2</v>
      </c>
      <c r="LM32" s="4">
        <v>3</v>
      </c>
      <c r="LN32" s="4" t="s">
        <v>1234</v>
      </c>
      <c r="LO32" s="4">
        <v>0</v>
      </c>
      <c r="LP32" s="4">
        <v>1</v>
      </c>
      <c r="LQ32" s="4" t="s">
        <v>1235</v>
      </c>
      <c r="LR32" s="4">
        <v>1</v>
      </c>
      <c r="LS32" s="4">
        <v>2</v>
      </c>
      <c r="LT32" s="4">
        <f>(Foglio1!$KE32+Foglio1!$KH32+Foglio1!$KK32+Foglio1!$KN32+Foglio1!$KQ32+Foglio1!$KT32+Foglio1!$KW32+Foglio1!$KZ32+Foglio1!$LC32+Foglio1!$LF32+Foglio1!$LI32+Foglio1!$LL32+Foglio1!$LO32+Foglio1!$LR32)</f>
        <v>15</v>
      </c>
      <c r="LU32" s="4">
        <f>(Foglio1!$KI32+Foglio1!$KF32+Foglio1!$KL32+Foglio1!$KO32+Foglio1!$KR32+Foglio1!$KU32+Foglio1!$KX32+Foglio1!$LA32+Foglio1!$LD32+Foglio1!$LG32+Foglio1!$LJ32+Foglio1!$LM32+Foglio1!$LP32+Foglio1!$LS32)</f>
        <v>26</v>
      </c>
      <c r="LV32" s="4">
        <v>37</v>
      </c>
      <c r="LW32" s="4">
        <v>46</v>
      </c>
      <c r="LX32" s="4">
        <v>22</v>
      </c>
      <c r="LY32" s="4">
        <v>28</v>
      </c>
      <c r="LZ32" s="3">
        <v>0</v>
      </c>
      <c r="MA32" s="3">
        <v>0</v>
      </c>
      <c r="MB32" s="3">
        <v>0</v>
      </c>
      <c r="MC32" s="3">
        <v>2</v>
      </c>
      <c r="MD32" s="3">
        <f t="shared" si="7"/>
        <v>2</v>
      </c>
      <c r="ME32" s="3">
        <v>0</v>
      </c>
      <c r="MF32" s="3">
        <v>0</v>
      </c>
      <c r="MG32" s="3">
        <v>0</v>
      </c>
      <c r="MH32" s="3">
        <v>0</v>
      </c>
      <c r="MI32" s="3">
        <f t="shared" si="8"/>
        <v>0</v>
      </c>
    </row>
    <row r="33" spans="1:347" ht="15.75" customHeight="1" x14ac:dyDescent="0.25">
      <c r="A33" s="4" t="s">
        <v>1236</v>
      </c>
      <c r="B33" s="4">
        <v>44</v>
      </c>
      <c r="C33" s="4" t="s">
        <v>403</v>
      </c>
      <c r="D33" s="4">
        <v>8</v>
      </c>
      <c r="E33" s="4">
        <v>0</v>
      </c>
      <c r="F33" s="4" t="s">
        <v>350</v>
      </c>
      <c r="G33" s="4" t="s">
        <v>356</v>
      </c>
      <c r="H33" s="4" t="s">
        <v>1237</v>
      </c>
      <c r="I33" s="4" t="s">
        <v>1238</v>
      </c>
      <c r="J33" s="7" t="s">
        <v>990</v>
      </c>
      <c r="K33" s="4"/>
      <c r="L33" s="4" t="s">
        <v>604</v>
      </c>
      <c r="M33" s="4" t="s">
        <v>449</v>
      </c>
      <c r="N33" s="4" t="s">
        <v>1239</v>
      </c>
      <c r="O33" s="9" t="s">
        <v>1240</v>
      </c>
      <c r="P33" s="6">
        <v>45588</v>
      </c>
      <c r="Q33" s="4" t="s">
        <v>970</v>
      </c>
      <c r="R33" s="4" t="s">
        <v>1241</v>
      </c>
      <c r="S33" s="4"/>
      <c r="T33" s="4"/>
      <c r="U33" s="4"/>
      <c r="V33" s="4"/>
      <c r="W33" s="4"/>
      <c r="X33" s="4"/>
      <c r="Y33" s="4"/>
      <c r="Z33" s="4"/>
      <c r="AA33" s="4"/>
      <c r="AB33" s="4"/>
      <c r="AC33" s="4"/>
      <c r="AD33" s="4"/>
      <c r="AE33" s="4"/>
      <c r="AF33" s="4"/>
      <c r="AG33" s="4"/>
      <c r="AH33" s="4" t="s">
        <v>938</v>
      </c>
      <c r="AI33" s="4" t="s">
        <v>1242</v>
      </c>
      <c r="AJ33" s="4" t="s">
        <v>1243</v>
      </c>
      <c r="AK33" s="4" t="s">
        <v>1244</v>
      </c>
      <c r="AL33" s="4" t="s">
        <v>691</v>
      </c>
      <c r="AM33" s="4" t="s">
        <v>692</v>
      </c>
      <c r="AN33" s="4" t="s">
        <v>453</v>
      </c>
      <c r="AO33" s="4" t="s">
        <v>645</v>
      </c>
      <c r="AP33" s="4" t="s">
        <v>456</v>
      </c>
      <c r="AQ33" s="4" t="s">
        <v>1245</v>
      </c>
      <c r="AR33" s="4" t="s">
        <v>1246</v>
      </c>
      <c r="AS33" s="4" t="s">
        <v>1247</v>
      </c>
      <c r="AT33" s="5" t="s">
        <v>356</v>
      </c>
      <c r="AU33" s="5" t="s">
        <v>356</v>
      </c>
      <c r="AV33" s="5" t="s">
        <v>356</v>
      </c>
      <c r="AW33" s="5" t="s">
        <v>356</v>
      </c>
      <c r="AX33" s="4">
        <v>6</v>
      </c>
      <c r="AY33" s="4"/>
      <c r="AZ33" s="4" t="s">
        <v>360</v>
      </c>
      <c r="BA33" s="4">
        <v>16</v>
      </c>
      <c r="BB33" s="4"/>
      <c r="BC33" s="4"/>
      <c r="BD33" s="4"/>
      <c r="BE33" s="4"/>
      <c r="BF33" s="4"/>
      <c r="BG33" s="6">
        <v>45576</v>
      </c>
      <c r="BH33" s="4" t="s">
        <v>356</v>
      </c>
      <c r="BI33" s="4" t="s">
        <v>356</v>
      </c>
      <c r="BJ33" s="4" t="s">
        <v>356</v>
      </c>
      <c r="BK33" s="4" t="s">
        <v>356</v>
      </c>
      <c r="BL33" s="4" t="s">
        <v>356</v>
      </c>
      <c r="BM33" s="4" t="s">
        <v>356</v>
      </c>
      <c r="BN33" s="4" t="s">
        <v>356</v>
      </c>
      <c r="BO33" s="4" t="s">
        <v>356</v>
      </c>
      <c r="BP33" s="4">
        <v>5</v>
      </c>
      <c r="BQ33" s="4">
        <v>3</v>
      </c>
      <c r="BR33" s="4">
        <v>10</v>
      </c>
      <c r="BS33" s="4">
        <v>50</v>
      </c>
      <c r="BT33" s="4">
        <v>1</v>
      </c>
      <c r="BU33" s="4">
        <v>1</v>
      </c>
      <c r="BV33" s="4">
        <v>1</v>
      </c>
      <c r="BW33" s="4">
        <v>1</v>
      </c>
      <c r="BX33" s="4">
        <v>1</v>
      </c>
      <c r="BY33" s="4">
        <v>1</v>
      </c>
      <c r="BZ33" s="4">
        <v>1</v>
      </c>
      <c r="CA33" s="4">
        <v>2</v>
      </c>
      <c r="CB33" s="4">
        <v>1</v>
      </c>
      <c r="CC33" s="4">
        <v>1</v>
      </c>
      <c r="CD33" s="4">
        <v>3</v>
      </c>
      <c r="CE33" s="4">
        <v>1</v>
      </c>
      <c r="CF33" s="4">
        <v>1</v>
      </c>
      <c r="CG33" s="4">
        <v>1</v>
      </c>
      <c r="CH33" s="4">
        <v>1</v>
      </c>
      <c r="CI33" s="4">
        <v>3</v>
      </c>
      <c r="CJ33" s="4">
        <v>3</v>
      </c>
      <c r="CK33" s="4">
        <v>1</v>
      </c>
      <c r="CL33" s="4">
        <v>1</v>
      </c>
      <c r="CM33" s="4">
        <v>5</v>
      </c>
      <c r="CN33" s="4">
        <v>1</v>
      </c>
      <c r="CO33" s="4">
        <v>1</v>
      </c>
      <c r="CP33" s="4">
        <v>1</v>
      </c>
      <c r="CQ33" s="4">
        <v>1</v>
      </c>
      <c r="CR33" s="4">
        <v>1</v>
      </c>
      <c r="CS33" s="4">
        <v>1</v>
      </c>
      <c r="CT33" s="4">
        <v>1</v>
      </c>
      <c r="CU33" s="4">
        <v>1</v>
      </c>
      <c r="CV33" s="4">
        <v>4</v>
      </c>
      <c r="CW33" s="4">
        <v>1</v>
      </c>
      <c r="CX33" s="4">
        <f>SUM(Foglio1!$BT33:$CW33)</f>
        <v>44</v>
      </c>
      <c r="CY33" s="4">
        <f>SUM(Foglio1!$BT33+Foglio1!$BV33+Foglio1!$CP33+Foglio1!$BY33+Foglio1!$BX33+Foglio1!$CH33+Foglio1!$CS33+Foglio1!$CW33-Foglio1!$CE33)</f>
        <v>7</v>
      </c>
      <c r="CZ33" s="4">
        <f>SUM(Foglio1!$CF33+Foglio1!$CA33+Foglio1!$CB33+Foglio1!$CD33+Foglio1!$CN33+Foglio1!$CC33+Foglio1!$CW33+Foglio1!$CO33+Foglio1!$CT33-Foglio1!$BU33)</f>
        <v>11</v>
      </c>
      <c r="DA33" s="4">
        <f>SUM(Foglio1!$CG33+Foglio1!$CR33+Foglio1!$CQ33+Foglio1!$BU33+Foglio1!$CE33+Foglio1!$CL33+Foglio1!$CS33+Foglio1!$CT33+Foglio1!$CV33+Foglio1!$CP33)</f>
        <v>13</v>
      </c>
      <c r="DB33" s="4">
        <f>SUM(Foglio1!$CU33+Foglio1!$BW33+Foglio1!$BZ33+Foglio1!$CO33+Foglio1!$BX33+Foglio1!$CC33+Foglio1!$CK33+Foglio1!$CW33)</f>
        <v>8</v>
      </c>
      <c r="DC33" s="4">
        <f>SUM(Foglio1!$CI33+Foglio1!$CM33+Foglio1!$CJ33+Foglio1!$CK33+Foglio1!$BY33+Foglio1!$CH33+Foglio1!$CV33+Foglio1!$CW33)</f>
        <v>19</v>
      </c>
      <c r="DD33" s="4">
        <v>1</v>
      </c>
      <c r="DE33" s="4">
        <v>0</v>
      </c>
      <c r="DF33" s="4">
        <v>0</v>
      </c>
      <c r="DG33" s="4">
        <v>0</v>
      </c>
      <c r="DH33" s="4">
        <v>0</v>
      </c>
      <c r="DI33" s="4">
        <v>0</v>
      </c>
      <c r="DJ33" s="4">
        <v>0</v>
      </c>
      <c r="DK33" s="4">
        <v>0</v>
      </c>
      <c r="DL33" s="4">
        <v>0</v>
      </c>
      <c r="DM33" s="4">
        <v>0</v>
      </c>
      <c r="DN33" s="4">
        <v>0</v>
      </c>
      <c r="DO33" s="4">
        <v>0</v>
      </c>
      <c r="DP33" s="4">
        <v>0</v>
      </c>
      <c r="DQ33" s="4">
        <v>0</v>
      </c>
      <c r="DR33" s="4">
        <v>0</v>
      </c>
      <c r="DS33" s="4">
        <v>0</v>
      </c>
      <c r="DT33" s="4">
        <v>0</v>
      </c>
      <c r="DU33" s="4">
        <v>0</v>
      </c>
      <c r="DV33" s="4">
        <v>0</v>
      </c>
      <c r="DW33" s="4">
        <v>0</v>
      </c>
      <c r="DX33" s="4">
        <v>2</v>
      </c>
      <c r="DY33" s="4">
        <v>1</v>
      </c>
      <c r="DZ33" s="4">
        <v>0</v>
      </c>
      <c r="EA33" s="4">
        <v>3</v>
      </c>
      <c r="EB33" s="4">
        <v>0</v>
      </c>
      <c r="EC33" s="4">
        <v>0</v>
      </c>
      <c r="ED33" s="4">
        <v>0</v>
      </c>
      <c r="EE33" s="4">
        <v>3</v>
      </c>
      <c r="EF33" s="4">
        <v>0</v>
      </c>
      <c r="EG33" s="4">
        <v>0</v>
      </c>
      <c r="EH33" s="4">
        <f>(Foglio1!$DE33+Foglio1!$DH33+Foglio1!$DG33+Foglio1!$DF33+Foglio1!$DM33+Foglio1!$DD33+Foglio1!$DO33+Foglio1!$DL33+Foglio1!$DN33+Foglio1!$DQ33+Foglio1!$DP33+Foglio1!$DT33+Foglio1!$DI33+Foglio1!$DK33+Foglio1!$DU33)</f>
        <v>1</v>
      </c>
      <c r="EI33" s="4">
        <f>(Foglio1!$EA33+Foglio1!$EB33+Foglio1!$EE33+Foglio1!$EC33+Foglio1!$ED33+Foglio1!$DZ33+Foglio1!$DY33)</f>
        <v>7</v>
      </c>
      <c r="EJ33" s="4">
        <f>(Foglio1!$DW33+Foglio1!$DV33+Foglio1!$DX33)</f>
        <v>2</v>
      </c>
      <c r="EK33" s="4">
        <f>(Foglio1!$EG33+Foglio1!$EF33)</f>
        <v>0</v>
      </c>
      <c r="EL33" s="4">
        <v>1</v>
      </c>
      <c r="EM33" s="4">
        <v>0</v>
      </c>
      <c r="EN33" s="4">
        <v>1</v>
      </c>
      <c r="EO33" s="4">
        <v>1</v>
      </c>
      <c r="EP33" s="4">
        <f t="array" ref="EP33">SUM(EL33:EO33/4)</f>
        <v>0.75</v>
      </c>
      <c r="EQ33" s="4">
        <v>1</v>
      </c>
      <c r="ER33" s="4">
        <v>1</v>
      </c>
      <c r="ES33" s="4">
        <v>1</v>
      </c>
      <c r="ET33" s="4">
        <v>1</v>
      </c>
      <c r="EU33" s="4" t="s">
        <v>1248</v>
      </c>
      <c r="EV33" s="4">
        <v>0</v>
      </c>
      <c r="EW33" s="4" t="s">
        <v>1249</v>
      </c>
      <c r="EX33" s="4">
        <v>0</v>
      </c>
      <c r="EY33" s="4">
        <f>(Foglio1!$EQ33+Foglio1!$ER33+Foglio1!$ES33+Foglio1!$ET33+Foglio1!$EV33+Foglio1!$EX33)/6</f>
        <v>0.66666666666666663</v>
      </c>
      <c r="EZ33" s="4">
        <v>1</v>
      </c>
      <c r="FA33" s="4">
        <v>1</v>
      </c>
      <c r="FB33" s="4">
        <v>0</v>
      </c>
      <c r="FC33" s="4">
        <f>(Foglio1!$EZ33+Foglio1!$FA33+Foglio1!$FB33)/3</f>
        <v>0.66666666666666663</v>
      </c>
      <c r="FD33" s="4">
        <v>1</v>
      </c>
      <c r="FE33" s="4">
        <v>1</v>
      </c>
      <c r="FF33" s="4">
        <f>(Foglio1!$FD33+Foglio1!$FE33)/2</f>
        <v>1</v>
      </c>
      <c r="FG33" s="4" t="s">
        <v>1250</v>
      </c>
      <c r="FH33" s="4">
        <v>1</v>
      </c>
      <c r="FI33" s="4" t="s">
        <v>1251</v>
      </c>
      <c r="FJ33" s="4">
        <v>0</v>
      </c>
      <c r="FK33" s="4" t="s">
        <v>1252</v>
      </c>
      <c r="FL33" s="4">
        <v>0</v>
      </c>
      <c r="FM33" s="4">
        <f>(Foglio1!$FH33+Foglio1!$FJ33+Foglio1!$FL33)/3</f>
        <v>0.33333333333333331</v>
      </c>
      <c r="FN33" s="4">
        <f>(Foglio1!$EP33)</f>
        <v>0.75</v>
      </c>
      <c r="FO33" s="4">
        <f>(Foglio1!$EY33+Foglio1!$FC33+Foglio1!$FF33+Foglio1!$FM33)/4</f>
        <v>0.66666666666666663</v>
      </c>
      <c r="FP33" s="4">
        <f>(Foglio1!$EP33+Foglio1!$EY33+Foglio1!$FC33+Foglio1!$FF33+Foglio1!$FM33)/5</f>
        <v>0.68333333333333335</v>
      </c>
      <c r="FQ33" s="6">
        <v>45581</v>
      </c>
      <c r="FR33" s="4" t="s">
        <v>356</v>
      </c>
      <c r="FS33" s="4" t="s">
        <v>356</v>
      </c>
      <c r="FT33" s="4" t="s">
        <v>356</v>
      </c>
      <c r="FU33" s="4" t="s">
        <v>356</v>
      </c>
      <c r="FV33" s="4" t="s">
        <v>356</v>
      </c>
      <c r="FW33" s="4" t="s">
        <v>356</v>
      </c>
      <c r="FX33" s="4" t="s">
        <v>356</v>
      </c>
      <c r="FY33" s="4">
        <v>3</v>
      </c>
      <c r="FZ33" s="4">
        <v>3</v>
      </c>
      <c r="GA33" s="4">
        <v>6</v>
      </c>
      <c r="GB33" s="4">
        <v>61</v>
      </c>
      <c r="GC33" s="4">
        <v>0</v>
      </c>
      <c r="GD33" s="4">
        <v>1</v>
      </c>
      <c r="GE33" s="4">
        <v>0</v>
      </c>
      <c r="GF33" s="4">
        <v>0</v>
      </c>
      <c r="GG33" s="4">
        <v>0</v>
      </c>
      <c r="GH33" s="4">
        <v>1</v>
      </c>
      <c r="GI33" s="4">
        <v>0</v>
      </c>
      <c r="GJ33" s="4">
        <v>0</v>
      </c>
      <c r="GK33" s="4">
        <v>0</v>
      </c>
      <c r="GL33" s="4">
        <v>1</v>
      </c>
      <c r="GM33" s="4">
        <v>0</v>
      </c>
      <c r="GN33" s="4">
        <v>0</v>
      </c>
      <c r="GO33" s="4">
        <v>0</v>
      </c>
      <c r="GP33" s="4">
        <v>0</v>
      </c>
      <c r="GQ33" s="4">
        <v>1</v>
      </c>
      <c r="GR33" s="4">
        <v>3</v>
      </c>
      <c r="GS33" s="4">
        <v>2</v>
      </c>
      <c r="GT33" s="4">
        <v>3</v>
      </c>
      <c r="GU33" s="4">
        <v>0</v>
      </c>
      <c r="GV33" s="4">
        <v>3</v>
      </c>
      <c r="GW33" s="4">
        <v>0</v>
      </c>
      <c r="GX33" s="4">
        <v>0</v>
      </c>
      <c r="GY33" s="4">
        <v>0</v>
      </c>
      <c r="GZ33" s="4">
        <v>0</v>
      </c>
      <c r="HA33" s="4">
        <v>1</v>
      </c>
      <c r="HB33" s="4">
        <v>0</v>
      </c>
      <c r="HC33" s="4">
        <v>0</v>
      </c>
      <c r="HD33" s="4">
        <v>0</v>
      </c>
      <c r="HE33" s="4">
        <v>1</v>
      </c>
      <c r="HF33" s="4">
        <v>0</v>
      </c>
      <c r="HG33" s="4">
        <f t="shared" si="24"/>
        <v>17</v>
      </c>
      <c r="HH33" s="4">
        <f t="shared" si="25"/>
        <v>2</v>
      </c>
      <c r="HI33" s="4">
        <f t="shared" si="26"/>
        <v>0</v>
      </c>
      <c r="HJ33" s="4">
        <f t="shared" si="27"/>
        <v>3</v>
      </c>
      <c r="HK33" s="4">
        <f t="shared" si="28"/>
        <v>4</v>
      </c>
      <c r="HL33" s="4">
        <f t="shared" si="29"/>
        <v>14</v>
      </c>
      <c r="HM33" s="4">
        <v>2</v>
      </c>
      <c r="HN33" s="4">
        <v>0</v>
      </c>
      <c r="HO33" s="4">
        <v>0</v>
      </c>
      <c r="HP33" s="4">
        <v>0</v>
      </c>
      <c r="HQ33" s="4">
        <v>0</v>
      </c>
      <c r="HR33" s="4">
        <v>1</v>
      </c>
      <c r="HS33" s="4">
        <v>0</v>
      </c>
      <c r="HT33" s="4">
        <v>0</v>
      </c>
      <c r="HU33" s="4">
        <v>0</v>
      </c>
      <c r="HV33" s="4">
        <v>0</v>
      </c>
      <c r="HW33" s="4">
        <v>0</v>
      </c>
      <c r="HX33" s="4">
        <v>0</v>
      </c>
      <c r="HY33" s="4">
        <v>0</v>
      </c>
      <c r="HZ33" s="4">
        <v>0</v>
      </c>
      <c r="IA33" s="4">
        <v>0</v>
      </c>
      <c r="IB33" s="4">
        <v>0</v>
      </c>
      <c r="IC33" s="4">
        <v>0</v>
      </c>
      <c r="ID33" s="4">
        <v>0</v>
      </c>
      <c r="IE33" s="4">
        <v>0</v>
      </c>
      <c r="IF33" s="4">
        <v>0</v>
      </c>
      <c r="IG33" s="4">
        <v>2</v>
      </c>
      <c r="IH33" s="4">
        <v>0</v>
      </c>
      <c r="II33" s="4">
        <v>2</v>
      </c>
      <c r="IJ33" s="4">
        <v>0</v>
      </c>
      <c r="IK33" s="4">
        <v>1</v>
      </c>
      <c r="IL33" s="4">
        <v>1</v>
      </c>
      <c r="IM33" s="4">
        <v>0</v>
      </c>
      <c r="IN33" s="4">
        <v>0</v>
      </c>
      <c r="IO33" s="4">
        <v>0</v>
      </c>
      <c r="IP33" s="4">
        <v>1</v>
      </c>
      <c r="IQ33" s="4">
        <f t="shared" si="34"/>
        <v>3</v>
      </c>
      <c r="IR33" s="4">
        <f t="shared" si="35"/>
        <v>4</v>
      </c>
      <c r="IS33" s="4">
        <f t="shared" si="36"/>
        <v>2</v>
      </c>
      <c r="IT33" s="4">
        <f t="shared" si="37"/>
        <v>1</v>
      </c>
      <c r="IU33" s="4" t="s">
        <v>383</v>
      </c>
      <c r="IV33" s="4" t="s">
        <v>383</v>
      </c>
      <c r="IW33" s="4" t="s">
        <v>383</v>
      </c>
      <c r="IX33" s="4" t="s">
        <v>383</v>
      </c>
      <c r="IY33" s="4">
        <v>1</v>
      </c>
      <c r="IZ33" s="4">
        <v>1</v>
      </c>
      <c r="JA33" s="4">
        <v>1</v>
      </c>
      <c r="JB33" s="4">
        <v>1</v>
      </c>
      <c r="JC33" s="4">
        <f>(Foglio1!$IY33+Foglio1!$IZ33+Foglio1!$JA33+Foglio1!$JB33)/4</f>
        <v>1</v>
      </c>
      <c r="JD33" s="4">
        <v>1</v>
      </c>
      <c r="JE33" s="4">
        <v>1</v>
      </c>
      <c r="JF33" s="4">
        <v>0</v>
      </c>
      <c r="JG33" s="4">
        <v>1</v>
      </c>
      <c r="JH33" s="4" t="s">
        <v>1253</v>
      </c>
      <c r="JI33" s="4">
        <v>0</v>
      </c>
      <c r="JJ33" s="4" t="s">
        <v>1254</v>
      </c>
      <c r="JK33" s="4">
        <v>0</v>
      </c>
      <c r="JL33" s="4">
        <f>(Foglio1!$JD33+Foglio1!$JE33+Foglio1!$JF33+Foglio1!$JG33+Foglio1!$JI33+Foglio1!$JK33)/6</f>
        <v>0.5</v>
      </c>
      <c r="JM33" s="4">
        <v>1</v>
      </c>
      <c r="JN33" s="4">
        <v>1</v>
      </c>
      <c r="JO33" s="4">
        <v>1</v>
      </c>
      <c r="JP33" s="4">
        <f>(Foglio1!$JM33+Foglio1!$JN33+Foglio1!$JO33)/3</f>
        <v>1</v>
      </c>
      <c r="JQ33" s="4">
        <v>1</v>
      </c>
      <c r="JR33" s="4">
        <v>0</v>
      </c>
      <c r="JS33" s="4">
        <f>(Foglio1!$JQ33+Foglio1!$JR33)/2</f>
        <v>0.5</v>
      </c>
      <c r="JT33" s="4" t="s">
        <v>1255</v>
      </c>
      <c r="JU33" s="4">
        <v>1</v>
      </c>
      <c r="JV33" s="4" t="s">
        <v>1256</v>
      </c>
      <c r="JW33" s="4">
        <v>1</v>
      </c>
      <c r="JX33" s="4" t="s">
        <v>1257</v>
      </c>
      <c r="JY33" s="4">
        <v>0</v>
      </c>
      <c r="JZ33" s="4">
        <f>(Foglio1!$JU33+Foglio1!$JW33+Foglio1!$JY33)/3</f>
        <v>0.66666666666666663</v>
      </c>
      <c r="KA33" s="4">
        <f>(Foglio1!$JC33)</f>
        <v>1</v>
      </c>
      <c r="KB33" s="4">
        <f>(Foglio1!$JL33+Foglio1!$JP33+Foglio1!$JS33+Foglio1!$JZ33)/4</f>
        <v>0.66666666666666663</v>
      </c>
      <c r="KC33" s="4">
        <f>(Foglio1!$JC33+Foglio1!$JL33+Foglio1!$JP33+Foglio1!$JS33+Foglio1!$JZ33)/5</f>
        <v>0.73333333333333328</v>
      </c>
      <c r="KD33" s="4" t="s">
        <v>1258</v>
      </c>
      <c r="KE33" s="4">
        <v>0</v>
      </c>
      <c r="KF33" s="4">
        <v>2</v>
      </c>
      <c r="KG33" s="4" t="s">
        <v>1259</v>
      </c>
      <c r="KH33" s="4">
        <v>1</v>
      </c>
      <c r="KI33" s="4">
        <v>2</v>
      </c>
      <c r="KJ33" s="4" t="s">
        <v>1260</v>
      </c>
      <c r="KK33" s="4">
        <v>1</v>
      </c>
      <c r="KL33" s="4">
        <v>2</v>
      </c>
      <c r="KM33" s="4" t="s">
        <v>1261</v>
      </c>
      <c r="KN33" s="4">
        <v>0</v>
      </c>
      <c r="KO33" s="4">
        <v>1</v>
      </c>
      <c r="KP33" s="4" t="s">
        <v>1262</v>
      </c>
      <c r="KQ33" s="4">
        <v>1</v>
      </c>
      <c r="KR33" s="4">
        <v>2</v>
      </c>
      <c r="KS33" s="4" t="s">
        <v>1263</v>
      </c>
      <c r="KT33" s="4">
        <v>2</v>
      </c>
      <c r="KU33" s="4">
        <v>1</v>
      </c>
      <c r="KV33" s="4" t="s">
        <v>1264</v>
      </c>
      <c r="KW33" s="4">
        <v>2</v>
      </c>
      <c r="KX33" s="4">
        <v>1</v>
      </c>
      <c r="KY33" s="4" t="s">
        <v>1265</v>
      </c>
      <c r="KZ33" s="4">
        <v>2</v>
      </c>
      <c r="LA33" s="4">
        <v>3</v>
      </c>
      <c r="LB33" s="4" t="s">
        <v>1266</v>
      </c>
      <c r="LC33" s="4">
        <v>0</v>
      </c>
      <c r="LD33" s="4">
        <v>2</v>
      </c>
      <c r="LE33" s="4" t="s">
        <v>1267</v>
      </c>
      <c r="LF33" s="4">
        <v>0</v>
      </c>
      <c r="LG33" s="4">
        <v>2</v>
      </c>
      <c r="LH33" s="4" t="s">
        <v>1268</v>
      </c>
      <c r="LI33" s="4">
        <v>2</v>
      </c>
      <c r="LJ33" s="4">
        <v>1</v>
      </c>
      <c r="LK33" s="4" t="s">
        <v>930</v>
      </c>
      <c r="LL33" s="4">
        <v>0</v>
      </c>
      <c r="LM33" s="4">
        <v>0</v>
      </c>
      <c r="LN33" s="4" t="s">
        <v>1269</v>
      </c>
      <c r="LO33" s="4">
        <v>2</v>
      </c>
      <c r="LP33" s="4">
        <v>2</v>
      </c>
      <c r="LQ33" s="4" t="s">
        <v>512</v>
      </c>
      <c r="LR33" s="4">
        <v>0</v>
      </c>
      <c r="LS33" s="4">
        <v>0</v>
      </c>
      <c r="LT33" s="4">
        <f>(Foglio1!$KE33+Foglio1!$KH33+Foglio1!$KK33+Foglio1!$KN33+Foglio1!$KQ33+Foglio1!$KT33+Foglio1!$KW33+Foglio1!$KZ33+Foglio1!$LC33+Foglio1!$LF33+Foglio1!$LI33+Foglio1!$LL33+Foglio1!$LO33+Foglio1!$LR33)</f>
        <v>13</v>
      </c>
      <c r="LU33" s="4">
        <f>(Foglio1!$KI33+Foglio1!$KF33+Foglio1!$KL33+Foglio1!$KO33+Foglio1!$KR33+Foglio1!$KU33+Foglio1!$KX33+Foglio1!$LA33+Foglio1!$LD33+Foglio1!$LG33+Foglio1!$LJ33+Foglio1!$LM33+Foglio1!$LP33+Foglio1!$LS33)</f>
        <v>21</v>
      </c>
      <c r="LV33" s="4">
        <v>27</v>
      </c>
      <c r="LW33" s="4">
        <v>43</v>
      </c>
      <c r="LX33" s="4">
        <v>21</v>
      </c>
      <c r="LY33" s="4">
        <v>23</v>
      </c>
      <c r="LZ33" s="3">
        <v>1</v>
      </c>
      <c r="MA33" s="3">
        <v>0</v>
      </c>
      <c r="MB33" s="3">
        <v>2</v>
      </c>
      <c r="MC33" s="3">
        <v>1</v>
      </c>
      <c r="MD33" s="3">
        <f t="shared" si="7"/>
        <v>4</v>
      </c>
      <c r="ME33" s="3">
        <v>0</v>
      </c>
      <c r="MF33" s="3">
        <v>0</v>
      </c>
      <c r="MG33" s="3">
        <v>0</v>
      </c>
      <c r="MH33" s="3">
        <v>0</v>
      </c>
      <c r="MI33" s="3">
        <f t="shared" si="8"/>
        <v>0</v>
      </c>
    </row>
    <row r="34" spans="1:347" ht="15.75" customHeight="1" x14ac:dyDescent="0.25">
      <c r="A34" s="4" t="s">
        <v>1270</v>
      </c>
      <c r="B34" s="4">
        <v>49</v>
      </c>
      <c r="C34" s="4" t="s">
        <v>349</v>
      </c>
      <c r="D34" s="4">
        <v>8</v>
      </c>
      <c r="E34" s="4">
        <v>1</v>
      </c>
      <c r="F34" s="4" t="s">
        <v>360</v>
      </c>
      <c r="G34" s="4" t="s">
        <v>443</v>
      </c>
      <c r="H34" s="4" t="s">
        <v>1271</v>
      </c>
      <c r="I34" s="4" t="s">
        <v>874</v>
      </c>
      <c r="J34" s="4" t="s">
        <v>1272</v>
      </c>
      <c r="K34" s="7" t="s">
        <v>1273</v>
      </c>
      <c r="L34" s="4" t="s">
        <v>1274</v>
      </c>
      <c r="M34" s="4" t="s">
        <v>449</v>
      </c>
      <c r="N34" s="4" t="s">
        <v>875</v>
      </c>
      <c r="O34" s="9">
        <v>45691</v>
      </c>
      <c r="P34" s="9">
        <v>45712</v>
      </c>
      <c r="Q34" s="4" t="s">
        <v>1275</v>
      </c>
      <c r="R34" s="4" t="s">
        <v>1276</v>
      </c>
      <c r="S34" s="4"/>
      <c r="T34" s="4"/>
      <c r="U34" s="4"/>
      <c r="V34" s="4"/>
      <c r="W34" s="4"/>
      <c r="X34" s="4"/>
      <c r="Y34" s="4"/>
      <c r="Z34" s="4"/>
      <c r="AA34" s="4"/>
      <c r="AB34" s="4"/>
      <c r="AC34" s="4"/>
      <c r="AD34" s="4"/>
      <c r="AE34" s="4"/>
      <c r="AF34" s="4"/>
      <c r="AG34" s="4"/>
      <c r="AH34" s="4" t="s">
        <v>1031</v>
      </c>
      <c r="AI34" s="4" t="s">
        <v>986</v>
      </c>
      <c r="AJ34" s="4" t="s">
        <v>1277</v>
      </c>
      <c r="AK34" s="4" t="s">
        <v>1278</v>
      </c>
      <c r="AL34" s="4" t="s">
        <v>703</v>
      </c>
      <c r="AM34" s="4" t="s">
        <v>645</v>
      </c>
      <c r="AN34" s="4" t="s">
        <v>456</v>
      </c>
      <c r="AO34" s="4" t="s">
        <v>1245</v>
      </c>
      <c r="AP34" s="5" t="s">
        <v>356</v>
      </c>
      <c r="AQ34" s="5" t="s">
        <v>356</v>
      </c>
      <c r="AR34" s="5" t="s">
        <v>356</v>
      </c>
      <c r="AS34" s="5" t="s">
        <v>356</v>
      </c>
      <c r="AT34" s="5" t="s">
        <v>356</v>
      </c>
      <c r="AU34" s="5" t="s">
        <v>356</v>
      </c>
      <c r="AV34" s="5" t="s">
        <v>356</v>
      </c>
      <c r="AW34" s="5" t="s">
        <v>356</v>
      </c>
      <c r="AX34" s="4">
        <v>4</v>
      </c>
      <c r="AY34" s="4"/>
      <c r="AZ34" s="4" t="s">
        <v>360</v>
      </c>
      <c r="BA34" s="4">
        <f t="shared" ref="BA34:BA35" si="38">(P34-O34)</f>
        <v>21</v>
      </c>
      <c r="BB34" s="4"/>
      <c r="BC34" s="4"/>
      <c r="BD34" s="4"/>
      <c r="BE34" s="4"/>
      <c r="BF34" s="4"/>
      <c r="BG34" s="6">
        <v>45694</v>
      </c>
      <c r="BH34" s="4">
        <v>3</v>
      </c>
      <c r="BI34" s="4">
        <v>1</v>
      </c>
      <c r="BJ34" s="4">
        <v>3</v>
      </c>
      <c r="BK34" s="4">
        <v>3</v>
      </c>
      <c r="BL34" s="4">
        <v>3</v>
      </c>
      <c r="BM34" s="4">
        <v>3</v>
      </c>
      <c r="BN34" s="4">
        <v>1</v>
      </c>
      <c r="BO34" s="4">
        <f>SUM(Foglio1!$BH34:$BM34)</f>
        <v>16</v>
      </c>
      <c r="BP34" s="4">
        <v>6</v>
      </c>
      <c r="BQ34" s="4">
        <v>4</v>
      </c>
      <c r="BR34" s="4">
        <v>11</v>
      </c>
      <c r="BS34" s="4">
        <v>45</v>
      </c>
      <c r="BT34" s="4">
        <v>5</v>
      </c>
      <c r="BU34" s="4">
        <v>3</v>
      </c>
      <c r="BV34" s="4">
        <v>1</v>
      </c>
      <c r="BW34" s="4">
        <v>1</v>
      </c>
      <c r="BX34" s="4">
        <v>1</v>
      </c>
      <c r="BY34" s="4">
        <v>4</v>
      </c>
      <c r="BZ34" s="4">
        <v>3</v>
      </c>
      <c r="CA34" s="4">
        <v>4</v>
      </c>
      <c r="CB34" s="4">
        <v>5</v>
      </c>
      <c r="CC34" s="4">
        <v>5</v>
      </c>
      <c r="CD34" s="4">
        <v>4</v>
      </c>
      <c r="CE34" s="4">
        <v>1</v>
      </c>
      <c r="CF34" s="4">
        <v>1</v>
      </c>
      <c r="CG34" s="4">
        <v>2</v>
      </c>
      <c r="CH34" s="4">
        <v>7</v>
      </c>
      <c r="CI34" s="4">
        <v>4</v>
      </c>
      <c r="CJ34" s="4">
        <v>1</v>
      </c>
      <c r="CK34" s="4">
        <v>5</v>
      </c>
      <c r="CL34" s="4">
        <v>1</v>
      </c>
      <c r="CM34" s="4">
        <v>5</v>
      </c>
      <c r="CN34" s="4">
        <v>2</v>
      </c>
      <c r="CO34" s="4">
        <v>1</v>
      </c>
      <c r="CP34" s="4">
        <v>1</v>
      </c>
      <c r="CQ34" s="4">
        <v>1</v>
      </c>
      <c r="CR34" s="4">
        <v>1</v>
      </c>
      <c r="CS34" s="4">
        <v>1</v>
      </c>
      <c r="CT34" s="4">
        <v>1</v>
      </c>
      <c r="CU34" s="4">
        <v>1</v>
      </c>
      <c r="CV34" s="4">
        <v>5</v>
      </c>
      <c r="CW34" s="4">
        <v>5</v>
      </c>
      <c r="CX34" s="4">
        <f>SUM(Foglio1!$BT34:$CW34)</f>
        <v>82</v>
      </c>
      <c r="CY34" s="4">
        <f>SUM(Foglio1!$BT34+Foglio1!$BV34+Foglio1!$CP34+Foglio1!$BY34+Foglio1!$BX34+Foglio1!$CH34+Foglio1!$CS34+Foglio1!$CW34-Foglio1!$CE34)</f>
        <v>24</v>
      </c>
      <c r="CZ34" s="4">
        <f>SUM(Foglio1!$CF34+Foglio1!$CA34+Foglio1!$CB34+Foglio1!$CD34+Foglio1!$CN34+Foglio1!$CC34+Foglio1!$CW34+Foglio1!$CO34+Foglio1!$CT34-Foglio1!$BU34)</f>
        <v>25</v>
      </c>
      <c r="DA34" s="4">
        <f>SUM(Foglio1!$CG34+Foglio1!$CR34+Foglio1!$CQ34+Foglio1!$BU34+Foglio1!$CE34+Foglio1!$CL34+Foglio1!$CS34+Foglio1!$CT34+Foglio1!$CV34+Foglio1!$CP34)</f>
        <v>17</v>
      </c>
      <c r="DB34" s="4">
        <f>SUM(Foglio1!$CU34+Foglio1!$BW34+Foglio1!$BZ34+Foglio1!$CO34+Foglio1!$BX34+Foglio1!$CC34+Foglio1!$CK34+Foglio1!$CW34)</f>
        <v>22</v>
      </c>
      <c r="DC34" s="4">
        <f>SUM(Foglio1!$CI34+Foglio1!$CM34+Foglio1!$CJ34+Foglio1!$CK34+Foglio1!$BY34+Foglio1!$CH34+Foglio1!$CV34+Foglio1!$CW34)</f>
        <v>36</v>
      </c>
      <c r="DD34" s="4">
        <v>2</v>
      </c>
      <c r="DE34" s="4">
        <v>0</v>
      </c>
      <c r="DF34" s="4">
        <v>0</v>
      </c>
      <c r="DG34" s="4">
        <v>0</v>
      </c>
      <c r="DH34" s="4">
        <v>0</v>
      </c>
      <c r="DI34" s="4">
        <v>2</v>
      </c>
      <c r="DJ34" s="4">
        <v>0</v>
      </c>
      <c r="DK34" s="4">
        <v>0</v>
      </c>
      <c r="DL34" s="4">
        <v>0</v>
      </c>
      <c r="DM34" s="4">
        <v>0</v>
      </c>
      <c r="DN34" s="4">
        <v>0</v>
      </c>
      <c r="DO34" s="4">
        <v>0</v>
      </c>
      <c r="DP34" s="4">
        <v>0</v>
      </c>
      <c r="DQ34" s="4">
        <v>0</v>
      </c>
      <c r="DR34" s="4">
        <v>0</v>
      </c>
      <c r="DS34" s="4">
        <v>0</v>
      </c>
      <c r="DT34" s="4">
        <v>0</v>
      </c>
      <c r="DU34" s="4">
        <v>2</v>
      </c>
      <c r="DV34" s="4">
        <v>0</v>
      </c>
      <c r="DW34" s="4">
        <v>0</v>
      </c>
      <c r="DX34" s="4">
        <v>2</v>
      </c>
      <c r="DY34" s="4">
        <v>4</v>
      </c>
      <c r="DZ34" s="4">
        <v>0</v>
      </c>
      <c r="EA34" s="4">
        <v>2</v>
      </c>
      <c r="EB34" s="4">
        <v>3</v>
      </c>
      <c r="EC34" s="4">
        <v>0</v>
      </c>
      <c r="ED34" s="4">
        <v>2</v>
      </c>
      <c r="EE34" s="4">
        <v>2</v>
      </c>
      <c r="EF34" s="4">
        <v>0</v>
      </c>
      <c r="EG34" s="4">
        <v>0</v>
      </c>
      <c r="EH34" s="4">
        <f>(Foglio1!$DE34+Foglio1!$DH34+Foglio1!$DG34+Foglio1!$DF34+Foglio1!$DM34+Foglio1!$DD34+Foglio1!$DO34+Foglio1!$DL34+Foglio1!$DN34+Foglio1!$DQ34+Foglio1!$DP34+Foglio1!$DT34+Foglio1!$DI34+Foglio1!$DK34+Foglio1!$DU34)</f>
        <v>6</v>
      </c>
      <c r="EI34" s="4">
        <f>(Foglio1!$EA34+Foglio1!$EB34+Foglio1!$EE34+Foglio1!$EC34+Foglio1!$ED34+Foglio1!$DZ34+Foglio1!$DY34)</f>
        <v>13</v>
      </c>
      <c r="EJ34" s="4">
        <f>(Foglio1!$DW34+Foglio1!$DV34+Foglio1!$DX34)</f>
        <v>2</v>
      </c>
      <c r="EK34" s="4">
        <f>(Foglio1!$EG34+Foglio1!$EF34)</f>
        <v>0</v>
      </c>
      <c r="EL34" s="4">
        <v>1</v>
      </c>
      <c r="EM34" s="4">
        <v>1</v>
      </c>
      <c r="EN34" s="4">
        <v>1</v>
      </c>
      <c r="EO34" s="4">
        <v>1</v>
      </c>
      <c r="EP34" s="4">
        <f t="array" ref="EP34">SUM(EL34:EO34/4)</f>
        <v>1</v>
      </c>
      <c r="EQ34" s="4">
        <v>1</v>
      </c>
      <c r="ER34" s="4">
        <v>1</v>
      </c>
      <c r="ES34" s="4">
        <v>0</v>
      </c>
      <c r="ET34" s="4">
        <v>0</v>
      </c>
      <c r="EU34" s="4" t="s">
        <v>1279</v>
      </c>
      <c r="EV34" s="4">
        <v>0</v>
      </c>
      <c r="EW34" s="4" t="s">
        <v>1280</v>
      </c>
      <c r="EX34" s="4">
        <v>0</v>
      </c>
      <c r="EY34" s="4">
        <f>(Foglio1!$EQ34+Foglio1!$ER34+Foglio1!$ES34+Foglio1!$ET34+Foglio1!$EV34+Foglio1!$EX34)/6</f>
        <v>0.33333333333333331</v>
      </c>
      <c r="EZ34" s="4">
        <v>1</v>
      </c>
      <c r="FA34" s="4">
        <v>1</v>
      </c>
      <c r="FB34" s="4">
        <v>0</v>
      </c>
      <c r="FC34" s="4">
        <f>(Foglio1!$EZ34+Foglio1!$FA34+Foglio1!$FB34)/3</f>
        <v>0.66666666666666663</v>
      </c>
      <c r="FD34" s="4">
        <v>0</v>
      </c>
      <c r="FE34" s="4">
        <v>0</v>
      </c>
      <c r="FF34" s="4">
        <f>(Foglio1!$FD34+Foglio1!$FE34)/2</f>
        <v>0</v>
      </c>
      <c r="FG34" s="4" t="s">
        <v>1281</v>
      </c>
      <c r="FH34" s="4">
        <v>1</v>
      </c>
      <c r="FI34" s="4" t="s">
        <v>1282</v>
      </c>
      <c r="FJ34" s="4">
        <v>0</v>
      </c>
      <c r="FK34" s="4" t="s">
        <v>1283</v>
      </c>
      <c r="FL34" s="4">
        <v>0</v>
      </c>
      <c r="FM34" s="4">
        <f>(Foglio1!$FH34+Foglio1!$FJ34+Foglio1!$FL34)/3</f>
        <v>0.33333333333333331</v>
      </c>
      <c r="FN34" s="4">
        <f>(Foglio1!$EP34)</f>
        <v>1</v>
      </c>
      <c r="FO34" s="4">
        <f>(Foglio1!$EY34+Foglio1!$FC34+Foglio1!$FF34+Foglio1!$FM34)/4</f>
        <v>0.33333333333333331</v>
      </c>
      <c r="FP34" s="4">
        <f>(Foglio1!$EP34+Foglio1!$EY34+Foglio1!$FC34+Foglio1!$FF34+Foglio1!$FM34)/5</f>
        <v>0.46666666666666667</v>
      </c>
      <c r="FQ34" s="4" t="s">
        <v>355</v>
      </c>
      <c r="FR34" s="4" t="s">
        <v>356</v>
      </c>
      <c r="FS34" s="4" t="s">
        <v>356</v>
      </c>
      <c r="FT34" s="4" t="s">
        <v>356</v>
      </c>
      <c r="FU34" s="4" t="s">
        <v>356</v>
      </c>
      <c r="FV34" s="4" t="s">
        <v>356</v>
      </c>
      <c r="FW34" s="4" t="s">
        <v>356</v>
      </c>
      <c r="FX34" s="4" t="s">
        <v>356</v>
      </c>
      <c r="FY34" s="4" t="s">
        <v>356</v>
      </c>
      <c r="FZ34" s="4" t="s">
        <v>356</v>
      </c>
      <c r="GA34" s="4" t="s">
        <v>356</v>
      </c>
      <c r="GB34" s="4" t="s">
        <v>356</v>
      </c>
      <c r="GC34" s="4" t="s">
        <v>356</v>
      </c>
      <c r="GD34" s="4" t="s">
        <v>356</v>
      </c>
      <c r="GE34" s="4" t="s">
        <v>356</v>
      </c>
      <c r="GF34" s="4" t="s">
        <v>356</v>
      </c>
      <c r="GG34" s="4" t="s">
        <v>356</v>
      </c>
      <c r="GH34" s="4" t="s">
        <v>356</v>
      </c>
      <c r="GI34" s="4" t="s">
        <v>356</v>
      </c>
      <c r="GJ34" s="4" t="s">
        <v>356</v>
      </c>
      <c r="GK34" s="4" t="s">
        <v>356</v>
      </c>
      <c r="GL34" s="4" t="s">
        <v>356</v>
      </c>
      <c r="GM34" s="4" t="s">
        <v>356</v>
      </c>
      <c r="GN34" s="4" t="s">
        <v>356</v>
      </c>
      <c r="GO34" s="4" t="s">
        <v>356</v>
      </c>
      <c r="GP34" s="4" t="s">
        <v>356</v>
      </c>
      <c r="GQ34" s="4" t="s">
        <v>356</v>
      </c>
      <c r="GR34" s="4" t="s">
        <v>356</v>
      </c>
      <c r="GS34" s="4" t="s">
        <v>356</v>
      </c>
      <c r="GT34" s="4" t="s">
        <v>356</v>
      </c>
      <c r="GU34" s="4" t="s">
        <v>356</v>
      </c>
      <c r="GV34" s="4" t="s">
        <v>356</v>
      </c>
      <c r="GW34" s="4" t="s">
        <v>356</v>
      </c>
      <c r="GX34" s="4" t="s">
        <v>356</v>
      </c>
      <c r="GY34" s="4" t="s">
        <v>356</v>
      </c>
      <c r="GZ34" s="4" t="s">
        <v>356</v>
      </c>
      <c r="HA34" s="4" t="s">
        <v>356</v>
      </c>
      <c r="HB34" s="4" t="s">
        <v>356</v>
      </c>
      <c r="HC34" s="4" t="s">
        <v>356</v>
      </c>
      <c r="HD34" s="4" t="s">
        <v>356</v>
      </c>
      <c r="HE34" s="4" t="s">
        <v>356</v>
      </c>
      <c r="HF34" s="4" t="s">
        <v>356</v>
      </c>
      <c r="HG34" s="4" t="s">
        <v>356</v>
      </c>
      <c r="HH34" s="4" t="s">
        <v>356</v>
      </c>
      <c r="HI34" s="4" t="s">
        <v>356</v>
      </c>
      <c r="HJ34" s="4" t="s">
        <v>356</v>
      </c>
      <c r="HK34" s="4" t="s">
        <v>356</v>
      </c>
      <c r="HL34" s="4" t="s">
        <v>356</v>
      </c>
      <c r="HM34" s="4" t="s">
        <v>356</v>
      </c>
      <c r="HN34" s="4" t="s">
        <v>356</v>
      </c>
      <c r="HO34" s="4" t="s">
        <v>356</v>
      </c>
      <c r="HP34" s="4" t="s">
        <v>356</v>
      </c>
      <c r="HQ34" s="4" t="s">
        <v>356</v>
      </c>
      <c r="HR34" s="4" t="s">
        <v>356</v>
      </c>
      <c r="HS34" s="4" t="s">
        <v>356</v>
      </c>
      <c r="HT34" s="4" t="s">
        <v>356</v>
      </c>
      <c r="HU34" s="4" t="s">
        <v>356</v>
      </c>
      <c r="HV34" s="4" t="s">
        <v>356</v>
      </c>
      <c r="HW34" s="4" t="s">
        <v>356</v>
      </c>
      <c r="HX34" s="4" t="s">
        <v>356</v>
      </c>
      <c r="HY34" s="4" t="s">
        <v>356</v>
      </c>
      <c r="HZ34" s="4" t="s">
        <v>356</v>
      </c>
      <c r="IA34" s="4" t="s">
        <v>356</v>
      </c>
      <c r="IB34" s="4" t="s">
        <v>356</v>
      </c>
      <c r="IC34" s="4" t="s">
        <v>356</v>
      </c>
      <c r="ID34" s="4" t="s">
        <v>356</v>
      </c>
      <c r="IE34" s="4" t="s">
        <v>356</v>
      </c>
      <c r="IF34" s="4" t="s">
        <v>356</v>
      </c>
      <c r="IG34" s="4" t="s">
        <v>356</v>
      </c>
      <c r="IH34" s="4" t="s">
        <v>356</v>
      </c>
      <c r="II34" s="4" t="s">
        <v>356</v>
      </c>
      <c r="IJ34" s="4" t="s">
        <v>356</v>
      </c>
      <c r="IK34" s="4" t="s">
        <v>356</v>
      </c>
      <c r="IL34" s="4" t="s">
        <v>356</v>
      </c>
      <c r="IM34" s="4" t="s">
        <v>356</v>
      </c>
      <c r="IN34" s="4" t="s">
        <v>356</v>
      </c>
      <c r="IO34" s="4" t="s">
        <v>356</v>
      </c>
      <c r="IP34" s="4" t="s">
        <v>356</v>
      </c>
      <c r="IQ34" s="4" t="s">
        <v>356</v>
      </c>
      <c r="IR34" s="4" t="s">
        <v>356</v>
      </c>
      <c r="IS34" s="4" t="s">
        <v>356</v>
      </c>
      <c r="IT34" s="4" t="s">
        <v>356</v>
      </c>
      <c r="IU34" s="4" t="s">
        <v>356</v>
      </c>
      <c r="IV34" s="4" t="s">
        <v>356</v>
      </c>
      <c r="IW34" s="4" t="s">
        <v>356</v>
      </c>
      <c r="IX34" s="4" t="s">
        <v>356</v>
      </c>
      <c r="IY34" s="4" t="s">
        <v>356</v>
      </c>
      <c r="IZ34" s="4" t="s">
        <v>356</v>
      </c>
      <c r="JA34" s="4" t="s">
        <v>356</v>
      </c>
      <c r="JB34" s="4" t="s">
        <v>356</v>
      </c>
      <c r="JC34" s="4" t="s">
        <v>356</v>
      </c>
      <c r="JD34" s="4" t="s">
        <v>356</v>
      </c>
      <c r="JE34" s="4" t="s">
        <v>356</v>
      </c>
      <c r="JF34" s="4" t="s">
        <v>356</v>
      </c>
      <c r="JG34" s="4" t="s">
        <v>356</v>
      </c>
      <c r="JH34" s="4" t="s">
        <v>356</v>
      </c>
      <c r="JI34" s="4" t="s">
        <v>356</v>
      </c>
      <c r="JJ34" s="4" t="s">
        <v>356</v>
      </c>
      <c r="JK34" s="4" t="s">
        <v>356</v>
      </c>
      <c r="JL34" s="4" t="s">
        <v>356</v>
      </c>
      <c r="JM34" s="4" t="s">
        <v>356</v>
      </c>
      <c r="JN34" s="4" t="s">
        <v>356</v>
      </c>
      <c r="JO34" s="4" t="s">
        <v>356</v>
      </c>
      <c r="JP34" s="4" t="s">
        <v>356</v>
      </c>
      <c r="JQ34" s="4" t="s">
        <v>356</v>
      </c>
      <c r="JR34" s="4" t="s">
        <v>356</v>
      </c>
      <c r="JS34" s="4" t="s">
        <v>356</v>
      </c>
      <c r="JT34" s="4" t="s">
        <v>356</v>
      </c>
      <c r="JU34" s="4" t="s">
        <v>356</v>
      </c>
      <c r="JV34" s="4" t="s">
        <v>356</v>
      </c>
      <c r="JW34" s="4" t="s">
        <v>356</v>
      </c>
      <c r="JX34" s="4" t="s">
        <v>356</v>
      </c>
      <c r="JY34" s="4" t="s">
        <v>356</v>
      </c>
      <c r="JZ34" s="4" t="s">
        <v>356</v>
      </c>
      <c r="KA34" s="4" t="str">
        <f>(Foglio1!$JC34)</f>
        <v>BBB</v>
      </c>
      <c r="KB34" s="4" t="s">
        <v>356</v>
      </c>
      <c r="KC34" s="4" t="s">
        <v>356</v>
      </c>
      <c r="KD34" s="4" t="s">
        <v>356</v>
      </c>
      <c r="KE34" s="4" t="s">
        <v>356</v>
      </c>
      <c r="KF34" s="4" t="s">
        <v>356</v>
      </c>
      <c r="KG34" s="4" t="s">
        <v>356</v>
      </c>
      <c r="KH34" s="4" t="s">
        <v>356</v>
      </c>
      <c r="KI34" s="4" t="s">
        <v>356</v>
      </c>
      <c r="KJ34" s="4" t="s">
        <v>356</v>
      </c>
      <c r="KK34" s="4" t="s">
        <v>356</v>
      </c>
      <c r="KL34" s="4" t="s">
        <v>356</v>
      </c>
      <c r="KM34" s="4" t="s">
        <v>356</v>
      </c>
      <c r="KN34" s="4" t="s">
        <v>356</v>
      </c>
      <c r="KO34" s="4" t="s">
        <v>356</v>
      </c>
      <c r="KP34" s="4" t="s">
        <v>356</v>
      </c>
      <c r="KQ34" s="4" t="s">
        <v>356</v>
      </c>
      <c r="KR34" s="4" t="s">
        <v>356</v>
      </c>
      <c r="KS34" s="4" t="s">
        <v>356</v>
      </c>
      <c r="KT34" s="4" t="s">
        <v>356</v>
      </c>
      <c r="KU34" s="4" t="s">
        <v>356</v>
      </c>
      <c r="KV34" s="4" t="s">
        <v>356</v>
      </c>
      <c r="KW34" s="4" t="s">
        <v>356</v>
      </c>
      <c r="KX34" s="4" t="s">
        <v>356</v>
      </c>
      <c r="KY34" s="4" t="s">
        <v>356</v>
      </c>
      <c r="KZ34" s="4" t="s">
        <v>356</v>
      </c>
      <c r="LA34" s="4" t="s">
        <v>356</v>
      </c>
      <c r="LB34" s="4" t="s">
        <v>356</v>
      </c>
      <c r="LC34" s="4" t="s">
        <v>356</v>
      </c>
      <c r="LD34" s="4" t="s">
        <v>356</v>
      </c>
      <c r="LE34" s="4" t="s">
        <v>356</v>
      </c>
      <c r="LF34" s="4" t="s">
        <v>356</v>
      </c>
      <c r="LG34" s="4" t="s">
        <v>356</v>
      </c>
      <c r="LH34" s="4" t="s">
        <v>356</v>
      </c>
      <c r="LI34" s="4" t="s">
        <v>356</v>
      </c>
      <c r="LJ34" s="4" t="s">
        <v>356</v>
      </c>
      <c r="LK34" s="4" t="s">
        <v>356</v>
      </c>
      <c r="LL34" s="4" t="s">
        <v>356</v>
      </c>
      <c r="LM34" s="4" t="s">
        <v>356</v>
      </c>
      <c r="LN34" s="4" t="s">
        <v>356</v>
      </c>
      <c r="LO34" s="4" t="s">
        <v>356</v>
      </c>
      <c r="LP34" s="4" t="s">
        <v>356</v>
      </c>
      <c r="LQ34" s="4" t="s">
        <v>356</v>
      </c>
      <c r="LR34" s="4" t="s">
        <v>356</v>
      </c>
      <c r="LS34" s="4" t="s">
        <v>356</v>
      </c>
      <c r="LT34" s="4" t="s">
        <v>356</v>
      </c>
      <c r="LU34" s="4" t="s">
        <v>356</v>
      </c>
      <c r="LV34" s="4" t="s">
        <v>356</v>
      </c>
      <c r="LW34" s="4" t="s">
        <v>356</v>
      </c>
      <c r="LX34" s="4" t="s">
        <v>356</v>
      </c>
      <c r="LY34" s="4" t="s">
        <v>356</v>
      </c>
      <c r="LZ34" s="3">
        <v>0</v>
      </c>
      <c r="MA34" s="3">
        <v>2</v>
      </c>
      <c r="MB34" s="3">
        <v>1</v>
      </c>
      <c r="MC34" s="3">
        <v>0</v>
      </c>
      <c r="MD34" s="3">
        <f t="shared" si="7"/>
        <v>3</v>
      </c>
      <c r="ME34" s="3">
        <v>0</v>
      </c>
      <c r="MF34" s="3">
        <v>2</v>
      </c>
      <c r="MG34" s="3">
        <v>1</v>
      </c>
      <c r="MH34" s="3">
        <v>0</v>
      </c>
      <c r="MI34" s="3">
        <f t="shared" si="8"/>
        <v>3</v>
      </c>
    </row>
    <row r="35" spans="1:347" ht="15.75" customHeight="1" x14ac:dyDescent="0.25">
      <c r="A35" s="4" t="s">
        <v>1284</v>
      </c>
      <c r="B35" s="4">
        <v>28</v>
      </c>
      <c r="C35" s="4" t="s">
        <v>349</v>
      </c>
      <c r="D35" s="4">
        <v>13</v>
      </c>
      <c r="E35" s="4">
        <v>1</v>
      </c>
      <c r="F35" s="4" t="s">
        <v>350</v>
      </c>
      <c r="G35" s="4" t="s">
        <v>351</v>
      </c>
      <c r="H35" s="4" t="s">
        <v>1285</v>
      </c>
      <c r="I35" s="4" t="s">
        <v>1286</v>
      </c>
      <c r="J35" s="4"/>
      <c r="K35" s="4"/>
      <c r="L35" s="5" t="s">
        <v>356</v>
      </c>
      <c r="M35" s="4" t="s">
        <v>1287</v>
      </c>
      <c r="N35" s="4" t="s">
        <v>1288</v>
      </c>
      <c r="O35" s="9">
        <v>45734</v>
      </c>
      <c r="P35" s="9">
        <v>45747</v>
      </c>
      <c r="Q35" s="4" t="s">
        <v>359</v>
      </c>
      <c r="R35" s="4"/>
      <c r="S35" s="4"/>
      <c r="T35" s="4"/>
      <c r="U35" s="4"/>
      <c r="V35" s="4"/>
      <c r="W35" s="4"/>
      <c r="X35" s="4"/>
      <c r="Y35" s="4"/>
      <c r="Z35" s="4"/>
      <c r="AA35" s="4"/>
      <c r="AB35" s="4"/>
      <c r="AC35" s="4"/>
      <c r="AD35" s="4"/>
      <c r="AE35" s="4"/>
      <c r="AF35" s="4"/>
      <c r="AG35" s="4"/>
      <c r="AH35" s="4" t="s">
        <v>607</v>
      </c>
      <c r="AI35" s="4" t="s">
        <v>608</v>
      </c>
      <c r="AJ35" s="4" t="s">
        <v>1289</v>
      </c>
      <c r="AK35" s="4" t="s">
        <v>1290</v>
      </c>
      <c r="AL35" s="5" t="s">
        <v>356</v>
      </c>
      <c r="AM35" s="5" t="s">
        <v>356</v>
      </c>
      <c r="AN35" s="5" t="s">
        <v>356</v>
      </c>
      <c r="AO35" s="5" t="s">
        <v>356</v>
      </c>
      <c r="AP35" s="5" t="s">
        <v>356</v>
      </c>
      <c r="AQ35" s="5" t="s">
        <v>356</v>
      </c>
      <c r="AR35" s="5" t="s">
        <v>356</v>
      </c>
      <c r="AS35" s="5" t="s">
        <v>356</v>
      </c>
      <c r="AT35" s="5" t="s">
        <v>356</v>
      </c>
      <c r="AU35" s="5" t="s">
        <v>356</v>
      </c>
      <c r="AV35" s="5" t="s">
        <v>356</v>
      </c>
      <c r="AW35" s="5" t="s">
        <v>356</v>
      </c>
      <c r="AX35" s="4">
        <v>2</v>
      </c>
      <c r="AY35" s="4"/>
      <c r="AZ35" s="5" t="s">
        <v>383</v>
      </c>
      <c r="BA35" s="4">
        <f t="shared" si="38"/>
        <v>13</v>
      </c>
      <c r="BB35" s="4"/>
      <c r="BC35" s="4"/>
      <c r="BD35" s="4"/>
      <c r="BE35" s="4"/>
      <c r="BF35" s="4"/>
      <c r="BG35" s="6">
        <v>45736</v>
      </c>
      <c r="BH35" s="4">
        <v>3</v>
      </c>
      <c r="BI35" s="4">
        <v>0</v>
      </c>
      <c r="BJ35" s="4">
        <v>3</v>
      </c>
      <c r="BK35" s="4">
        <v>2</v>
      </c>
      <c r="BL35" s="4">
        <v>2</v>
      </c>
      <c r="BM35" s="4">
        <v>3</v>
      </c>
      <c r="BN35" s="4">
        <v>0</v>
      </c>
      <c r="BO35" s="4">
        <f>SUM(Foglio1!$BH35:$BM35)</f>
        <v>13</v>
      </c>
      <c r="BP35" s="4">
        <v>3</v>
      </c>
      <c r="BQ35" s="4">
        <v>4</v>
      </c>
      <c r="BR35" s="4">
        <v>10</v>
      </c>
      <c r="BS35" s="4">
        <v>60</v>
      </c>
      <c r="BT35" s="4">
        <v>4</v>
      </c>
      <c r="BU35" s="4">
        <v>1</v>
      </c>
      <c r="BV35" s="4">
        <v>1</v>
      </c>
      <c r="BW35" s="4">
        <v>2</v>
      </c>
      <c r="BX35" s="4">
        <v>5</v>
      </c>
      <c r="BY35" s="4">
        <v>1</v>
      </c>
      <c r="BZ35" s="4">
        <v>1</v>
      </c>
      <c r="CA35" s="4">
        <v>1</v>
      </c>
      <c r="CB35" s="4">
        <v>1</v>
      </c>
      <c r="CC35" s="4">
        <v>1</v>
      </c>
      <c r="CD35" s="4">
        <v>1</v>
      </c>
      <c r="CE35" s="4">
        <v>1</v>
      </c>
      <c r="CF35" s="4">
        <v>1</v>
      </c>
      <c r="CG35" s="4">
        <v>1</v>
      </c>
      <c r="CH35" s="4">
        <v>1</v>
      </c>
      <c r="CI35" s="4">
        <v>1</v>
      </c>
      <c r="CJ35" s="4">
        <v>1</v>
      </c>
      <c r="CK35" s="4">
        <v>1</v>
      </c>
      <c r="CL35" s="4">
        <v>1</v>
      </c>
      <c r="CM35" s="4">
        <v>1</v>
      </c>
      <c r="CN35" s="4">
        <v>1</v>
      </c>
      <c r="CO35" s="4">
        <v>1</v>
      </c>
      <c r="CP35" s="4">
        <v>5</v>
      </c>
      <c r="CQ35" s="4">
        <v>1</v>
      </c>
      <c r="CR35" s="4">
        <v>1</v>
      </c>
      <c r="CS35" s="4">
        <v>3</v>
      </c>
      <c r="CT35" s="4">
        <v>1</v>
      </c>
      <c r="CU35" s="4">
        <v>1</v>
      </c>
      <c r="CV35" s="4">
        <v>1</v>
      </c>
      <c r="CW35" s="4">
        <v>1</v>
      </c>
      <c r="CX35" s="4">
        <f>SUM(Foglio1!$BT35:$CW35)</f>
        <v>44</v>
      </c>
      <c r="CY35" s="4">
        <f>SUM(Foglio1!$BT35+Foglio1!$BV35+Foglio1!$CP35+Foglio1!$BY35+Foglio1!$BX35+Foglio1!$CH35+Foglio1!$CS35+Foglio1!$CW35-Foglio1!$CE35)</f>
        <v>20</v>
      </c>
      <c r="CZ35" s="4">
        <f>SUM(Foglio1!$CF35+Foglio1!$CA35+Foglio1!$CB35+Foglio1!$CD35+Foglio1!$CN35+Foglio1!$CC35+Foglio1!$CW35+Foglio1!$CO35+Foglio1!$CT35-Foglio1!$BU35)</f>
        <v>8</v>
      </c>
      <c r="DA35" s="4">
        <f>SUM(Foglio1!$CG35+Foglio1!$CR35+Foglio1!$CQ35+Foglio1!$BU35+Foglio1!$CE35+Foglio1!$CL35+Foglio1!$CS35+Foglio1!$CT35+Foglio1!$CV35+Foglio1!$CP35)</f>
        <v>16</v>
      </c>
      <c r="DB35" s="4">
        <f>SUM(Foglio1!$CU35+Foglio1!$BW35+Foglio1!$BZ35+Foglio1!$CO35+Foglio1!$BX35+Foglio1!$CC35+Foglio1!$CK35+Foglio1!$CW35)</f>
        <v>13</v>
      </c>
      <c r="DC35" s="4">
        <f>SUM(Foglio1!$CI35+Foglio1!$CM35+Foglio1!$CJ35+Foglio1!$CK35+Foglio1!$BY35+Foglio1!$CH35+Foglio1!$CV35+Foglio1!$CW35)</f>
        <v>8</v>
      </c>
      <c r="DD35" s="4">
        <v>0</v>
      </c>
      <c r="DE35" s="4">
        <v>2</v>
      </c>
      <c r="DF35" s="4">
        <v>0</v>
      </c>
      <c r="DG35" s="4">
        <v>0</v>
      </c>
      <c r="DH35" s="4">
        <v>0</v>
      </c>
      <c r="DI35" s="4">
        <v>0</v>
      </c>
      <c r="DJ35" s="4">
        <v>0</v>
      </c>
      <c r="DK35" s="4">
        <v>0</v>
      </c>
      <c r="DL35" s="4">
        <v>0</v>
      </c>
      <c r="DM35" s="4">
        <v>0</v>
      </c>
      <c r="DN35" s="4">
        <v>0</v>
      </c>
      <c r="DO35" s="4">
        <v>0</v>
      </c>
      <c r="DP35" s="4">
        <v>0</v>
      </c>
      <c r="DQ35" s="4">
        <v>0</v>
      </c>
      <c r="DR35" s="4">
        <v>0</v>
      </c>
      <c r="DS35" s="4">
        <v>0</v>
      </c>
      <c r="DT35" s="4">
        <v>0</v>
      </c>
      <c r="DU35" s="4">
        <v>0</v>
      </c>
      <c r="DV35" s="4">
        <v>0</v>
      </c>
      <c r="DW35" s="4">
        <v>0</v>
      </c>
      <c r="DX35" s="4">
        <v>1</v>
      </c>
      <c r="DY35" s="4">
        <v>2</v>
      </c>
      <c r="DZ35" s="4">
        <v>0</v>
      </c>
      <c r="EA35" s="4">
        <v>3</v>
      </c>
      <c r="EB35" s="4">
        <v>2</v>
      </c>
      <c r="EC35" s="4">
        <v>3</v>
      </c>
      <c r="ED35" s="4">
        <v>0</v>
      </c>
      <c r="EE35" s="4">
        <v>2</v>
      </c>
      <c r="EF35" s="4">
        <v>3</v>
      </c>
      <c r="EG35" s="4">
        <v>3</v>
      </c>
      <c r="EH35" s="4">
        <f>(Foglio1!$DE35+Foglio1!$DH35+Foglio1!$DG35+Foglio1!$DF35+Foglio1!$DM35+Foglio1!$DD35+Foglio1!$DO35+Foglio1!$DL35+Foglio1!$DN35+Foglio1!$DQ35+Foglio1!$DP35+Foglio1!$DT35+Foglio1!$DI35+Foglio1!$DK35+Foglio1!$DU35)</f>
        <v>2</v>
      </c>
      <c r="EI35" s="4">
        <f>(Foglio1!$EA35+Foglio1!$EB35+Foglio1!$EE35+Foglio1!$EC35+Foglio1!$ED35+Foglio1!$DZ35+Foglio1!$DY35)</f>
        <v>12</v>
      </c>
      <c r="EJ35" s="4">
        <f>(Foglio1!$DW35+Foglio1!$DV35+Foglio1!$DX35)</f>
        <v>1</v>
      </c>
      <c r="EK35" s="4">
        <f>(Foglio1!$EG35+Foglio1!$EF35)</f>
        <v>6</v>
      </c>
      <c r="EL35" s="4">
        <v>1</v>
      </c>
      <c r="EM35" s="4">
        <v>1</v>
      </c>
      <c r="EN35" s="4">
        <v>1</v>
      </c>
      <c r="EO35" s="4">
        <v>1</v>
      </c>
      <c r="EP35" s="4">
        <f t="array" ref="EP35">SUM(EL35:EO35/4)</f>
        <v>1</v>
      </c>
      <c r="EQ35" s="4">
        <v>1</v>
      </c>
      <c r="ER35" s="4">
        <v>1</v>
      </c>
      <c r="ES35" s="4">
        <v>0</v>
      </c>
      <c r="ET35" s="4">
        <v>1</v>
      </c>
      <c r="EU35" s="4" t="s">
        <v>1291</v>
      </c>
      <c r="EV35" s="4">
        <v>0</v>
      </c>
      <c r="EW35" s="4" t="s">
        <v>1292</v>
      </c>
      <c r="EX35" s="4">
        <v>0</v>
      </c>
      <c r="EY35" s="4">
        <f>(Foglio1!$EQ35+Foglio1!$ER35+Foglio1!$ES35+Foglio1!$ET35+Foglio1!$EV35+Foglio1!$EX35)/6</f>
        <v>0.5</v>
      </c>
      <c r="EZ35" s="4">
        <v>1</v>
      </c>
      <c r="FA35" s="4">
        <v>1</v>
      </c>
      <c r="FB35" s="4">
        <v>1</v>
      </c>
      <c r="FC35" s="4">
        <f>(Foglio1!$EZ35+Foglio1!$FA35+Foglio1!$FB35)/3</f>
        <v>1</v>
      </c>
      <c r="FD35" s="4">
        <v>1</v>
      </c>
      <c r="FE35" s="4">
        <v>1</v>
      </c>
      <c r="FF35" s="4">
        <f>(Foglio1!$FD35+Foglio1!$FE35)/2</f>
        <v>1</v>
      </c>
      <c r="FG35" s="4" t="s">
        <v>1293</v>
      </c>
      <c r="FH35" s="4">
        <v>0</v>
      </c>
      <c r="FI35" s="4" t="s">
        <v>1294</v>
      </c>
      <c r="FJ35" s="4">
        <v>0</v>
      </c>
      <c r="FK35" s="4" t="s">
        <v>1295</v>
      </c>
      <c r="FL35" s="4">
        <v>0</v>
      </c>
      <c r="FM35" s="4">
        <f>(Foglio1!$FH35+Foglio1!$FJ35+Foglio1!$FL35)/3</f>
        <v>0</v>
      </c>
      <c r="FN35" s="4">
        <f>(Foglio1!$EP35)</f>
        <v>1</v>
      </c>
      <c r="FO35" s="4">
        <f>(Foglio1!$EY35+Foglio1!$FC35+Foglio1!$FF35+Foglio1!$FM35)/4</f>
        <v>0.625</v>
      </c>
      <c r="FP35" s="4">
        <f>(Foglio1!$EP35+Foglio1!$EY35+Foglio1!$FC35+Foglio1!$FF35+Foglio1!$FM35)/5</f>
        <v>0.7</v>
      </c>
      <c r="FQ35" s="6">
        <v>45744</v>
      </c>
      <c r="FR35" s="4">
        <v>2</v>
      </c>
      <c r="FS35" s="4">
        <v>1</v>
      </c>
      <c r="FT35" s="4">
        <v>2</v>
      </c>
      <c r="FU35" s="4">
        <v>2</v>
      </c>
      <c r="FV35" s="4">
        <v>2</v>
      </c>
      <c r="FW35" s="4">
        <v>3</v>
      </c>
      <c r="FX35" s="4">
        <v>2</v>
      </c>
      <c r="FY35" s="4">
        <v>4</v>
      </c>
      <c r="FZ35" s="4">
        <v>3</v>
      </c>
      <c r="GA35" s="4">
        <v>5</v>
      </c>
      <c r="GB35" s="4">
        <v>65</v>
      </c>
      <c r="GC35" s="4">
        <v>3</v>
      </c>
      <c r="GD35" s="4">
        <v>3</v>
      </c>
      <c r="GE35" s="4">
        <v>0</v>
      </c>
      <c r="GF35" s="4">
        <v>0</v>
      </c>
      <c r="GG35" s="4">
        <v>2</v>
      </c>
      <c r="GH35" s="4">
        <v>1</v>
      </c>
      <c r="GI35" s="4">
        <v>0</v>
      </c>
      <c r="GJ35" s="4">
        <v>1</v>
      </c>
      <c r="GK35" s="4">
        <v>1</v>
      </c>
      <c r="GL35" s="4">
        <v>3</v>
      </c>
      <c r="GM35" s="4">
        <v>3</v>
      </c>
      <c r="GN35" s="4">
        <v>0</v>
      </c>
      <c r="GO35" s="4">
        <v>1</v>
      </c>
      <c r="GP35" s="4">
        <v>1</v>
      </c>
      <c r="GQ35" s="4">
        <v>0</v>
      </c>
      <c r="GR35" s="4">
        <v>1</v>
      </c>
      <c r="GS35" s="4">
        <v>0</v>
      </c>
      <c r="GT35" s="4">
        <v>1</v>
      </c>
      <c r="GU35" s="4">
        <v>0</v>
      </c>
      <c r="GV35" s="4">
        <v>1</v>
      </c>
      <c r="GW35" s="4">
        <v>0</v>
      </c>
      <c r="GX35" s="4">
        <v>0</v>
      </c>
      <c r="GY35" s="4">
        <v>3</v>
      </c>
      <c r="GZ35" s="4">
        <v>0</v>
      </c>
      <c r="HA35" s="4">
        <v>1</v>
      </c>
      <c r="HB35" s="4">
        <v>1</v>
      </c>
      <c r="HC35" s="4">
        <v>3</v>
      </c>
      <c r="HD35" s="4">
        <v>3</v>
      </c>
      <c r="HE35" s="4">
        <v>1</v>
      </c>
      <c r="HF35" s="4">
        <v>3</v>
      </c>
      <c r="HG35" s="4">
        <f t="shared" ref="HG35:HG36" si="39">SUM(GC35:HF35)</f>
        <v>37</v>
      </c>
      <c r="HH35" s="4">
        <f t="shared" ref="HH35:HH36" si="40">SUM(GC35+GE35+GY35+GH35+GG35+GQ35+HB35+HF35-GN35)</f>
        <v>13</v>
      </c>
      <c r="HI35" s="4">
        <f t="shared" ref="HI35:HI36" si="41">SUM(GO35+GJ35+GK35+GM35+GW35+GL35+HF35+GX35+HC35-GD35)</f>
        <v>12</v>
      </c>
      <c r="HJ35" s="4">
        <f t="shared" ref="HJ35:HJ36" si="42">SUM(GP35+HA35+GZ35+GD35+GN35+GU35+HB35+HC35+HE35+GY35)</f>
        <v>13</v>
      </c>
      <c r="HK35" s="4">
        <f t="shared" ref="HK35:HK36" si="43">SUM(HD35+GF35+GI35+GX35+GG35+GL35+GT35+HF35)</f>
        <v>12</v>
      </c>
      <c r="HL35" s="4">
        <f t="shared" ref="HL35:HL36" si="44">SUM(GR35+GV35+GS35+GT35+GH35+GQ35+HE35+HF35)</f>
        <v>8</v>
      </c>
      <c r="HM35" s="4">
        <v>2</v>
      </c>
      <c r="HN35" s="4">
        <v>2</v>
      </c>
      <c r="HO35" s="4">
        <v>0</v>
      </c>
      <c r="HP35" s="4">
        <v>0</v>
      </c>
      <c r="HQ35" s="4">
        <v>0</v>
      </c>
      <c r="HR35" s="4">
        <v>0</v>
      </c>
      <c r="HS35" s="4">
        <v>0</v>
      </c>
      <c r="HT35" s="4">
        <v>0</v>
      </c>
      <c r="HU35" s="4">
        <v>0</v>
      </c>
      <c r="HV35" s="4">
        <v>0</v>
      </c>
      <c r="HW35" s="4">
        <v>0</v>
      </c>
      <c r="HX35" s="4">
        <v>0</v>
      </c>
      <c r="HY35" s="4">
        <v>0</v>
      </c>
      <c r="HZ35" s="4">
        <v>0</v>
      </c>
      <c r="IA35" s="4">
        <v>0</v>
      </c>
      <c r="IB35" s="4">
        <v>0</v>
      </c>
      <c r="IC35" s="4">
        <v>0</v>
      </c>
      <c r="ID35" s="4">
        <v>0</v>
      </c>
      <c r="IE35" s="4">
        <v>0</v>
      </c>
      <c r="IF35" s="4">
        <v>0</v>
      </c>
      <c r="IG35" s="4">
        <v>1</v>
      </c>
      <c r="IH35" s="4">
        <v>3</v>
      </c>
      <c r="II35" s="4">
        <v>0</v>
      </c>
      <c r="IJ35" s="4">
        <v>0</v>
      </c>
      <c r="IK35" s="4">
        <v>0</v>
      </c>
      <c r="IL35" s="4">
        <v>0</v>
      </c>
      <c r="IM35" s="4">
        <v>0</v>
      </c>
      <c r="IN35" s="4">
        <v>3</v>
      </c>
      <c r="IO35" s="4">
        <v>4</v>
      </c>
      <c r="IP35" s="4">
        <v>0</v>
      </c>
      <c r="IQ35" s="4">
        <f t="shared" ref="IQ35:IQ37" si="45">SUM(HN35+HQ35+HP35+HO35+HV35+HM35+HX35+HU35+HW35+HZ35+HY35+IC35+HR35+HT35+ID35)</f>
        <v>4</v>
      </c>
      <c r="IR35" s="4">
        <f t="shared" ref="IR35:IR41" si="46">SUM(IJ35+IK35+IN35+IL35+IM35+II35+IH35)</f>
        <v>6</v>
      </c>
      <c r="IS35" s="4">
        <f t="shared" ref="IS35:IS38" si="47">SUM(IF35+IE35+IG35)</f>
        <v>1</v>
      </c>
      <c r="IT35" s="4">
        <f t="shared" ref="IT35:IT41" si="48">SUM(IP35+IO35)</f>
        <v>4</v>
      </c>
      <c r="IU35" s="4" t="s">
        <v>383</v>
      </c>
      <c r="IV35" s="4" t="s">
        <v>383</v>
      </c>
      <c r="IW35" s="4" t="s">
        <v>383</v>
      </c>
      <c r="IX35" s="4" t="s">
        <v>383</v>
      </c>
      <c r="IY35" s="4">
        <v>1</v>
      </c>
      <c r="IZ35" s="4">
        <v>1</v>
      </c>
      <c r="JA35" s="4">
        <v>1</v>
      </c>
      <c r="JB35" s="4">
        <v>0</v>
      </c>
      <c r="JC35" s="4">
        <f>(Foglio1!$IY35+Foglio1!$IZ35+Foglio1!$JA35+Foglio1!$JB35)/4</f>
        <v>0.75</v>
      </c>
      <c r="JD35" s="4">
        <v>1</v>
      </c>
      <c r="JE35" s="4">
        <v>1</v>
      </c>
      <c r="JF35" s="4">
        <v>1</v>
      </c>
      <c r="JG35" s="4">
        <v>1</v>
      </c>
      <c r="JH35" s="4" t="s">
        <v>1296</v>
      </c>
      <c r="JI35" s="4">
        <v>0</v>
      </c>
      <c r="JJ35" s="4" t="s">
        <v>1297</v>
      </c>
      <c r="JK35" s="4">
        <v>0</v>
      </c>
      <c r="JL35" s="4">
        <f>(Foglio1!$JD35+Foglio1!$JE35+Foglio1!$JF35+Foglio1!$JG35+Foglio1!$JI35+Foglio1!$JK35)/6</f>
        <v>0.66666666666666663</v>
      </c>
      <c r="JM35" s="4">
        <v>1</v>
      </c>
      <c r="JN35" s="4">
        <v>1</v>
      </c>
      <c r="JO35" s="4">
        <v>1</v>
      </c>
      <c r="JP35" s="4">
        <f>(Foglio1!$JM35+Foglio1!$JN35+Foglio1!$JO35)/3</f>
        <v>1</v>
      </c>
      <c r="JQ35" s="4">
        <v>0</v>
      </c>
      <c r="JR35" s="4">
        <v>1</v>
      </c>
      <c r="JS35" s="4">
        <f>(Foglio1!$JQ35+Foglio1!$JR35)/2</f>
        <v>0.5</v>
      </c>
      <c r="JT35" s="4" t="s">
        <v>1298</v>
      </c>
      <c r="JU35" s="4">
        <v>0</v>
      </c>
      <c r="JV35" s="4" t="s">
        <v>1299</v>
      </c>
      <c r="JW35" s="4">
        <v>1</v>
      </c>
      <c r="JX35" s="4" t="s">
        <v>1300</v>
      </c>
      <c r="JY35" s="4">
        <v>0</v>
      </c>
      <c r="JZ35" s="4">
        <f>(Foglio1!$JU35+Foglio1!$JW35+Foglio1!$JY35)/3</f>
        <v>0.33333333333333331</v>
      </c>
      <c r="KA35" s="4">
        <f>(Foglio1!$JC35)</f>
        <v>0.75</v>
      </c>
      <c r="KB35" s="4">
        <f>(Foglio1!$JL35+Foglio1!$JP35+Foglio1!$JS35+Foglio1!$JZ35)/4</f>
        <v>0.625</v>
      </c>
      <c r="KC35" s="4">
        <f>(Foglio1!$JC35+Foglio1!$JL35+Foglio1!$JP35+Foglio1!$JS35+Foglio1!$JZ35)/5</f>
        <v>0.65</v>
      </c>
      <c r="KD35" s="4" t="s">
        <v>1301</v>
      </c>
      <c r="KE35" s="4">
        <v>2</v>
      </c>
      <c r="KF35" s="4">
        <v>3</v>
      </c>
      <c r="KG35" s="4" t="s">
        <v>1302</v>
      </c>
      <c r="KH35" s="4">
        <v>0</v>
      </c>
      <c r="KI35" s="4">
        <v>2</v>
      </c>
      <c r="KJ35" s="4" t="s">
        <v>1303</v>
      </c>
      <c r="KK35" s="4">
        <v>2</v>
      </c>
      <c r="KL35" s="4">
        <v>3</v>
      </c>
      <c r="KM35" s="4" t="s">
        <v>1304</v>
      </c>
      <c r="KN35" s="4">
        <v>2</v>
      </c>
      <c r="KO35" s="4">
        <v>1</v>
      </c>
      <c r="KP35" s="4" t="s">
        <v>1305</v>
      </c>
      <c r="KQ35" s="4">
        <v>2</v>
      </c>
      <c r="KR35" s="4">
        <v>2</v>
      </c>
      <c r="KS35" s="4" t="s">
        <v>1306</v>
      </c>
      <c r="KT35" s="4">
        <v>2</v>
      </c>
      <c r="KU35" s="4">
        <v>1</v>
      </c>
      <c r="KV35" s="4" t="s">
        <v>1307</v>
      </c>
      <c r="KW35" s="4">
        <v>2</v>
      </c>
      <c r="KX35" s="4">
        <v>1</v>
      </c>
      <c r="KY35" s="4" t="s">
        <v>1308</v>
      </c>
      <c r="KZ35" s="4">
        <v>1</v>
      </c>
      <c r="LA35" s="4">
        <v>3</v>
      </c>
      <c r="LB35" s="4" t="s">
        <v>1309</v>
      </c>
      <c r="LC35" s="4">
        <v>0</v>
      </c>
      <c r="LD35" s="4">
        <v>2</v>
      </c>
      <c r="LE35" s="4" t="s">
        <v>1310</v>
      </c>
      <c r="LF35" s="4">
        <v>1</v>
      </c>
      <c r="LG35" s="4">
        <v>3</v>
      </c>
      <c r="LH35" s="4" t="s">
        <v>1311</v>
      </c>
      <c r="LI35" s="4">
        <v>2</v>
      </c>
      <c r="LJ35" s="4">
        <v>1</v>
      </c>
      <c r="LK35" s="4" t="s">
        <v>1312</v>
      </c>
      <c r="LL35" s="4">
        <v>1</v>
      </c>
      <c r="LM35" s="4">
        <v>3</v>
      </c>
      <c r="LN35" s="4" t="s">
        <v>1313</v>
      </c>
      <c r="LO35" s="4">
        <v>2</v>
      </c>
      <c r="LP35" s="4">
        <v>1</v>
      </c>
      <c r="LQ35" s="4" t="s">
        <v>1314</v>
      </c>
      <c r="LR35" s="4">
        <v>2</v>
      </c>
      <c r="LS35" s="4">
        <v>2</v>
      </c>
      <c r="LT35" s="4">
        <f>(Foglio1!$KE35+Foglio1!$KH35+Foglio1!$KK35+Foglio1!$KN35+Foglio1!$KQ35+Foglio1!$KT35+Foglio1!$KW35+Foglio1!$KZ35+Foglio1!$LC35+Foglio1!$LF35+Foglio1!$LI35+Foglio1!$LL35+Foglio1!$LO35+Foglio1!$LR35)</f>
        <v>21</v>
      </c>
      <c r="LU35" s="4">
        <f>(Foglio1!$KI35+Foglio1!$KF35+Foglio1!$KL35+Foglio1!$KO35+Foglio1!$KR35+Foglio1!$KU35+Foglio1!$KX35+Foglio1!$LA35+Foglio1!$LD35+Foglio1!$LG35+Foglio1!$LJ35+Foglio1!$LM35+Foglio1!$LP35+Foglio1!$LS35)</f>
        <v>28</v>
      </c>
      <c r="LV35" s="4">
        <v>38</v>
      </c>
      <c r="LW35" s="4">
        <v>58</v>
      </c>
      <c r="LX35" s="4">
        <v>22</v>
      </c>
      <c r="LY35" s="4">
        <v>31</v>
      </c>
      <c r="LZ35" s="3">
        <v>2</v>
      </c>
      <c r="MA35" s="3">
        <v>3</v>
      </c>
      <c r="MB35" s="3">
        <v>2</v>
      </c>
      <c r="MC35" s="3">
        <v>1</v>
      </c>
      <c r="MD35" s="3">
        <f t="shared" si="7"/>
        <v>8</v>
      </c>
      <c r="ME35" s="3">
        <v>0</v>
      </c>
      <c r="MF35" s="3">
        <v>7</v>
      </c>
      <c r="MG35" s="3">
        <v>3</v>
      </c>
      <c r="MH35" s="3">
        <v>0</v>
      </c>
      <c r="MI35" s="3">
        <f t="shared" si="8"/>
        <v>10</v>
      </c>
    </row>
    <row r="36" spans="1:347" ht="15.75" customHeight="1" x14ac:dyDescent="0.25">
      <c r="A36" s="4" t="s">
        <v>1315</v>
      </c>
      <c r="B36" s="4">
        <v>39</v>
      </c>
      <c r="C36" s="4" t="s">
        <v>403</v>
      </c>
      <c r="D36" s="4">
        <v>8</v>
      </c>
      <c r="E36" s="4">
        <v>1</v>
      </c>
      <c r="F36" s="4" t="s">
        <v>350</v>
      </c>
      <c r="G36" s="4" t="s">
        <v>404</v>
      </c>
      <c r="H36" s="4" t="s">
        <v>1316</v>
      </c>
      <c r="I36" s="4" t="s">
        <v>1317</v>
      </c>
      <c r="J36" s="4"/>
      <c r="K36" s="4"/>
      <c r="L36" s="5" t="s">
        <v>356</v>
      </c>
      <c r="M36" s="4" t="s">
        <v>449</v>
      </c>
      <c r="N36" s="4" t="s">
        <v>1318</v>
      </c>
      <c r="O36" s="9">
        <v>45373</v>
      </c>
      <c r="P36" s="9">
        <v>45749</v>
      </c>
      <c r="Q36" s="4" t="s">
        <v>1319</v>
      </c>
      <c r="R36" s="4"/>
      <c r="S36" s="4"/>
      <c r="T36" s="4"/>
      <c r="U36" s="4"/>
      <c r="V36" s="4"/>
      <c r="W36" s="4"/>
      <c r="X36" s="4"/>
      <c r="Y36" s="4"/>
      <c r="Z36" s="4"/>
      <c r="AA36" s="4"/>
      <c r="AB36" s="4"/>
      <c r="AC36" s="4"/>
      <c r="AD36" s="4"/>
      <c r="AE36" s="4"/>
      <c r="AF36" s="4"/>
      <c r="AG36" s="4"/>
      <c r="AH36" s="4" t="s">
        <v>689</v>
      </c>
      <c r="AI36" s="4" t="s">
        <v>1320</v>
      </c>
      <c r="AJ36" s="4" t="s">
        <v>1321</v>
      </c>
      <c r="AK36" s="4" t="s">
        <v>1322</v>
      </c>
      <c r="AL36" s="4" t="s">
        <v>1323</v>
      </c>
      <c r="AM36" s="4" t="s">
        <v>1324</v>
      </c>
      <c r="AN36" s="4" t="s">
        <v>641</v>
      </c>
      <c r="AO36" s="4" t="s">
        <v>1325</v>
      </c>
      <c r="AP36" s="5" t="s">
        <v>356</v>
      </c>
      <c r="AQ36" s="5" t="s">
        <v>356</v>
      </c>
      <c r="AR36" s="5" t="s">
        <v>356</v>
      </c>
      <c r="AS36" s="5" t="s">
        <v>356</v>
      </c>
      <c r="AT36" s="5" t="s">
        <v>356</v>
      </c>
      <c r="AU36" s="5" t="s">
        <v>356</v>
      </c>
      <c r="AV36" s="5" t="s">
        <v>356</v>
      </c>
      <c r="AW36" s="5" t="s">
        <v>356</v>
      </c>
      <c r="AX36" s="4">
        <v>4</v>
      </c>
      <c r="AY36" s="4"/>
      <c r="AZ36" s="5" t="s">
        <v>383</v>
      </c>
      <c r="BA36" s="4">
        <v>11</v>
      </c>
      <c r="BB36" s="4"/>
      <c r="BC36" s="4"/>
      <c r="BD36" s="4"/>
      <c r="BE36" s="4"/>
      <c r="BF36" s="4"/>
      <c r="BG36" s="6">
        <v>45740</v>
      </c>
      <c r="BH36" s="4">
        <v>2</v>
      </c>
      <c r="BI36" s="4">
        <v>3</v>
      </c>
      <c r="BJ36" s="4">
        <v>2</v>
      </c>
      <c r="BK36" s="4">
        <v>2</v>
      </c>
      <c r="BL36" s="4">
        <v>1</v>
      </c>
      <c r="BM36" s="4">
        <v>3</v>
      </c>
      <c r="BN36" s="4">
        <v>1</v>
      </c>
      <c r="BO36" s="4">
        <f>SUM(Foglio1!$BH36:$BM36)</f>
        <v>13</v>
      </c>
      <c r="BP36" s="4">
        <v>0</v>
      </c>
      <c r="BQ36" s="4">
        <v>0</v>
      </c>
      <c r="BR36" s="4">
        <v>0</v>
      </c>
      <c r="BS36" s="5" t="s">
        <v>383</v>
      </c>
      <c r="BT36" s="4">
        <v>6</v>
      </c>
      <c r="BU36" s="4">
        <v>1</v>
      </c>
      <c r="BV36" s="4">
        <v>1</v>
      </c>
      <c r="BW36" s="4">
        <v>1</v>
      </c>
      <c r="BX36" s="4">
        <v>1</v>
      </c>
      <c r="BY36" s="4">
        <v>5</v>
      </c>
      <c r="BZ36" s="4">
        <v>1</v>
      </c>
      <c r="CA36" s="4">
        <v>2</v>
      </c>
      <c r="CB36" s="4">
        <v>1</v>
      </c>
      <c r="CC36" s="4">
        <v>1</v>
      </c>
      <c r="CD36" s="4">
        <v>1</v>
      </c>
      <c r="CE36" s="4">
        <v>1</v>
      </c>
      <c r="CF36" s="4">
        <v>1</v>
      </c>
      <c r="CG36" s="4">
        <v>1</v>
      </c>
      <c r="CH36" s="4">
        <v>1</v>
      </c>
      <c r="CI36" s="4">
        <v>4</v>
      </c>
      <c r="CJ36" s="4">
        <v>3</v>
      </c>
      <c r="CK36" s="4">
        <v>3</v>
      </c>
      <c r="CL36" s="4">
        <v>1</v>
      </c>
      <c r="CM36" s="4">
        <v>1</v>
      </c>
      <c r="CN36" s="4">
        <v>1</v>
      </c>
      <c r="CO36" s="4">
        <v>1</v>
      </c>
      <c r="CP36" s="4">
        <v>1</v>
      </c>
      <c r="CQ36" s="4">
        <v>1</v>
      </c>
      <c r="CR36" s="4">
        <v>1</v>
      </c>
      <c r="CS36" s="4">
        <v>1</v>
      </c>
      <c r="CT36" s="4">
        <v>1</v>
      </c>
      <c r="CU36" s="4">
        <v>1</v>
      </c>
      <c r="CV36" s="4">
        <v>5</v>
      </c>
      <c r="CW36" s="4">
        <v>1</v>
      </c>
      <c r="CX36" s="4">
        <f>SUM(Foglio1!$BT36:$CW36)</f>
        <v>51</v>
      </c>
      <c r="CY36" s="4">
        <f>SUM(Foglio1!$BT36+Foglio1!$BV36+Foglio1!$CP36+Foglio1!$BY36+Foglio1!$BX36+Foglio1!$CH36+Foglio1!$CS36+Foglio1!$CW36-Foglio1!$CE36)</f>
        <v>16</v>
      </c>
      <c r="CZ36" s="4">
        <f>SUM(Foglio1!$CF36+Foglio1!$CA36+Foglio1!$CB36+Foglio1!$CD36+Foglio1!$CN36+Foglio1!$CC36+Foglio1!$CW36+Foglio1!$CO36+Foglio1!$CT36-Foglio1!$BU36)</f>
        <v>9</v>
      </c>
      <c r="DA36" s="4">
        <f>SUM(Foglio1!$CG36+Foglio1!$CR36+Foglio1!$CQ36+Foglio1!$BU36+Foglio1!$CE36+Foglio1!$CL36+Foglio1!$CS36+Foglio1!$CT36+Foglio1!$CV36+Foglio1!$CP36)</f>
        <v>14</v>
      </c>
      <c r="DB36" s="4">
        <f>SUM(Foglio1!$CU36+Foglio1!$BW36+Foglio1!$BZ36+Foglio1!$CO36+Foglio1!$BX36+Foglio1!$CC36+Foglio1!$CK36+Foglio1!$CW36)</f>
        <v>10</v>
      </c>
      <c r="DC36" s="4">
        <f>SUM(Foglio1!$CI36+Foglio1!$CM36+Foglio1!$CJ36+Foglio1!$CK36+Foglio1!$BY36+Foglio1!$CH36+Foglio1!$CV36+Foglio1!$CW36)</f>
        <v>23</v>
      </c>
      <c r="DD36" s="4">
        <v>2</v>
      </c>
      <c r="DE36" s="4">
        <v>3</v>
      </c>
      <c r="DF36" s="4">
        <v>2</v>
      </c>
      <c r="DG36" s="4">
        <v>0</v>
      </c>
      <c r="DH36" s="4">
        <v>0</v>
      </c>
      <c r="DI36" s="4">
        <v>0</v>
      </c>
      <c r="DJ36" s="4">
        <v>0</v>
      </c>
      <c r="DK36" s="4">
        <v>0</v>
      </c>
      <c r="DL36" s="4">
        <v>0</v>
      </c>
      <c r="DM36" s="4">
        <v>0</v>
      </c>
      <c r="DN36" s="4">
        <v>0</v>
      </c>
      <c r="DO36" s="4">
        <v>0</v>
      </c>
      <c r="DP36" s="4">
        <v>0</v>
      </c>
      <c r="DQ36" s="4">
        <v>0</v>
      </c>
      <c r="DR36" s="4">
        <v>0</v>
      </c>
      <c r="DS36" s="4">
        <v>0</v>
      </c>
      <c r="DT36" s="4">
        <v>0</v>
      </c>
      <c r="DU36" s="4">
        <v>0</v>
      </c>
      <c r="DV36" s="4">
        <v>0</v>
      </c>
      <c r="DW36" s="4">
        <v>0</v>
      </c>
      <c r="DX36" s="4">
        <v>0</v>
      </c>
      <c r="DY36" s="4">
        <v>0</v>
      </c>
      <c r="DZ36" s="4">
        <v>0</v>
      </c>
      <c r="EA36" s="4">
        <v>0</v>
      </c>
      <c r="EB36" s="4">
        <v>0</v>
      </c>
      <c r="EC36" s="4">
        <v>0</v>
      </c>
      <c r="ED36" s="4">
        <v>0</v>
      </c>
      <c r="EE36" s="4">
        <v>0</v>
      </c>
      <c r="EF36" s="4">
        <v>0</v>
      </c>
      <c r="EG36" s="4">
        <v>0</v>
      </c>
      <c r="EH36" s="4">
        <f>(Foglio1!$DE36+Foglio1!$DH36+Foglio1!$DG36+Foglio1!$DF36+Foglio1!$DM36+Foglio1!$DD36+Foglio1!$DO36+Foglio1!$DL36+Foglio1!$DN36+Foglio1!$DQ36+Foglio1!$DP36+Foglio1!$DT36+Foglio1!$DI36+Foglio1!$DK36+Foglio1!$DU36)</f>
        <v>7</v>
      </c>
      <c r="EI36" s="4">
        <f>(Foglio1!$EA36+Foglio1!$EB36+Foglio1!$EE36+Foglio1!$EC36+Foglio1!$ED36+Foglio1!$DZ36+Foglio1!$DY36)</f>
        <v>0</v>
      </c>
      <c r="EJ36" s="4">
        <f>(Foglio1!$DW36+Foglio1!$DV36+Foglio1!$DX36)</f>
        <v>0</v>
      </c>
      <c r="EK36" s="4">
        <f>(Foglio1!$EG36+Foglio1!$EF36)</f>
        <v>0</v>
      </c>
      <c r="EL36" s="4">
        <v>1</v>
      </c>
      <c r="EM36" s="4">
        <v>1</v>
      </c>
      <c r="EN36" s="4">
        <v>0</v>
      </c>
      <c r="EO36" s="4">
        <v>0</v>
      </c>
      <c r="EP36" s="4">
        <f t="array" ref="EP36">SUM(EL36:EO36/4)</f>
        <v>0.5</v>
      </c>
      <c r="EQ36" s="4">
        <v>1</v>
      </c>
      <c r="ER36" s="4">
        <v>1</v>
      </c>
      <c r="ES36" s="4">
        <v>0</v>
      </c>
      <c r="ET36" s="4">
        <v>1</v>
      </c>
      <c r="EU36" s="4" t="s">
        <v>1326</v>
      </c>
      <c r="EV36" s="4">
        <v>1</v>
      </c>
      <c r="EW36" s="4" t="s">
        <v>1327</v>
      </c>
      <c r="EX36" s="4">
        <v>1</v>
      </c>
      <c r="EY36" s="4">
        <f>(Foglio1!$EQ36+Foglio1!$ER36+Foglio1!$ES36+Foglio1!$ET36+Foglio1!$EV36+Foglio1!$EX36)/6</f>
        <v>0.83333333333333337</v>
      </c>
      <c r="EZ36" s="4">
        <v>1</v>
      </c>
      <c r="FA36" s="4">
        <v>1</v>
      </c>
      <c r="FB36" s="4">
        <v>0</v>
      </c>
      <c r="FC36" s="4">
        <f>(Foglio1!$EZ36+Foglio1!$FA36+Foglio1!$FB36)/3</f>
        <v>0.66666666666666663</v>
      </c>
      <c r="FD36" s="4">
        <v>1</v>
      </c>
      <c r="FE36" s="4">
        <v>0</v>
      </c>
      <c r="FF36" s="4">
        <f>(Foglio1!$FD36+Foglio1!$FE36)/2</f>
        <v>0.5</v>
      </c>
      <c r="FG36" s="4" t="s">
        <v>1328</v>
      </c>
      <c r="FH36" s="4">
        <v>1</v>
      </c>
      <c r="FI36" s="4" t="s">
        <v>1329</v>
      </c>
      <c r="FJ36" s="4">
        <v>0</v>
      </c>
      <c r="FK36" s="4" t="s">
        <v>1330</v>
      </c>
      <c r="FL36" s="4">
        <v>0</v>
      </c>
      <c r="FM36" s="4">
        <f>(Foglio1!$FH36+Foglio1!$FJ36+Foglio1!$FL36)/3</f>
        <v>0.33333333333333331</v>
      </c>
      <c r="FN36" s="4">
        <f>(Foglio1!$EP36)</f>
        <v>0.5</v>
      </c>
      <c r="FO36" s="4">
        <f>(Foglio1!$EY36+Foglio1!$FC36+Foglio1!$FF36+Foglio1!$FM36)/4</f>
        <v>0.58333333333333337</v>
      </c>
      <c r="FP36" s="4">
        <f>(Foglio1!$EP36+Foglio1!$EY36+Foglio1!$FC36+Foglio1!$FF36+Foglio1!$FM36)/5</f>
        <v>0.56666666666666665</v>
      </c>
      <c r="FQ36" s="6">
        <v>45744</v>
      </c>
      <c r="FR36" s="4">
        <v>1</v>
      </c>
      <c r="FS36" s="4">
        <v>1</v>
      </c>
      <c r="FT36" s="4">
        <v>1</v>
      </c>
      <c r="FU36" s="4">
        <v>1</v>
      </c>
      <c r="FV36" s="4">
        <v>1</v>
      </c>
      <c r="FW36" s="4">
        <v>2</v>
      </c>
      <c r="FX36" s="4">
        <v>1</v>
      </c>
      <c r="FY36" s="4">
        <v>3</v>
      </c>
      <c r="FZ36" s="4">
        <v>2</v>
      </c>
      <c r="GA36" s="4">
        <v>5</v>
      </c>
      <c r="GB36" s="4">
        <v>70</v>
      </c>
      <c r="GC36" s="4">
        <v>1</v>
      </c>
      <c r="GD36" s="4">
        <v>1</v>
      </c>
      <c r="GE36" s="4">
        <v>0</v>
      </c>
      <c r="GF36" s="4">
        <v>0</v>
      </c>
      <c r="GG36" s="4">
        <v>0</v>
      </c>
      <c r="GH36" s="4">
        <v>1</v>
      </c>
      <c r="GI36" s="4">
        <v>0</v>
      </c>
      <c r="GJ36" s="4">
        <v>1</v>
      </c>
      <c r="GK36" s="4">
        <v>1</v>
      </c>
      <c r="GL36" s="4">
        <v>2</v>
      </c>
      <c r="GM36" s="4">
        <v>1</v>
      </c>
      <c r="GN36" s="4">
        <v>1</v>
      </c>
      <c r="GO36" s="4">
        <v>1</v>
      </c>
      <c r="GP36" s="4">
        <v>0</v>
      </c>
      <c r="GQ36" s="4">
        <v>2</v>
      </c>
      <c r="GR36" s="4">
        <v>2</v>
      </c>
      <c r="GS36" s="4">
        <v>2</v>
      </c>
      <c r="GT36" s="4">
        <v>2</v>
      </c>
      <c r="GU36" s="4">
        <v>0</v>
      </c>
      <c r="GV36" s="4">
        <v>2</v>
      </c>
      <c r="GW36" s="4">
        <v>0</v>
      </c>
      <c r="GX36" s="4">
        <v>0</v>
      </c>
      <c r="GY36" s="4">
        <v>2</v>
      </c>
      <c r="GZ36" s="4">
        <v>0</v>
      </c>
      <c r="HA36" s="4">
        <v>0</v>
      </c>
      <c r="HB36" s="4">
        <v>0</v>
      </c>
      <c r="HC36" s="4">
        <v>1</v>
      </c>
      <c r="HD36" s="4">
        <v>1</v>
      </c>
      <c r="HE36" s="4">
        <v>1</v>
      </c>
      <c r="HF36" s="4">
        <v>1</v>
      </c>
      <c r="HG36" s="4">
        <f t="shared" si="39"/>
        <v>26</v>
      </c>
      <c r="HH36" s="4">
        <f t="shared" si="40"/>
        <v>6</v>
      </c>
      <c r="HI36" s="4">
        <f t="shared" si="41"/>
        <v>7</v>
      </c>
      <c r="HJ36" s="4">
        <f t="shared" si="42"/>
        <v>6</v>
      </c>
      <c r="HK36" s="4">
        <f t="shared" si="43"/>
        <v>6</v>
      </c>
      <c r="HL36" s="4">
        <f t="shared" si="44"/>
        <v>13</v>
      </c>
      <c r="HM36" s="4">
        <v>3</v>
      </c>
      <c r="HN36" s="4">
        <v>2</v>
      </c>
      <c r="HO36" s="4">
        <v>0</v>
      </c>
      <c r="HP36" s="4">
        <v>0</v>
      </c>
      <c r="HQ36" s="4">
        <v>0</v>
      </c>
      <c r="HR36" s="4">
        <v>1</v>
      </c>
      <c r="HS36" s="4">
        <v>0</v>
      </c>
      <c r="HT36" s="4">
        <v>0</v>
      </c>
      <c r="HU36" s="4">
        <v>0</v>
      </c>
      <c r="HV36" s="4">
        <v>1</v>
      </c>
      <c r="HW36" s="4">
        <v>0</v>
      </c>
      <c r="HX36" s="4">
        <v>0</v>
      </c>
      <c r="HY36" s="4">
        <v>0</v>
      </c>
      <c r="HZ36" s="4">
        <v>0</v>
      </c>
      <c r="IA36" s="4">
        <v>0</v>
      </c>
      <c r="IB36" s="4">
        <v>0</v>
      </c>
      <c r="IC36" s="4">
        <v>0</v>
      </c>
      <c r="ID36" s="4">
        <v>0</v>
      </c>
      <c r="IE36" s="4">
        <v>0</v>
      </c>
      <c r="IF36" s="4">
        <v>0</v>
      </c>
      <c r="IG36" s="4">
        <v>2</v>
      </c>
      <c r="IH36" s="4">
        <v>0</v>
      </c>
      <c r="II36" s="4">
        <v>0</v>
      </c>
      <c r="IJ36" s="4">
        <v>0</v>
      </c>
      <c r="IK36" s="4">
        <v>0</v>
      </c>
      <c r="IL36" s="4">
        <v>0</v>
      </c>
      <c r="IM36" s="4">
        <v>0</v>
      </c>
      <c r="IN36" s="4">
        <v>0</v>
      </c>
      <c r="IO36" s="4">
        <v>0</v>
      </c>
      <c r="IP36" s="4">
        <v>0</v>
      </c>
      <c r="IQ36" s="4">
        <f t="shared" si="45"/>
        <v>7</v>
      </c>
      <c r="IR36" s="4">
        <f t="shared" si="46"/>
        <v>0</v>
      </c>
      <c r="IS36" s="4">
        <f t="shared" si="47"/>
        <v>2</v>
      </c>
      <c r="IT36" s="4">
        <f t="shared" si="48"/>
        <v>0</v>
      </c>
      <c r="IU36" s="4" t="s">
        <v>383</v>
      </c>
      <c r="IV36" s="4" t="s">
        <v>383</v>
      </c>
      <c r="IW36" s="4" t="s">
        <v>383</v>
      </c>
      <c r="IX36" s="4" t="s">
        <v>383</v>
      </c>
      <c r="IY36" s="4">
        <v>0</v>
      </c>
      <c r="IZ36" s="4">
        <v>1</v>
      </c>
      <c r="JA36" s="4">
        <v>1</v>
      </c>
      <c r="JB36" s="4">
        <v>1</v>
      </c>
      <c r="JC36" s="4">
        <f>(Foglio1!$IY36+Foglio1!$IZ36+Foglio1!$JA36+Foglio1!$JB36)/4</f>
        <v>0.75</v>
      </c>
      <c r="JD36" s="4">
        <v>1</v>
      </c>
      <c r="JE36" s="4">
        <v>1</v>
      </c>
      <c r="JF36" s="4">
        <v>0</v>
      </c>
      <c r="JG36" s="4">
        <v>1</v>
      </c>
      <c r="JH36" s="4" t="s">
        <v>1331</v>
      </c>
      <c r="JI36" s="4">
        <v>0</v>
      </c>
      <c r="JJ36" s="4" t="s">
        <v>1332</v>
      </c>
      <c r="JK36" s="4">
        <v>0</v>
      </c>
      <c r="JL36" s="4">
        <f>(Foglio1!$JD36+Foglio1!$JE36+Foglio1!$JF36+Foglio1!$JG36+Foglio1!$JI36+Foglio1!$JK36)/6</f>
        <v>0.5</v>
      </c>
      <c r="JM36" s="4">
        <v>1</v>
      </c>
      <c r="JN36" s="4">
        <v>1</v>
      </c>
      <c r="JO36" s="4">
        <v>1</v>
      </c>
      <c r="JP36" s="4">
        <f>(Foglio1!$JM36+Foglio1!$JN36+Foglio1!$JO36)/3</f>
        <v>1</v>
      </c>
      <c r="JQ36" s="4">
        <v>0</v>
      </c>
      <c r="JR36" s="4">
        <v>1</v>
      </c>
      <c r="JS36" s="4">
        <f>(Foglio1!$JQ36+Foglio1!$JR36)/2</f>
        <v>0.5</v>
      </c>
      <c r="JT36" s="4" t="s">
        <v>1333</v>
      </c>
      <c r="JU36" s="4">
        <v>0</v>
      </c>
      <c r="JV36" s="4" t="s">
        <v>1334</v>
      </c>
      <c r="JW36" s="4">
        <v>1</v>
      </c>
      <c r="JX36" s="4" t="s">
        <v>1335</v>
      </c>
      <c r="JY36" s="4">
        <v>0</v>
      </c>
      <c r="JZ36" s="4">
        <f>(Foglio1!$JU36+Foglio1!$JW36+Foglio1!$JY36)/3</f>
        <v>0.33333333333333331</v>
      </c>
      <c r="KA36" s="4">
        <f>(Foglio1!$JC36)</f>
        <v>0.75</v>
      </c>
      <c r="KB36" s="4">
        <f>(Foglio1!$JL36+Foglio1!$JP36+Foglio1!$JS36+Foglio1!$JZ36)/4</f>
        <v>0.58333333333333337</v>
      </c>
      <c r="KC36" s="4">
        <f>(Foglio1!$JC36+Foglio1!$JL36+Foglio1!$JP36+Foglio1!$JS36+Foglio1!$JZ36)/5</f>
        <v>0.6166666666666667</v>
      </c>
      <c r="KD36" s="4" t="s">
        <v>1336</v>
      </c>
      <c r="KE36" s="4">
        <v>2</v>
      </c>
      <c r="KF36" s="4">
        <v>3</v>
      </c>
      <c r="KG36" s="4" t="s">
        <v>1337</v>
      </c>
      <c r="KH36" s="4">
        <v>1</v>
      </c>
      <c r="KI36" s="4">
        <v>2</v>
      </c>
      <c r="KJ36" s="4" t="s">
        <v>1338</v>
      </c>
      <c r="KK36" s="4">
        <v>2</v>
      </c>
      <c r="KL36" s="4">
        <v>2</v>
      </c>
      <c r="KM36" s="4" t="s">
        <v>1339</v>
      </c>
      <c r="KN36" s="4">
        <v>1</v>
      </c>
      <c r="KO36" s="4">
        <v>2</v>
      </c>
      <c r="KP36" s="4" t="s">
        <v>1340</v>
      </c>
      <c r="KQ36" s="4">
        <v>2</v>
      </c>
      <c r="KR36" s="4">
        <v>3</v>
      </c>
      <c r="KS36" s="4" t="s">
        <v>1196</v>
      </c>
      <c r="KT36" s="4">
        <v>2</v>
      </c>
      <c r="KU36" s="4">
        <v>1</v>
      </c>
      <c r="KV36" s="4" t="s">
        <v>1341</v>
      </c>
      <c r="KW36" s="4">
        <v>2</v>
      </c>
      <c r="KX36" s="4">
        <v>1</v>
      </c>
      <c r="KY36" s="4" t="s">
        <v>1342</v>
      </c>
      <c r="KZ36" s="4">
        <v>1</v>
      </c>
      <c r="LA36" s="4">
        <v>3</v>
      </c>
      <c r="LB36" s="4" t="s">
        <v>1343</v>
      </c>
      <c r="LC36" s="4">
        <v>2</v>
      </c>
      <c r="LD36" s="4">
        <v>1</v>
      </c>
      <c r="LE36" s="4" t="s">
        <v>1344</v>
      </c>
      <c r="LF36" s="4">
        <v>1</v>
      </c>
      <c r="LG36" s="4">
        <v>2</v>
      </c>
      <c r="LH36" s="4" t="s">
        <v>1345</v>
      </c>
      <c r="LI36" s="4">
        <v>0</v>
      </c>
      <c r="LJ36" s="4">
        <v>1</v>
      </c>
      <c r="LK36" s="4" t="s">
        <v>1346</v>
      </c>
      <c r="LL36" s="4">
        <v>1</v>
      </c>
      <c r="LM36" s="4">
        <v>2</v>
      </c>
      <c r="LN36" s="4" t="s">
        <v>1347</v>
      </c>
      <c r="LO36" s="4">
        <v>2</v>
      </c>
      <c r="LP36" s="4">
        <v>1</v>
      </c>
      <c r="LQ36" s="4" t="s">
        <v>1348</v>
      </c>
      <c r="LR36" s="4">
        <v>0</v>
      </c>
      <c r="LS36" s="4">
        <v>2</v>
      </c>
      <c r="LT36" s="4">
        <f>(Foglio1!$KE36+Foglio1!$KH36+Foglio1!$KK36+Foglio1!$KN36+Foglio1!$KQ36+Foglio1!$KT36+Foglio1!$KW36+Foglio1!$KZ36+Foglio1!$LC36+Foglio1!$LF36+Foglio1!$LI36+Foglio1!$LL36+Foglio1!$LO36+Foglio1!$LR36)</f>
        <v>19</v>
      </c>
      <c r="LU36" s="4">
        <f>(Foglio1!$KI36+Foglio1!$KF36+Foglio1!$KL36+Foglio1!$KO36+Foglio1!$KR36+Foglio1!$KU36+Foglio1!$KX36+Foglio1!$LA36+Foglio1!$LD36+Foglio1!$LG36+Foglio1!$LJ36+Foglio1!$LM36+Foglio1!$LP36+Foglio1!$LS36)</f>
        <v>26</v>
      </c>
      <c r="LV36" s="4">
        <v>29</v>
      </c>
      <c r="LW36" s="4">
        <v>47</v>
      </c>
      <c r="LX36" s="4">
        <v>19</v>
      </c>
      <c r="LY36" s="4">
        <v>25</v>
      </c>
      <c r="LZ36" s="3">
        <v>1</v>
      </c>
      <c r="MA36" s="3">
        <v>3</v>
      </c>
      <c r="MB36" s="3">
        <v>2</v>
      </c>
      <c r="MC36" s="3">
        <v>1</v>
      </c>
      <c r="MD36" s="3">
        <f t="shared" si="7"/>
        <v>7</v>
      </c>
      <c r="ME36" s="3">
        <v>0</v>
      </c>
      <c r="MF36" s="3">
        <v>0</v>
      </c>
      <c r="MG36" s="3">
        <v>0</v>
      </c>
      <c r="MH36" s="3">
        <v>0</v>
      </c>
      <c r="MI36" s="3">
        <f t="shared" si="8"/>
        <v>0</v>
      </c>
    </row>
    <row r="37" spans="1:347" ht="15.75" customHeight="1" x14ac:dyDescent="0.25">
      <c r="A37" s="4" t="s">
        <v>1349</v>
      </c>
      <c r="B37" s="4">
        <v>35</v>
      </c>
      <c r="C37" s="4" t="s">
        <v>403</v>
      </c>
      <c r="D37" s="4">
        <v>13</v>
      </c>
      <c r="E37" s="4">
        <v>0</v>
      </c>
      <c r="F37" s="4" t="s">
        <v>350</v>
      </c>
      <c r="G37" s="4" t="s">
        <v>356</v>
      </c>
      <c r="H37" s="5" t="s">
        <v>383</v>
      </c>
      <c r="I37" s="4"/>
      <c r="J37" s="4"/>
      <c r="K37" s="4"/>
      <c r="L37" s="5" t="s">
        <v>356</v>
      </c>
      <c r="M37" s="7" t="s">
        <v>449</v>
      </c>
      <c r="N37" s="7" t="s">
        <v>1350</v>
      </c>
      <c r="O37" s="10" t="s">
        <v>1351</v>
      </c>
      <c r="P37" s="10">
        <v>45996</v>
      </c>
      <c r="Q37" s="4" t="s">
        <v>359</v>
      </c>
      <c r="R37" s="4"/>
      <c r="S37" s="4"/>
      <c r="T37" s="4"/>
      <c r="U37" s="4"/>
      <c r="V37" s="4"/>
      <c r="W37" s="4"/>
      <c r="X37" s="4"/>
      <c r="Y37" s="4"/>
      <c r="Z37" s="4"/>
      <c r="AA37" s="4"/>
      <c r="AB37" s="4"/>
      <c r="AC37" s="4"/>
      <c r="AD37" s="4"/>
      <c r="AE37" s="4"/>
      <c r="AF37" s="4"/>
      <c r="AG37" s="4"/>
      <c r="AH37" s="11" t="s">
        <v>362</v>
      </c>
      <c r="AI37" s="11" t="s">
        <v>1352</v>
      </c>
      <c r="AJ37" s="11" t="s">
        <v>1353</v>
      </c>
      <c r="AK37" s="11" t="s">
        <v>1354</v>
      </c>
      <c r="AL37" s="11" t="s">
        <v>1355</v>
      </c>
      <c r="AM37" s="11" t="s">
        <v>1356</v>
      </c>
      <c r="AN37" s="7" t="s">
        <v>363</v>
      </c>
      <c r="AO37" s="7" t="s">
        <v>1357</v>
      </c>
      <c r="AP37" s="5" t="s">
        <v>356</v>
      </c>
      <c r="AQ37" s="5" t="s">
        <v>356</v>
      </c>
      <c r="AR37" s="5" t="s">
        <v>356</v>
      </c>
      <c r="AS37" s="5" t="s">
        <v>356</v>
      </c>
      <c r="AT37" s="5" t="s">
        <v>356</v>
      </c>
      <c r="AU37" s="5" t="s">
        <v>356</v>
      </c>
      <c r="AV37" s="5" t="s">
        <v>356</v>
      </c>
      <c r="AW37" s="5" t="s">
        <v>356</v>
      </c>
      <c r="AX37" s="5"/>
      <c r="AY37" s="4"/>
      <c r="AZ37" s="5" t="s">
        <v>383</v>
      </c>
      <c r="BA37" s="5" t="s">
        <v>383</v>
      </c>
      <c r="BB37" s="4"/>
      <c r="BC37" s="4"/>
      <c r="BD37" s="4"/>
      <c r="BE37" s="4"/>
      <c r="BF37" s="4"/>
      <c r="BG37" s="4" t="s">
        <v>383</v>
      </c>
      <c r="BH37" s="4" t="s">
        <v>356</v>
      </c>
      <c r="BI37" s="4" t="s">
        <v>356</v>
      </c>
      <c r="BJ37" s="4" t="s">
        <v>356</v>
      </c>
      <c r="BK37" s="4" t="s">
        <v>356</v>
      </c>
      <c r="BL37" s="4" t="s">
        <v>356</v>
      </c>
      <c r="BM37" s="4" t="s">
        <v>356</v>
      </c>
      <c r="BN37" s="4" t="s">
        <v>356</v>
      </c>
      <c r="BO37" s="4" t="s">
        <v>356</v>
      </c>
      <c r="BP37" s="4">
        <v>5</v>
      </c>
      <c r="BQ37" s="4">
        <v>4</v>
      </c>
      <c r="BR37" s="4">
        <v>10</v>
      </c>
      <c r="BS37" s="4">
        <v>50</v>
      </c>
      <c r="BT37" s="4">
        <v>1</v>
      </c>
      <c r="BU37" s="4">
        <v>1</v>
      </c>
      <c r="BV37" s="4">
        <v>1</v>
      </c>
      <c r="BW37" s="4">
        <v>1</v>
      </c>
      <c r="BX37" s="4">
        <v>1</v>
      </c>
      <c r="BY37" s="4">
        <v>1</v>
      </c>
      <c r="BZ37" s="4">
        <v>1</v>
      </c>
      <c r="CA37" s="4">
        <v>6</v>
      </c>
      <c r="CB37" s="4">
        <v>5</v>
      </c>
      <c r="CC37" s="4">
        <v>5</v>
      </c>
      <c r="CD37" s="4">
        <v>5</v>
      </c>
      <c r="CE37" s="4">
        <v>6</v>
      </c>
      <c r="CF37" s="4">
        <v>5</v>
      </c>
      <c r="CG37" s="4">
        <v>3</v>
      </c>
      <c r="CH37" s="4">
        <v>3</v>
      </c>
      <c r="CI37" s="4">
        <v>3</v>
      </c>
      <c r="CJ37" s="4">
        <v>6</v>
      </c>
      <c r="CK37" s="4">
        <v>5</v>
      </c>
      <c r="CL37" s="4">
        <v>2</v>
      </c>
      <c r="CM37" s="4">
        <v>6</v>
      </c>
      <c r="CN37" s="4">
        <v>4</v>
      </c>
      <c r="CO37" s="4">
        <v>2</v>
      </c>
      <c r="CP37" s="4">
        <v>2</v>
      </c>
      <c r="CQ37" s="4">
        <v>2</v>
      </c>
      <c r="CR37" s="4">
        <v>4</v>
      </c>
      <c r="CS37" s="4">
        <v>2</v>
      </c>
      <c r="CT37" s="4">
        <v>4</v>
      </c>
      <c r="CU37" s="4">
        <v>4</v>
      </c>
      <c r="CV37" s="4">
        <v>6</v>
      </c>
      <c r="CW37" s="4">
        <v>6</v>
      </c>
      <c r="CX37" s="4">
        <f>SUM(Foglio1!$BT37:$CW37)</f>
        <v>103</v>
      </c>
      <c r="CY37" s="4">
        <f>SUM(Foglio1!$BT37+Foglio1!$BV37+Foglio1!$CP37+Foglio1!$BY37+Foglio1!$BX37+Foglio1!$CH37+Foglio1!$CS37+Foglio1!$CW37-Foglio1!$CE37)</f>
        <v>11</v>
      </c>
      <c r="CZ37" s="4">
        <f>SUM(Foglio1!$CF37+Foglio1!$CA37+Foglio1!$CB37+Foglio1!$CD37+Foglio1!$CN37+Foglio1!$CC37+Foglio1!$CW37+Foglio1!$CO37+Foglio1!$CT37-Foglio1!$BU37)</f>
        <v>41</v>
      </c>
      <c r="DA37" s="4">
        <f>SUM(Foglio1!$CG37+Foglio1!$CR37+Foglio1!$CQ37+Foglio1!$BU37+Foglio1!$CE37+Foglio1!$CL37+Foglio1!$CS37+Foglio1!$CT37+Foglio1!$CV37+Foglio1!$CP37)</f>
        <v>32</v>
      </c>
      <c r="DB37" s="4">
        <f>SUM(Foglio1!$CU37+Foglio1!$BW37+Foglio1!$BZ37+Foglio1!$CO37+Foglio1!$BX37+Foglio1!$CC37+Foglio1!$CK37+Foglio1!$CW37)</f>
        <v>25</v>
      </c>
      <c r="DC37" s="4">
        <f>SUM(Foglio1!$CI37+Foglio1!$CM37+Foglio1!$CJ37+Foglio1!$CK37+Foglio1!$BY37+Foglio1!$CH37+Foglio1!$CV37+Foglio1!$CW37)</f>
        <v>36</v>
      </c>
      <c r="DD37" s="4">
        <v>0</v>
      </c>
      <c r="DE37" s="4">
        <v>0</v>
      </c>
      <c r="DF37" s="4">
        <v>0</v>
      </c>
      <c r="DG37" s="4">
        <v>0</v>
      </c>
      <c r="DH37" s="4">
        <v>0</v>
      </c>
      <c r="DI37" s="4">
        <v>0</v>
      </c>
      <c r="DJ37" s="4">
        <v>0</v>
      </c>
      <c r="DK37" s="4">
        <v>0</v>
      </c>
      <c r="DL37" s="4">
        <v>0</v>
      </c>
      <c r="DM37" s="4">
        <v>0</v>
      </c>
      <c r="DN37" s="4">
        <v>0</v>
      </c>
      <c r="DO37" s="4">
        <v>0</v>
      </c>
      <c r="DP37" s="4">
        <v>0</v>
      </c>
      <c r="DQ37" s="4">
        <v>0</v>
      </c>
      <c r="DR37" s="4">
        <v>0</v>
      </c>
      <c r="DS37" s="4">
        <v>0</v>
      </c>
      <c r="DT37" s="4">
        <v>0</v>
      </c>
      <c r="DU37" s="4">
        <v>0</v>
      </c>
      <c r="DV37" s="4">
        <v>0</v>
      </c>
      <c r="DW37" s="4">
        <v>0</v>
      </c>
      <c r="DX37" s="4">
        <v>2</v>
      </c>
      <c r="DY37" s="4">
        <v>4</v>
      </c>
      <c r="DZ37" s="4">
        <v>0</v>
      </c>
      <c r="EA37" s="4">
        <v>4</v>
      </c>
      <c r="EB37" s="4">
        <v>3</v>
      </c>
      <c r="EC37" s="4">
        <v>0</v>
      </c>
      <c r="ED37" s="4">
        <v>0</v>
      </c>
      <c r="EE37" s="4">
        <v>4</v>
      </c>
      <c r="EF37" s="4">
        <v>3</v>
      </c>
      <c r="EG37" s="4">
        <v>3</v>
      </c>
      <c r="EH37" s="4">
        <f>(Foglio1!$DE37+Foglio1!$DH37+Foglio1!$DG37+Foglio1!$DF37+Foglio1!$DM37+Foglio1!$DD37+Foglio1!$DO37+Foglio1!$DL37+Foglio1!$DN37+Foglio1!$DQ37+Foglio1!$DP37+Foglio1!$DT37+Foglio1!$DI37+Foglio1!$DK37+Foglio1!$DU37)</f>
        <v>0</v>
      </c>
      <c r="EI37" s="4">
        <f>(Foglio1!$EA37+Foglio1!$EB37+Foglio1!$EE37+Foglio1!$EC37+Foglio1!$ED37+Foglio1!$DZ37+Foglio1!$DY37)</f>
        <v>15</v>
      </c>
      <c r="EJ37" s="4">
        <f>(Foglio1!$DW37+Foglio1!$DV37+Foglio1!$DX37)</f>
        <v>2</v>
      </c>
      <c r="EK37" s="4">
        <f>(Foglio1!$EG37+Foglio1!$EF37)</f>
        <v>6</v>
      </c>
      <c r="EL37" s="4">
        <v>1</v>
      </c>
      <c r="EM37" s="4">
        <v>1</v>
      </c>
      <c r="EN37" s="4">
        <v>1</v>
      </c>
      <c r="EO37" s="4">
        <v>1</v>
      </c>
      <c r="EP37" s="4">
        <f t="array" ref="EP37">SUM(EL37:EO37/4)</f>
        <v>1</v>
      </c>
      <c r="EQ37" s="4">
        <v>1</v>
      </c>
      <c r="ER37" s="4">
        <v>0</v>
      </c>
      <c r="ES37" s="4">
        <v>0</v>
      </c>
      <c r="ET37" s="4">
        <v>1</v>
      </c>
      <c r="EU37" s="4" t="s">
        <v>383</v>
      </c>
      <c r="EV37" s="4">
        <v>0</v>
      </c>
      <c r="EW37" s="4" t="s">
        <v>383</v>
      </c>
      <c r="EX37" s="4">
        <v>1</v>
      </c>
      <c r="EY37" s="4">
        <f>(Foglio1!$EQ37+Foglio1!$ER37+Foglio1!$ES37+Foglio1!$ET37+Foglio1!$EV37+Foglio1!$EX37)/6</f>
        <v>0.5</v>
      </c>
      <c r="EZ37" s="4">
        <v>1</v>
      </c>
      <c r="FA37" s="4">
        <v>1</v>
      </c>
      <c r="FB37" s="4">
        <v>0</v>
      </c>
      <c r="FC37" s="4">
        <f>(Foglio1!$EZ37+Foglio1!$FA37+Foglio1!$FB37)/3</f>
        <v>0.66666666666666663</v>
      </c>
      <c r="FD37" s="4">
        <v>1</v>
      </c>
      <c r="FE37" s="4">
        <v>0</v>
      </c>
      <c r="FF37" s="4">
        <f>(Foglio1!$FD37+Foglio1!$FE37)/2</f>
        <v>0.5</v>
      </c>
      <c r="FG37" s="4" t="s">
        <v>383</v>
      </c>
      <c r="FH37" s="4">
        <v>1</v>
      </c>
      <c r="FI37" s="4" t="s">
        <v>383</v>
      </c>
      <c r="FJ37" s="4">
        <v>0</v>
      </c>
      <c r="FK37" s="4" t="s">
        <v>383</v>
      </c>
      <c r="FL37" s="4">
        <v>0</v>
      </c>
      <c r="FM37" s="4">
        <f>(Foglio1!$FH37+Foglio1!$FJ37+Foglio1!$FL37)/3</f>
        <v>0.33333333333333331</v>
      </c>
      <c r="FN37" s="4">
        <f>(Foglio1!$EP37)</f>
        <v>1</v>
      </c>
      <c r="FO37" s="4">
        <f>(Foglio1!$EY37+Foglio1!$FC37+Foglio1!$FF37+Foglio1!$FM37)/4</f>
        <v>0.49999999999999994</v>
      </c>
      <c r="FP37" s="4">
        <f>(Foglio1!$EP37+Foglio1!$EY37+Foglio1!$FC37+Foglio1!$FF37+Foglio1!$FM37)/5</f>
        <v>0.6</v>
      </c>
      <c r="FQ37" s="4"/>
      <c r="FR37" s="4" t="s">
        <v>356</v>
      </c>
      <c r="FS37" s="4" t="s">
        <v>356</v>
      </c>
      <c r="FT37" s="4" t="s">
        <v>356</v>
      </c>
      <c r="FU37" s="4" t="s">
        <v>356</v>
      </c>
      <c r="FV37" s="4" t="s">
        <v>356</v>
      </c>
      <c r="FW37" s="4" t="s">
        <v>356</v>
      </c>
      <c r="FX37" s="4" t="s">
        <v>356</v>
      </c>
      <c r="FY37" s="12" t="s">
        <v>383</v>
      </c>
      <c r="FZ37" s="12" t="s">
        <v>383</v>
      </c>
      <c r="GA37" s="12" t="s">
        <v>383</v>
      </c>
      <c r="GB37" s="12" t="s">
        <v>383</v>
      </c>
      <c r="GC37" s="12" t="s">
        <v>383</v>
      </c>
      <c r="GD37" s="12" t="s">
        <v>383</v>
      </c>
      <c r="GE37" s="12" t="s">
        <v>383</v>
      </c>
      <c r="GF37" s="12" t="s">
        <v>383</v>
      </c>
      <c r="GG37" s="12" t="s">
        <v>383</v>
      </c>
      <c r="GH37" s="12" t="s">
        <v>383</v>
      </c>
      <c r="GI37" s="12" t="s">
        <v>383</v>
      </c>
      <c r="GJ37" s="12" t="s">
        <v>383</v>
      </c>
      <c r="GK37" s="12" t="s">
        <v>383</v>
      </c>
      <c r="GL37" s="12" t="s">
        <v>383</v>
      </c>
      <c r="GM37" s="12" t="s">
        <v>383</v>
      </c>
      <c r="GN37" s="12" t="s">
        <v>383</v>
      </c>
      <c r="GO37" s="12" t="s">
        <v>383</v>
      </c>
      <c r="GP37" s="12" t="s">
        <v>383</v>
      </c>
      <c r="GQ37" s="12" t="s">
        <v>383</v>
      </c>
      <c r="GR37" s="12" t="s">
        <v>383</v>
      </c>
      <c r="GS37" s="12" t="s">
        <v>383</v>
      </c>
      <c r="GT37" s="12" t="s">
        <v>383</v>
      </c>
      <c r="GU37" s="12" t="s">
        <v>383</v>
      </c>
      <c r="GV37" s="12" t="s">
        <v>383</v>
      </c>
      <c r="GW37" s="12" t="s">
        <v>383</v>
      </c>
      <c r="GX37" s="12" t="s">
        <v>383</v>
      </c>
      <c r="GY37" s="12" t="s">
        <v>383</v>
      </c>
      <c r="GZ37" s="12" t="s">
        <v>383</v>
      </c>
      <c r="HA37" s="12" t="s">
        <v>383</v>
      </c>
      <c r="HB37" s="12" t="s">
        <v>383</v>
      </c>
      <c r="HC37" s="12" t="s">
        <v>383</v>
      </c>
      <c r="HD37" s="12" t="s">
        <v>383</v>
      </c>
      <c r="HE37" s="12" t="s">
        <v>383</v>
      </c>
      <c r="HF37" s="12" t="s">
        <v>383</v>
      </c>
      <c r="HG37" s="12" t="s">
        <v>383</v>
      </c>
      <c r="HH37" s="4" t="s">
        <v>383</v>
      </c>
      <c r="HI37" s="4" t="s">
        <v>383</v>
      </c>
      <c r="HJ37" s="4" t="s">
        <v>383</v>
      </c>
      <c r="HK37" s="4" t="s">
        <v>383</v>
      </c>
      <c r="HL37" s="4" t="s">
        <v>383</v>
      </c>
      <c r="HM37" s="4">
        <v>0</v>
      </c>
      <c r="HN37" s="4">
        <v>0</v>
      </c>
      <c r="HO37" s="4">
        <v>0</v>
      </c>
      <c r="HP37" s="4">
        <v>0</v>
      </c>
      <c r="HQ37" s="4">
        <v>0</v>
      </c>
      <c r="HR37" s="4">
        <v>0</v>
      </c>
      <c r="HS37" s="4">
        <v>0</v>
      </c>
      <c r="HT37" s="4">
        <v>0</v>
      </c>
      <c r="HU37" s="4">
        <v>0</v>
      </c>
      <c r="HV37" s="4">
        <v>0</v>
      </c>
      <c r="HW37" s="4">
        <v>0</v>
      </c>
      <c r="HX37" s="4">
        <v>0</v>
      </c>
      <c r="HY37" s="4">
        <v>0</v>
      </c>
      <c r="HZ37" s="4">
        <v>0</v>
      </c>
      <c r="IA37" s="4">
        <v>0</v>
      </c>
      <c r="IB37" s="4">
        <v>0</v>
      </c>
      <c r="IC37" s="4">
        <v>0</v>
      </c>
      <c r="ID37" s="4">
        <v>0</v>
      </c>
      <c r="IE37" s="4">
        <v>2</v>
      </c>
      <c r="IF37" s="4">
        <v>0</v>
      </c>
      <c r="IG37" s="4">
        <v>0</v>
      </c>
      <c r="IH37" s="4">
        <v>2</v>
      </c>
      <c r="II37" s="4">
        <v>4</v>
      </c>
      <c r="IJ37" s="4">
        <v>4</v>
      </c>
      <c r="IK37" s="4">
        <v>0</v>
      </c>
      <c r="IL37" s="4">
        <v>3</v>
      </c>
      <c r="IM37" s="4">
        <v>0</v>
      </c>
      <c r="IN37" s="4">
        <v>4</v>
      </c>
      <c r="IO37" s="4">
        <v>4</v>
      </c>
      <c r="IP37" s="4">
        <v>4</v>
      </c>
      <c r="IQ37" s="4">
        <f t="shared" si="45"/>
        <v>0</v>
      </c>
      <c r="IR37" s="4">
        <f t="shared" si="46"/>
        <v>17</v>
      </c>
      <c r="IS37" s="4">
        <f t="shared" si="47"/>
        <v>2</v>
      </c>
      <c r="IT37" s="4">
        <f t="shared" si="48"/>
        <v>8</v>
      </c>
      <c r="IU37" s="4" t="s">
        <v>383</v>
      </c>
      <c r="IV37" s="4" t="s">
        <v>383</v>
      </c>
      <c r="IW37" s="4" t="s">
        <v>383</v>
      </c>
      <c r="IX37" s="4" t="s">
        <v>383</v>
      </c>
      <c r="IY37" s="4">
        <v>1</v>
      </c>
      <c r="IZ37" s="4">
        <v>1</v>
      </c>
      <c r="JA37" s="4">
        <v>1</v>
      </c>
      <c r="JB37" s="4">
        <v>1</v>
      </c>
      <c r="JC37" s="4">
        <f>(Foglio1!$IY37+Foglio1!$IZ37+Foglio1!$JA37+Foglio1!$JB37)/4</f>
        <v>1</v>
      </c>
      <c r="JD37" s="4">
        <v>1</v>
      </c>
      <c r="JE37" s="4">
        <v>0</v>
      </c>
      <c r="JF37" s="4">
        <v>1</v>
      </c>
      <c r="JG37" s="4">
        <v>1</v>
      </c>
      <c r="JH37" s="4"/>
      <c r="JI37" s="4">
        <v>1</v>
      </c>
      <c r="JJ37" s="4"/>
      <c r="JK37" s="4">
        <v>0</v>
      </c>
      <c r="JL37" s="4">
        <f>(Foglio1!$JD37+Foglio1!$JE37+Foglio1!$JF37+Foglio1!$JG37+Foglio1!$JI37+Foglio1!$JK37)/6</f>
        <v>0.66666666666666663</v>
      </c>
      <c r="JM37" s="4">
        <v>1</v>
      </c>
      <c r="JN37" s="4">
        <v>1</v>
      </c>
      <c r="JO37" s="4">
        <v>1</v>
      </c>
      <c r="JP37" s="4">
        <f>(Foglio1!$JM37+Foglio1!$JN37+Foglio1!$JO37)/3</f>
        <v>1</v>
      </c>
      <c r="JQ37" s="4">
        <v>1</v>
      </c>
      <c r="JR37" s="4">
        <v>0</v>
      </c>
      <c r="JS37" s="4">
        <f>(Foglio1!$JQ37+Foglio1!$JR37)/2</f>
        <v>0.5</v>
      </c>
      <c r="JT37" s="4"/>
      <c r="JU37" s="4">
        <v>0</v>
      </c>
      <c r="JV37" s="4"/>
      <c r="JW37" s="4">
        <v>1</v>
      </c>
      <c r="JX37" s="4"/>
      <c r="JY37" s="4">
        <v>0</v>
      </c>
      <c r="JZ37" s="4">
        <f>(Foglio1!$JU37+Foglio1!$JW37+Foglio1!$JY37)/3</f>
        <v>0.33333333333333331</v>
      </c>
      <c r="KA37" s="4">
        <f>(Foglio1!$JC37)</f>
        <v>1</v>
      </c>
      <c r="KB37" s="4">
        <f>(Foglio1!$JL37+Foglio1!$JP37+Foglio1!$JS37+Foglio1!$JZ37)/4</f>
        <v>0.625</v>
      </c>
      <c r="KC37" s="4">
        <f>(Foglio1!$JC37+Foglio1!$JL37+Foglio1!$JP37+Foglio1!$JS37+Foglio1!$JZ37)/5</f>
        <v>0.7</v>
      </c>
      <c r="KD37" s="4"/>
      <c r="KE37" s="4">
        <v>0</v>
      </c>
      <c r="KF37" s="4">
        <v>1</v>
      </c>
      <c r="KG37" s="4"/>
      <c r="KH37" s="4">
        <v>2</v>
      </c>
      <c r="KI37" s="4">
        <v>1</v>
      </c>
      <c r="KJ37" s="4"/>
      <c r="KK37" s="4">
        <v>2</v>
      </c>
      <c r="KL37" s="4">
        <v>1</v>
      </c>
      <c r="KM37" s="4"/>
      <c r="KN37" s="4">
        <v>1</v>
      </c>
      <c r="KO37" s="4">
        <v>1</v>
      </c>
      <c r="KP37" s="4"/>
      <c r="KQ37" s="4">
        <v>2</v>
      </c>
      <c r="KR37" s="4">
        <v>2</v>
      </c>
      <c r="KS37" s="4"/>
      <c r="KT37" s="4">
        <v>2</v>
      </c>
      <c r="KU37" s="4">
        <v>1</v>
      </c>
      <c r="KV37" s="4"/>
      <c r="KW37" s="4">
        <v>2</v>
      </c>
      <c r="KX37" s="4">
        <v>1</v>
      </c>
      <c r="KY37" s="4"/>
      <c r="KZ37" s="4">
        <v>2</v>
      </c>
      <c r="LA37" s="4">
        <v>2</v>
      </c>
      <c r="LB37" s="4"/>
      <c r="LC37" s="4">
        <v>2</v>
      </c>
      <c r="LD37" s="4">
        <v>1</v>
      </c>
      <c r="LE37" s="4"/>
      <c r="LF37" s="4">
        <v>0</v>
      </c>
      <c r="LG37" s="4">
        <v>0</v>
      </c>
      <c r="LH37" s="4"/>
      <c r="LI37" s="4">
        <v>2</v>
      </c>
      <c r="LJ37" s="4">
        <v>1</v>
      </c>
      <c r="LK37" s="4"/>
      <c r="LL37" s="4">
        <v>2</v>
      </c>
      <c r="LM37" s="4">
        <v>1</v>
      </c>
      <c r="LN37" s="4"/>
      <c r="LO37" s="4">
        <v>2</v>
      </c>
      <c r="LP37" s="4">
        <v>1</v>
      </c>
      <c r="LQ37" s="4"/>
      <c r="LR37" s="4">
        <v>2</v>
      </c>
      <c r="LS37" s="4">
        <v>2</v>
      </c>
      <c r="LT37" s="4">
        <f>(Foglio1!$KE37+Foglio1!$KH37+Foglio1!$KK37+Foglio1!$KN37+Foglio1!$KQ37+Foglio1!$KT37+Foglio1!$KW37+Foglio1!$KZ37+Foglio1!$LC37+Foglio1!$LF37+Foglio1!$LI37+Foglio1!$LL37+Foglio1!$LO37+Foglio1!$LR37)</f>
        <v>23</v>
      </c>
      <c r="LU37" s="4">
        <f>(Foglio1!$KI37+Foglio1!$KF37+Foglio1!$KL37+Foglio1!$KO37+Foglio1!$KR37+Foglio1!$KU37+Foglio1!$KX37+Foglio1!$LA37+Foglio1!$LD37+Foglio1!$LG37+Foglio1!$LJ37+Foglio1!$LM37+Foglio1!$LP37+Foglio1!$LS37)</f>
        <v>16</v>
      </c>
      <c r="LV37" s="4"/>
      <c r="LW37" s="4"/>
      <c r="LX37" s="4"/>
      <c r="LY37" s="4"/>
      <c r="LZ37" s="3">
        <v>0</v>
      </c>
      <c r="MA37" s="3">
        <v>4</v>
      </c>
      <c r="MB37" s="3">
        <v>0</v>
      </c>
      <c r="MC37" s="3">
        <v>0</v>
      </c>
      <c r="MD37" s="3">
        <f t="shared" si="7"/>
        <v>4</v>
      </c>
      <c r="ME37" s="3">
        <v>0</v>
      </c>
      <c r="MF37" s="3">
        <v>2</v>
      </c>
      <c r="MG37" s="3">
        <v>1</v>
      </c>
      <c r="MH37" s="3">
        <v>0</v>
      </c>
      <c r="MI37" s="3">
        <f t="shared" si="8"/>
        <v>3</v>
      </c>
    </row>
    <row r="38" spans="1:347" ht="15.75" customHeight="1" x14ac:dyDescent="0.25">
      <c r="A38" s="4" t="s">
        <v>1358</v>
      </c>
      <c r="B38" s="4">
        <v>29</v>
      </c>
      <c r="C38" s="4" t="s">
        <v>403</v>
      </c>
      <c r="D38" s="4">
        <v>8</v>
      </c>
      <c r="E38" s="4">
        <v>0</v>
      </c>
      <c r="F38" s="4" t="s">
        <v>350</v>
      </c>
      <c r="G38" s="4" t="s">
        <v>356</v>
      </c>
      <c r="H38" s="7" t="s">
        <v>1359</v>
      </c>
      <c r="I38" s="4" t="s">
        <v>1360</v>
      </c>
      <c r="J38" s="4" t="s">
        <v>1361</v>
      </c>
      <c r="K38" s="4"/>
      <c r="L38" s="7" t="s">
        <v>1362</v>
      </c>
      <c r="M38" s="7" t="s">
        <v>449</v>
      </c>
      <c r="N38" s="4" t="s">
        <v>1363</v>
      </c>
      <c r="O38" s="9">
        <v>45902</v>
      </c>
      <c r="P38" s="6">
        <v>45945</v>
      </c>
      <c r="Q38" s="4" t="s">
        <v>970</v>
      </c>
      <c r="R38" s="4"/>
      <c r="S38" s="4" t="s">
        <v>687</v>
      </c>
      <c r="T38" s="4" t="s">
        <v>360</v>
      </c>
      <c r="U38" s="4"/>
      <c r="V38" s="4" t="s">
        <v>687</v>
      </c>
      <c r="W38" s="4" t="s">
        <v>413</v>
      </c>
      <c r="X38" s="4" t="s">
        <v>1364</v>
      </c>
      <c r="Y38" s="4" t="s">
        <v>362</v>
      </c>
      <c r="Z38" s="4" t="s">
        <v>364</v>
      </c>
      <c r="AA38" s="4" t="s">
        <v>976</v>
      </c>
      <c r="AB38" s="4"/>
      <c r="AC38" s="4"/>
      <c r="AD38" s="4"/>
      <c r="AE38" s="4"/>
      <c r="AF38" s="4"/>
      <c r="AG38" s="4"/>
      <c r="AH38" s="12" t="s">
        <v>687</v>
      </c>
      <c r="AI38" s="12" t="s">
        <v>1365</v>
      </c>
      <c r="AJ38" s="12" t="s">
        <v>362</v>
      </c>
      <c r="AK38" s="12" t="s">
        <v>1118</v>
      </c>
      <c r="AL38" s="12" t="s">
        <v>1364</v>
      </c>
      <c r="AM38" s="12" t="s">
        <v>1366</v>
      </c>
      <c r="AN38" s="4" t="s">
        <v>1367</v>
      </c>
      <c r="AO38" s="4" t="s">
        <v>1368</v>
      </c>
      <c r="AP38" s="4" t="s">
        <v>364</v>
      </c>
      <c r="AQ38" s="4" t="s">
        <v>1369</v>
      </c>
      <c r="AR38" s="4" t="s">
        <v>413</v>
      </c>
      <c r="AS38" s="4" t="s">
        <v>643</v>
      </c>
      <c r="AT38" s="5" t="s">
        <v>356</v>
      </c>
      <c r="AU38" s="5" t="s">
        <v>356</v>
      </c>
      <c r="AV38" s="5" t="s">
        <v>356</v>
      </c>
      <c r="AW38" s="5" t="s">
        <v>356</v>
      </c>
      <c r="AX38" s="4">
        <v>6</v>
      </c>
      <c r="AY38" s="4"/>
      <c r="AZ38" s="5" t="s">
        <v>383</v>
      </c>
      <c r="BA38" s="4">
        <f t="shared" ref="BA38:BA43" si="49">(P38-O38)</f>
        <v>43</v>
      </c>
      <c r="BB38" s="4"/>
      <c r="BC38" s="4" t="s">
        <v>360</v>
      </c>
      <c r="BD38" s="4"/>
      <c r="BE38" s="4"/>
      <c r="BF38" s="4"/>
      <c r="BG38" s="4" t="s">
        <v>383</v>
      </c>
      <c r="BH38" s="12" t="s">
        <v>356</v>
      </c>
      <c r="BI38" s="12" t="s">
        <v>356</v>
      </c>
      <c r="BJ38" s="12" t="s">
        <v>356</v>
      </c>
      <c r="BK38" s="12" t="s">
        <v>356</v>
      </c>
      <c r="BL38" s="12" t="s">
        <v>356</v>
      </c>
      <c r="BM38" s="13" t="s">
        <v>356</v>
      </c>
      <c r="BN38" s="4" t="s">
        <v>356</v>
      </c>
      <c r="BO38" s="4" t="s">
        <v>356</v>
      </c>
      <c r="BP38" s="4">
        <v>5</v>
      </c>
      <c r="BQ38" s="4">
        <v>3</v>
      </c>
      <c r="BR38" s="4">
        <v>2</v>
      </c>
      <c r="BS38" s="4">
        <v>50</v>
      </c>
      <c r="BT38" s="4">
        <v>1</v>
      </c>
      <c r="BU38" s="4">
        <v>3</v>
      </c>
      <c r="BV38" s="4">
        <v>1</v>
      </c>
      <c r="BW38" s="4">
        <v>2</v>
      </c>
      <c r="BX38" s="4">
        <v>1</v>
      </c>
      <c r="BY38" s="4">
        <v>1</v>
      </c>
      <c r="BZ38" s="4">
        <v>3</v>
      </c>
      <c r="CA38" s="4">
        <v>2</v>
      </c>
      <c r="CB38" s="4">
        <v>3</v>
      </c>
      <c r="CC38" s="4">
        <v>2</v>
      </c>
      <c r="CD38" s="4">
        <v>2</v>
      </c>
      <c r="CE38" s="4">
        <v>3</v>
      </c>
      <c r="CF38" s="4">
        <v>2</v>
      </c>
      <c r="CG38" s="4">
        <v>1</v>
      </c>
      <c r="CH38" s="4">
        <v>1</v>
      </c>
      <c r="CI38" s="4">
        <v>3</v>
      </c>
      <c r="CJ38" s="4">
        <v>3</v>
      </c>
      <c r="CK38" s="4">
        <v>3</v>
      </c>
      <c r="CL38" s="4">
        <v>1</v>
      </c>
      <c r="CM38" s="4">
        <v>3</v>
      </c>
      <c r="CN38" s="4">
        <v>2</v>
      </c>
      <c r="CO38" s="4">
        <v>2</v>
      </c>
      <c r="CP38" s="4">
        <v>1</v>
      </c>
      <c r="CQ38" s="4">
        <v>1</v>
      </c>
      <c r="CR38" s="4">
        <v>3</v>
      </c>
      <c r="CS38" s="4">
        <v>3</v>
      </c>
      <c r="CT38" s="4">
        <v>4</v>
      </c>
      <c r="CU38" s="4">
        <v>4</v>
      </c>
      <c r="CV38" s="4">
        <v>4</v>
      </c>
      <c r="CW38" s="4">
        <v>1</v>
      </c>
      <c r="CX38" s="4">
        <f>SUM(Foglio1!$BT38:$CW38)</f>
        <v>66</v>
      </c>
      <c r="CY38" s="4">
        <f>SUM(Foglio1!$BT38+Foglio1!$BV38+Foglio1!$CP38+Foglio1!$BY38+Foglio1!$BX38+Foglio1!$CH38+Foglio1!$CS38+Foglio1!$CW38-Foglio1!$CE38)</f>
        <v>7</v>
      </c>
      <c r="CZ38" s="4">
        <f>SUM(Foglio1!$CF38+Foglio1!$CA38+Foglio1!$CB38+Foglio1!$CD38+Foglio1!$CN38+Foglio1!$CC38+Foglio1!$CW38+Foglio1!$CO38+Foglio1!$CT38-Foglio1!$BU38)</f>
        <v>17</v>
      </c>
      <c r="DA38" s="4">
        <f>SUM(Foglio1!$CG38+Foglio1!$CR38+Foglio1!$CQ38+Foglio1!$BU38+Foglio1!$CE38+Foglio1!$CL38+Foglio1!$CS38+Foglio1!$CT38+Foglio1!$CV38+Foglio1!$CP38)</f>
        <v>24</v>
      </c>
      <c r="DB38" s="4">
        <f>SUM(Foglio1!$CU38+Foglio1!$BW38+Foglio1!$BZ38+Foglio1!$CO38+Foglio1!$BX38+Foglio1!$CC38+Foglio1!$CK38+Foglio1!$CW38)</f>
        <v>18</v>
      </c>
      <c r="DC38" s="4">
        <f>SUM(Foglio1!$CI38+Foglio1!$CM38+Foglio1!$CJ38+Foglio1!$CK38+Foglio1!$BY38+Foglio1!$CH38+Foglio1!$CV38+Foglio1!$CW38)</f>
        <v>19</v>
      </c>
      <c r="DD38" s="4">
        <v>0</v>
      </c>
      <c r="DE38" s="4">
        <v>0</v>
      </c>
      <c r="DF38" s="4">
        <v>0</v>
      </c>
      <c r="DG38" s="4">
        <v>0</v>
      </c>
      <c r="DH38" s="4">
        <v>0</v>
      </c>
      <c r="DI38" s="4">
        <v>0</v>
      </c>
      <c r="DJ38" s="4">
        <v>0</v>
      </c>
      <c r="DK38" s="4">
        <v>0</v>
      </c>
      <c r="DL38" s="4">
        <v>0</v>
      </c>
      <c r="DM38" s="4">
        <v>0</v>
      </c>
      <c r="DN38" s="4">
        <v>0</v>
      </c>
      <c r="DO38" s="4">
        <v>0</v>
      </c>
      <c r="DP38" s="4">
        <v>0</v>
      </c>
      <c r="DQ38" s="4">
        <v>0</v>
      </c>
      <c r="DR38" s="4">
        <v>0</v>
      </c>
      <c r="DS38" s="4">
        <v>0</v>
      </c>
      <c r="DT38" s="4">
        <v>0</v>
      </c>
      <c r="DU38" s="4">
        <v>0</v>
      </c>
      <c r="DV38" s="4">
        <v>1</v>
      </c>
      <c r="DW38" s="4">
        <v>2</v>
      </c>
      <c r="DX38" s="4">
        <v>3</v>
      </c>
      <c r="DY38" s="4">
        <v>4</v>
      </c>
      <c r="DZ38" s="4">
        <v>4</v>
      </c>
      <c r="EA38" s="4">
        <v>1</v>
      </c>
      <c r="EB38" s="4">
        <v>0</v>
      </c>
      <c r="EC38" s="4">
        <v>4</v>
      </c>
      <c r="ED38" s="4">
        <v>4</v>
      </c>
      <c r="EE38" s="4">
        <v>2</v>
      </c>
      <c r="EF38" s="4">
        <v>4</v>
      </c>
      <c r="EG38" s="4">
        <v>4</v>
      </c>
      <c r="EH38" s="4">
        <f>(Foglio1!$DE38+Foglio1!$DH38+Foglio1!$DG38+Foglio1!$DF38+Foglio1!$DM38+Foglio1!$DD38+Foglio1!$DO38+Foglio1!$DL38+Foglio1!$DN38+Foglio1!$DQ38+Foglio1!$DP38+Foglio1!$DT38+Foglio1!$DI38+Foglio1!$DK38+Foglio1!$DU38)</f>
        <v>0</v>
      </c>
      <c r="EI38" s="4">
        <f>(Foglio1!$EA38+Foglio1!$EB38+Foglio1!$EE38+Foglio1!$EC38+Foglio1!$ED38+Foglio1!$DZ38+Foglio1!$DY38)</f>
        <v>19</v>
      </c>
      <c r="EJ38" s="4">
        <f>(Foglio1!$DW38+Foglio1!$DV38+Foglio1!$DX38)</f>
        <v>6</v>
      </c>
      <c r="EK38" s="4">
        <f>(Foglio1!$EG38+Foglio1!$EF38)</f>
        <v>8</v>
      </c>
      <c r="EL38" s="4">
        <v>1</v>
      </c>
      <c r="EM38" s="4">
        <v>0</v>
      </c>
      <c r="EN38" s="4">
        <v>1</v>
      </c>
      <c r="EO38" s="4">
        <v>1</v>
      </c>
      <c r="EP38" s="4">
        <f t="array" ref="EP38">SUM(EL38:EO38/4)</f>
        <v>0.75</v>
      </c>
      <c r="EQ38" s="4">
        <v>1</v>
      </c>
      <c r="ER38" s="4">
        <v>1</v>
      </c>
      <c r="ES38" s="4">
        <v>0</v>
      </c>
      <c r="ET38" s="4">
        <v>1</v>
      </c>
      <c r="EU38" s="4" t="s">
        <v>383</v>
      </c>
      <c r="EV38" s="4">
        <v>0</v>
      </c>
      <c r="EW38" s="4" t="s">
        <v>383</v>
      </c>
      <c r="EX38" s="4">
        <v>0</v>
      </c>
      <c r="EY38" s="4">
        <f>(Foglio1!$EQ38+Foglio1!$ER38+Foglio1!$ES38+Foglio1!$ET38+Foglio1!$EV38+Foglio1!$EX38)/6</f>
        <v>0.5</v>
      </c>
      <c r="EZ38" s="4">
        <v>1</v>
      </c>
      <c r="FA38" s="4">
        <v>1</v>
      </c>
      <c r="FB38" s="4">
        <v>1</v>
      </c>
      <c r="FC38" s="4">
        <f>(Foglio1!$EZ38+Foglio1!$FA38+Foglio1!$FB38)/3</f>
        <v>1</v>
      </c>
      <c r="FD38" s="4">
        <v>0</v>
      </c>
      <c r="FE38" s="4">
        <v>1</v>
      </c>
      <c r="FF38" s="4">
        <f>(Foglio1!$FD38+Foglio1!$FE38)/2</f>
        <v>0.5</v>
      </c>
      <c r="FG38" s="4" t="s">
        <v>383</v>
      </c>
      <c r="FH38" s="4">
        <v>0</v>
      </c>
      <c r="FI38" s="4" t="s">
        <v>383</v>
      </c>
      <c r="FJ38" s="4">
        <v>0</v>
      </c>
      <c r="FK38" s="4" t="s">
        <v>383</v>
      </c>
      <c r="FL38" s="4">
        <v>0</v>
      </c>
      <c r="FM38" s="4">
        <f>(Foglio1!$FH38+Foglio1!$FJ38+Foglio1!$FL38)/3</f>
        <v>0</v>
      </c>
      <c r="FN38" s="4">
        <f>(Foglio1!$EP38)</f>
        <v>0.75</v>
      </c>
      <c r="FO38" s="4">
        <f>(Foglio1!$EY38+Foglio1!$FC38+Foglio1!$FF38+Foglio1!$FM38)/4</f>
        <v>0.5</v>
      </c>
      <c r="FP38" s="4">
        <f>(Foglio1!$EP38+Foglio1!$EY38+Foglio1!$FC38+Foglio1!$FF38+Foglio1!$FM38)/5</f>
        <v>0.55000000000000004</v>
      </c>
      <c r="FQ38" s="4"/>
      <c r="FR38" s="4" t="s">
        <v>356</v>
      </c>
      <c r="FS38" s="4" t="s">
        <v>356</v>
      </c>
      <c r="FT38" s="4" t="s">
        <v>356</v>
      </c>
      <c r="FU38" s="4" t="s">
        <v>356</v>
      </c>
      <c r="FV38" s="4" t="s">
        <v>356</v>
      </c>
      <c r="FW38" s="4" t="s">
        <v>356</v>
      </c>
      <c r="FX38" s="4" t="s">
        <v>356</v>
      </c>
      <c r="FY38" s="12">
        <v>4</v>
      </c>
      <c r="FZ38" s="12">
        <v>3</v>
      </c>
      <c r="GA38" s="12">
        <v>2</v>
      </c>
      <c r="GB38" s="12">
        <v>55</v>
      </c>
      <c r="GC38" s="12">
        <v>1</v>
      </c>
      <c r="GD38" s="12">
        <v>2</v>
      </c>
      <c r="GE38" s="12">
        <v>1</v>
      </c>
      <c r="GF38" s="12">
        <v>1</v>
      </c>
      <c r="GG38" s="12">
        <v>1</v>
      </c>
      <c r="GH38" s="12">
        <v>1</v>
      </c>
      <c r="GI38" s="12">
        <v>2</v>
      </c>
      <c r="GJ38" s="12">
        <v>2</v>
      </c>
      <c r="GK38" s="12">
        <v>2</v>
      </c>
      <c r="GL38" s="12">
        <v>1</v>
      </c>
      <c r="GM38" s="12">
        <v>1</v>
      </c>
      <c r="GN38" s="12">
        <v>3</v>
      </c>
      <c r="GO38" s="12">
        <v>2</v>
      </c>
      <c r="GP38" s="12">
        <v>1</v>
      </c>
      <c r="GQ38" s="12">
        <v>1</v>
      </c>
      <c r="GR38" s="12">
        <v>2</v>
      </c>
      <c r="GS38" s="12">
        <v>4</v>
      </c>
      <c r="GT38" s="12">
        <v>4</v>
      </c>
      <c r="GU38" s="12">
        <v>1</v>
      </c>
      <c r="GV38" s="12">
        <v>2</v>
      </c>
      <c r="GW38" s="12">
        <v>2</v>
      </c>
      <c r="GX38" s="12">
        <v>1</v>
      </c>
      <c r="GY38" s="12">
        <v>1</v>
      </c>
      <c r="GZ38" s="12">
        <v>1</v>
      </c>
      <c r="HA38" s="12">
        <v>1</v>
      </c>
      <c r="HB38" s="12">
        <v>3</v>
      </c>
      <c r="HC38" s="12">
        <v>3</v>
      </c>
      <c r="HD38" s="12">
        <v>3</v>
      </c>
      <c r="HE38" s="12">
        <v>3</v>
      </c>
      <c r="HF38" s="12">
        <v>1</v>
      </c>
      <c r="HG38" s="4">
        <f t="shared" ref="HG38:HG41" si="50">SUM(GC38:HF38)</f>
        <v>54</v>
      </c>
      <c r="HH38" s="4">
        <f t="shared" ref="HH38:HH41" si="51">SUM(GC38+GE38+GY38+GH38+GG38+GQ38+HB38+HF38-GN38)</f>
        <v>7</v>
      </c>
      <c r="HI38" s="4">
        <f t="shared" ref="HI38:HI41" si="52">SUM(GO38+GJ38+GK38+GM38+GW38+GL38+HF38+GX38+HC38-GD38)</f>
        <v>13</v>
      </c>
      <c r="HJ38" s="4">
        <f t="shared" ref="HJ38:HJ41" si="53">SUM(GP38+HA38+GZ38+GD38+GN38+GU38+HB38+HC38+HE38+GY38)</f>
        <v>19</v>
      </c>
      <c r="HK38" s="4">
        <f t="shared" ref="HK38:HK41" si="54">SUM(HD38+GF38+GI38+GX38+GG38+GL38+GT38+HF38)</f>
        <v>14</v>
      </c>
      <c r="HL38" s="4">
        <f t="shared" ref="HL38:HL41" si="55">SUM(GR38+GV38+GS38+GT38+GH38+GQ38+HE38+HF38)</f>
        <v>18</v>
      </c>
      <c r="HM38" s="4">
        <v>1</v>
      </c>
      <c r="HN38" s="4">
        <v>0</v>
      </c>
      <c r="HO38" s="4">
        <v>0</v>
      </c>
      <c r="HP38" s="4">
        <v>0</v>
      </c>
      <c r="HQ38" s="4">
        <v>0</v>
      </c>
      <c r="HR38" s="4" t="s">
        <v>356</v>
      </c>
      <c r="HS38" s="4">
        <v>0</v>
      </c>
      <c r="HT38" s="4">
        <v>0</v>
      </c>
      <c r="HU38" s="4">
        <v>0</v>
      </c>
      <c r="HV38" s="4">
        <v>0</v>
      </c>
      <c r="HW38" s="4">
        <v>0</v>
      </c>
      <c r="HX38" s="4">
        <v>0</v>
      </c>
      <c r="HY38" s="4">
        <v>0</v>
      </c>
      <c r="HZ38" s="4">
        <v>0</v>
      </c>
      <c r="IA38" s="4">
        <v>0</v>
      </c>
      <c r="IB38" s="4">
        <v>0</v>
      </c>
      <c r="IC38" s="4">
        <v>0</v>
      </c>
      <c r="ID38" s="4" t="s">
        <v>356</v>
      </c>
      <c r="IE38" s="4">
        <v>2</v>
      </c>
      <c r="IF38" s="4">
        <v>2</v>
      </c>
      <c r="IG38" s="4">
        <v>3</v>
      </c>
      <c r="IH38" s="4">
        <v>0</v>
      </c>
      <c r="II38" s="4">
        <v>4</v>
      </c>
      <c r="IJ38" s="4">
        <v>2</v>
      </c>
      <c r="IK38" s="4">
        <v>0</v>
      </c>
      <c r="IL38" s="4">
        <v>2</v>
      </c>
      <c r="IM38" s="4">
        <v>2</v>
      </c>
      <c r="IN38" s="4">
        <v>4</v>
      </c>
      <c r="IO38" s="4">
        <v>4</v>
      </c>
      <c r="IP38" s="4">
        <v>4</v>
      </c>
      <c r="IQ38" s="4" t="s">
        <v>356</v>
      </c>
      <c r="IR38" s="4">
        <f t="shared" si="46"/>
        <v>14</v>
      </c>
      <c r="IS38" s="4">
        <f t="shared" si="47"/>
        <v>7</v>
      </c>
      <c r="IT38" s="4">
        <f t="shared" si="48"/>
        <v>8</v>
      </c>
      <c r="IU38" s="4" t="s">
        <v>383</v>
      </c>
      <c r="IV38" s="4" t="s">
        <v>383</v>
      </c>
      <c r="IW38" s="4" t="s">
        <v>383</v>
      </c>
      <c r="IX38" s="4" t="s">
        <v>383</v>
      </c>
      <c r="IY38" s="4">
        <v>1</v>
      </c>
      <c r="IZ38" s="4">
        <v>0</v>
      </c>
      <c r="JA38" s="4">
        <v>0</v>
      </c>
      <c r="JB38" s="4">
        <v>1</v>
      </c>
      <c r="JC38" s="4">
        <f>(Foglio1!$IY38+Foglio1!$IZ38+Foglio1!$JA38+Foglio1!$JB38)/4</f>
        <v>0.5</v>
      </c>
      <c r="JD38" s="4">
        <v>1</v>
      </c>
      <c r="JE38" s="4">
        <v>0</v>
      </c>
      <c r="JF38" s="4">
        <v>0</v>
      </c>
      <c r="JG38" s="4">
        <v>1</v>
      </c>
      <c r="JH38" s="4"/>
      <c r="JI38" s="4">
        <v>0</v>
      </c>
      <c r="JJ38" s="4"/>
      <c r="JK38" s="4">
        <v>0</v>
      </c>
      <c r="JL38" s="4">
        <f>(Foglio1!$JD38+Foglio1!$JE38+Foglio1!$JF38+Foglio1!$JG38+Foglio1!$JI38+Foglio1!$JK38)/6</f>
        <v>0.33333333333333331</v>
      </c>
      <c r="JM38" s="4">
        <v>1</v>
      </c>
      <c r="JN38" s="4">
        <v>1</v>
      </c>
      <c r="JO38" s="4">
        <v>1</v>
      </c>
      <c r="JP38" s="4">
        <f>(Foglio1!$JM38+Foglio1!$JN38+Foglio1!$JO38)/3</f>
        <v>1</v>
      </c>
      <c r="JQ38" s="4">
        <v>0</v>
      </c>
      <c r="JR38" s="4">
        <v>1</v>
      </c>
      <c r="JS38" s="4">
        <f>(Foglio1!$JQ38+Foglio1!$JR38)/2</f>
        <v>0.5</v>
      </c>
      <c r="JT38" s="4"/>
      <c r="JU38" s="4">
        <v>0</v>
      </c>
      <c r="JV38" s="4"/>
      <c r="JW38" s="4">
        <v>0</v>
      </c>
      <c r="JX38" s="4"/>
      <c r="JY38" s="4">
        <v>0</v>
      </c>
      <c r="JZ38" s="4">
        <f>(Foglio1!$JU38+Foglio1!$JW38+Foglio1!$JY38)/3</f>
        <v>0</v>
      </c>
      <c r="KA38" s="4">
        <f>(Foglio1!$JC38)</f>
        <v>0.5</v>
      </c>
      <c r="KB38" s="4">
        <f>(Foglio1!$JL38+Foglio1!$JP38+Foglio1!$JS38+Foglio1!$JZ38)/4</f>
        <v>0.45833333333333331</v>
      </c>
      <c r="KC38" s="4">
        <f>(Foglio1!$JC38+Foglio1!$JL38+Foglio1!$JP38+Foglio1!$JS38+Foglio1!$JZ38)/5</f>
        <v>0.46666666666666662</v>
      </c>
      <c r="KD38" s="4"/>
      <c r="KE38" s="4">
        <v>0</v>
      </c>
      <c r="KF38" s="4">
        <v>1</v>
      </c>
      <c r="KG38" s="4"/>
      <c r="KH38" s="4">
        <v>0</v>
      </c>
      <c r="KI38" s="4">
        <v>2</v>
      </c>
      <c r="KJ38" s="4"/>
      <c r="KK38" s="4">
        <v>0</v>
      </c>
      <c r="KL38" s="4">
        <v>2</v>
      </c>
      <c r="KM38" s="4"/>
      <c r="KN38" s="4">
        <v>0</v>
      </c>
      <c r="KO38" s="4">
        <v>1</v>
      </c>
      <c r="KP38" s="4"/>
      <c r="KQ38" s="4">
        <v>1</v>
      </c>
      <c r="KR38" s="4">
        <v>2</v>
      </c>
      <c r="KS38" s="4"/>
      <c r="KT38" s="4">
        <v>2</v>
      </c>
      <c r="KU38" s="4">
        <v>1</v>
      </c>
      <c r="KV38" s="4"/>
      <c r="KW38" s="4">
        <v>1</v>
      </c>
      <c r="KX38" s="4">
        <v>1</v>
      </c>
      <c r="KY38" s="4"/>
      <c r="KZ38" s="4">
        <v>0</v>
      </c>
      <c r="LA38" s="4">
        <v>2</v>
      </c>
      <c r="LB38" s="4"/>
      <c r="LC38" s="4">
        <v>0</v>
      </c>
      <c r="LD38" s="4">
        <v>0</v>
      </c>
      <c r="LE38" s="4"/>
      <c r="LF38" s="4">
        <v>0</v>
      </c>
      <c r="LG38" s="4">
        <v>1</v>
      </c>
      <c r="LH38" s="4"/>
      <c r="LI38" s="4">
        <v>1</v>
      </c>
      <c r="LJ38" s="4">
        <v>1</v>
      </c>
      <c r="LK38" s="4"/>
      <c r="LL38" s="4">
        <v>0</v>
      </c>
      <c r="LM38" s="4">
        <v>2</v>
      </c>
      <c r="LN38" s="4"/>
      <c r="LO38" s="4">
        <v>0</v>
      </c>
      <c r="LP38" s="4">
        <v>1</v>
      </c>
      <c r="LQ38" s="4"/>
      <c r="LR38" s="4">
        <v>0</v>
      </c>
      <c r="LS38" s="4">
        <v>2</v>
      </c>
      <c r="LT38" s="4">
        <f>(Foglio1!$KE38+Foglio1!$KH38+Foglio1!$KK38+Foglio1!$KN38+Foglio1!$KQ38+Foglio1!$KT38+Foglio1!$KW38+Foglio1!$KZ38+Foglio1!$LC38+Foglio1!$LF38+Foglio1!$LI38+Foglio1!$LL38+Foglio1!$LO38+Foglio1!$LR38)</f>
        <v>5</v>
      </c>
      <c r="LU38" s="4">
        <f>(Foglio1!$KI38+Foglio1!$KF38+Foglio1!$KL38+Foglio1!$KO38+Foglio1!$KR38+Foglio1!$KU38+Foglio1!$KX38+Foglio1!$LA38+Foglio1!$LD38+Foglio1!$LG38+Foglio1!$LJ38+Foglio1!$LM38+Foglio1!$LP38+Foglio1!$LS38)</f>
        <v>19</v>
      </c>
      <c r="LV38" s="4"/>
      <c r="LW38" s="4"/>
      <c r="LX38" s="4"/>
      <c r="LY38" s="4"/>
      <c r="LZ38" s="3">
        <v>2</v>
      </c>
      <c r="MA38" s="3">
        <v>0</v>
      </c>
      <c r="MB38" s="3">
        <v>0</v>
      </c>
      <c r="MC38" s="3">
        <v>0</v>
      </c>
      <c r="MD38" s="3">
        <f t="shared" si="7"/>
        <v>2</v>
      </c>
      <c r="ME38" s="3">
        <v>0</v>
      </c>
      <c r="MF38" s="3">
        <v>1</v>
      </c>
      <c r="MG38" s="3">
        <v>0</v>
      </c>
      <c r="MH38" s="3">
        <v>0</v>
      </c>
      <c r="MI38" s="3">
        <f t="shared" si="8"/>
        <v>1</v>
      </c>
    </row>
    <row r="39" spans="1:347" ht="15.75" customHeight="1" x14ac:dyDescent="0.25">
      <c r="A39" s="4" t="s">
        <v>1370</v>
      </c>
      <c r="B39" s="4">
        <v>31</v>
      </c>
      <c r="C39" s="4" t="s">
        <v>349</v>
      </c>
      <c r="D39" s="4">
        <v>16</v>
      </c>
      <c r="E39" s="4">
        <v>1</v>
      </c>
      <c r="F39" s="4" t="s">
        <v>350</v>
      </c>
      <c r="G39" s="4" t="s">
        <v>351</v>
      </c>
      <c r="H39" s="4" t="s">
        <v>1371</v>
      </c>
      <c r="I39" s="4" t="s">
        <v>1372</v>
      </c>
      <c r="J39" s="4"/>
      <c r="K39" s="4"/>
      <c r="L39" s="5" t="s">
        <v>356</v>
      </c>
      <c r="M39" s="4" t="s">
        <v>357</v>
      </c>
      <c r="N39" s="4" t="s">
        <v>406</v>
      </c>
      <c r="O39" s="9">
        <v>45797</v>
      </c>
      <c r="P39" s="9">
        <v>45819</v>
      </c>
      <c r="Q39" s="4" t="s">
        <v>1373</v>
      </c>
      <c r="R39" s="4"/>
      <c r="S39" s="4"/>
      <c r="T39" s="4" t="s">
        <v>360</v>
      </c>
      <c r="U39" s="4"/>
      <c r="V39" s="4" t="s">
        <v>412</v>
      </c>
      <c r="W39" s="4" t="s">
        <v>688</v>
      </c>
      <c r="X39" s="4" t="s">
        <v>408</v>
      </c>
      <c r="Y39" s="4" t="s">
        <v>365</v>
      </c>
      <c r="Z39" s="4"/>
      <c r="AA39" s="4"/>
      <c r="AB39" s="4"/>
      <c r="AC39" s="4"/>
      <c r="AD39" s="4"/>
      <c r="AE39" s="4"/>
      <c r="AF39" s="4"/>
      <c r="AG39" s="4"/>
      <c r="AH39" s="12" t="s">
        <v>1031</v>
      </c>
      <c r="AI39" s="12" t="s">
        <v>491</v>
      </c>
      <c r="AJ39" s="14" t="s">
        <v>356</v>
      </c>
      <c r="AK39" s="14" t="s">
        <v>356</v>
      </c>
      <c r="AL39" s="14" t="s">
        <v>356</v>
      </c>
      <c r="AM39" s="14" t="s">
        <v>356</v>
      </c>
      <c r="AN39" s="14" t="s">
        <v>356</v>
      </c>
      <c r="AO39" s="14" t="s">
        <v>356</v>
      </c>
      <c r="AP39" s="14" t="s">
        <v>356</v>
      </c>
      <c r="AQ39" s="14" t="s">
        <v>356</v>
      </c>
      <c r="AR39" s="14" t="s">
        <v>356</v>
      </c>
      <c r="AS39" s="14" t="s">
        <v>356</v>
      </c>
      <c r="AT39" s="14" t="s">
        <v>356</v>
      </c>
      <c r="AU39" s="14" t="s">
        <v>356</v>
      </c>
      <c r="AV39" s="14" t="s">
        <v>356</v>
      </c>
      <c r="AW39" s="14" t="s">
        <v>356</v>
      </c>
      <c r="AX39" s="4">
        <v>1</v>
      </c>
      <c r="AY39" s="4"/>
      <c r="AZ39" s="5" t="s">
        <v>383</v>
      </c>
      <c r="BA39" s="4">
        <f t="shared" si="49"/>
        <v>22</v>
      </c>
      <c r="BB39" s="4"/>
      <c r="BC39" s="4" t="s">
        <v>1374</v>
      </c>
      <c r="BD39" s="4"/>
      <c r="BE39" s="4"/>
      <c r="BF39" s="4"/>
      <c r="BG39" s="6">
        <v>45803</v>
      </c>
      <c r="BH39" s="4">
        <v>4</v>
      </c>
      <c r="BI39" s="4">
        <v>3</v>
      </c>
      <c r="BJ39" s="4">
        <v>4</v>
      </c>
      <c r="BK39" s="4">
        <v>3</v>
      </c>
      <c r="BL39" s="4">
        <v>4</v>
      </c>
      <c r="BM39" s="4">
        <v>2</v>
      </c>
      <c r="BN39" s="4">
        <v>1</v>
      </c>
      <c r="BO39" s="4">
        <f>SUM(Foglio1!$BH39:$BM39)</f>
        <v>20</v>
      </c>
      <c r="BP39" s="4">
        <v>3</v>
      </c>
      <c r="BQ39" s="4">
        <v>3</v>
      </c>
      <c r="BR39" s="4">
        <v>6</v>
      </c>
      <c r="BS39" s="4">
        <v>60</v>
      </c>
      <c r="BT39" s="4">
        <v>4</v>
      </c>
      <c r="BU39" s="4">
        <v>4</v>
      </c>
      <c r="BV39" s="4">
        <v>4</v>
      </c>
      <c r="BW39" s="4">
        <v>4</v>
      </c>
      <c r="BX39" s="4">
        <v>4</v>
      </c>
      <c r="BY39" s="4">
        <v>4</v>
      </c>
      <c r="BZ39" s="4">
        <v>2</v>
      </c>
      <c r="CA39" s="4">
        <v>2</v>
      </c>
      <c r="CB39" s="4">
        <v>3</v>
      </c>
      <c r="CC39" s="4">
        <v>2</v>
      </c>
      <c r="CD39" s="4">
        <v>2</v>
      </c>
      <c r="CE39" s="4">
        <v>3</v>
      </c>
      <c r="CF39" s="4">
        <v>3</v>
      </c>
      <c r="CG39" s="4">
        <v>2</v>
      </c>
      <c r="CH39" s="4">
        <v>2</v>
      </c>
      <c r="CI39" s="4">
        <v>2</v>
      </c>
      <c r="CJ39" s="4">
        <v>2</v>
      </c>
      <c r="CK39" s="4">
        <v>2</v>
      </c>
      <c r="CL39" s="4">
        <v>1</v>
      </c>
      <c r="CM39" s="4">
        <v>2</v>
      </c>
      <c r="CN39" s="4">
        <v>1</v>
      </c>
      <c r="CO39" s="4">
        <v>4</v>
      </c>
      <c r="CP39" s="4">
        <v>6</v>
      </c>
      <c r="CQ39" s="4">
        <v>2</v>
      </c>
      <c r="CR39" s="4">
        <v>2</v>
      </c>
      <c r="CS39" s="4">
        <v>4</v>
      </c>
      <c r="CT39" s="4">
        <v>3</v>
      </c>
      <c r="CU39" s="4">
        <v>3</v>
      </c>
      <c r="CV39" s="4">
        <v>2</v>
      </c>
      <c r="CW39" s="4">
        <v>5</v>
      </c>
      <c r="CX39" s="4">
        <f>SUM(Foglio1!$BT39:$CW39)</f>
        <v>86</v>
      </c>
      <c r="CY39" s="4">
        <f>SUM(Foglio1!$BT39+Foglio1!$BV39+Foglio1!$CP39+Foglio1!$BY39+Foglio1!$BX39+Foglio1!$CH39+Foglio1!$CS39+Foglio1!$CW39-Foglio1!$CE39)</f>
        <v>30</v>
      </c>
      <c r="CZ39" s="4">
        <f>SUM(Foglio1!$CF39+Foglio1!$CA39+Foglio1!$CB39+Foglio1!$CD39+Foglio1!$CN39+Foglio1!$CC39+Foglio1!$CW39+Foglio1!$CO39+Foglio1!$CT39-Foglio1!$BU39)</f>
        <v>21</v>
      </c>
      <c r="DA39" s="4">
        <f>SUM(Foglio1!$CG39+Foglio1!$CR39+Foglio1!$CQ39+Foglio1!$BU39+Foglio1!$CE39+Foglio1!$CL39+Foglio1!$CS39+Foglio1!$CT39+Foglio1!$CV39+Foglio1!$CP39)</f>
        <v>29</v>
      </c>
      <c r="DB39" s="4">
        <f>SUM(Foglio1!$CU39+Foglio1!$BW39+Foglio1!$BZ39+Foglio1!$CO39+Foglio1!$BX39+Foglio1!$CC39+Foglio1!$CK39+Foglio1!$CW39)</f>
        <v>26</v>
      </c>
      <c r="DC39" s="4">
        <f>SUM(Foglio1!$CI39+Foglio1!$CM39+Foglio1!$CJ39+Foglio1!$CK39+Foglio1!$BY39+Foglio1!$CH39+Foglio1!$CV39+Foglio1!$CW39)</f>
        <v>21</v>
      </c>
      <c r="DD39" s="4">
        <v>2</v>
      </c>
      <c r="DE39" s="4">
        <v>3</v>
      </c>
      <c r="DF39" s="4">
        <v>3</v>
      </c>
      <c r="DG39" s="4">
        <v>2</v>
      </c>
      <c r="DH39" s="4">
        <v>3</v>
      </c>
      <c r="DI39" s="4">
        <v>0</v>
      </c>
      <c r="DJ39" s="4">
        <v>0</v>
      </c>
      <c r="DK39" s="4">
        <v>0</v>
      </c>
      <c r="DL39" s="4">
        <v>0</v>
      </c>
      <c r="DM39" s="4">
        <v>0</v>
      </c>
      <c r="DN39" s="4">
        <v>3</v>
      </c>
      <c r="DO39" s="4">
        <v>0</v>
      </c>
      <c r="DP39" s="4">
        <v>0</v>
      </c>
      <c r="DQ39" s="4">
        <v>0</v>
      </c>
      <c r="DR39" s="4">
        <v>0</v>
      </c>
      <c r="DS39" s="4">
        <v>0</v>
      </c>
      <c r="DT39" s="4">
        <v>1</v>
      </c>
      <c r="DU39" s="4">
        <v>2</v>
      </c>
      <c r="DV39" s="4">
        <v>1</v>
      </c>
      <c r="DW39" s="4">
        <v>0</v>
      </c>
      <c r="DX39" s="4">
        <v>1</v>
      </c>
      <c r="DY39" s="4">
        <v>2</v>
      </c>
      <c r="DZ39" s="4">
        <v>1</v>
      </c>
      <c r="EA39" s="4">
        <v>1</v>
      </c>
      <c r="EB39" s="4">
        <v>1</v>
      </c>
      <c r="EC39" s="4">
        <v>1</v>
      </c>
      <c r="ED39" s="4">
        <v>1</v>
      </c>
      <c r="EE39" s="4">
        <v>1</v>
      </c>
      <c r="EF39" s="4">
        <v>3</v>
      </c>
      <c r="EG39" s="4">
        <v>1</v>
      </c>
      <c r="EH39" s="4">
        <f>(Foglio1!$DE39+Foglio1!$DH39+Foglio1!$DG39+Foglio1!$DF39+Foglio1!$DM39+Foglio1!$DD39+Foglio1!$DO39+Foglio1!$DL39+Foglio1!$DN39+Foglio1!$DQ39+Foglio1!$DP39+Foglio1!$DT39+Foglio1!$DI39+Foglio1!$DK39+Foglio1!$DU39)</f>
        <v>19</v>
      </c>
      <c r="EI39" s="4">
        <f>(Foglio1!$EA39+Foglio1!$EB39+Foglio1!$EE39+Foglio1!$EC39+Foglio1!$ED39+Foglio1!$DZ39+Foglio1!$DY39)</f>
        <v>8</v>
      </c>
      <c r="EJ39" s="4">
        <f>(Foglio1!$DW39+Foglio1!$DV39+Foglio1!$DX39)</f>
        <v>2</v>
      </c>
      <c r="EK39" s="4">
        <f>(Foglio1!$EG39+Foglio1!$EF39)</f>
        <v>4</v>
      </c>
      <c r="EL39" s="4">
        <v>0</v>
      </c>
      <c r="EM39" s="4">
        <v>1</v>
      </c>
      <c r="EN39" s="4">
        <v>1</v>
      </c>
      <c r="EO39" s="4">
        <v>0</v>
      </c>
      <c r="EP39" s="4">
        <f t="array" ref="EP39">SUM(EL39:EO39/4)</f>
        <v>0.5</v>
      </c>
      <c r="EQ39" s="4">
        <v>1</v>
      </c>
      <c r="ER39" s="4">
        <v>1</v>
      </c>
      <c r="ES39" s="4">
        <v>0</v>
      </c>
      <c r="ET39" s="4">
        <v>0</v>
      </c>
      <c r="EU39" s="4" t="s">
        <v>1375</v>
      </c>
      <c r="EV39" s="4">
        <v>1</v>
      </c>
      <c r="EW39" s="4" t="s">
        <v>1376</v>
      </c>
      <c r="EX39" s="4">
        <v>0</v>
      </c>
      <c r="EY39" s="4">
        <f>(Foglio1!$EQ39+Foglio1!$ER39+Foglio1!$ES39+Foglio1!$ET39+Foglio1!$EV39+Foglio1!$EX39)/6</f>
        <v>0.5</v>
      </c>
      <c r="EZ39" s="4">
        <v>0</v>
      </c>
      <c r="FA39" s="4">
        <v>0</v>
      </c>
      <c r="FB39" s="4">
        <v>0</v>
      </c>
      <c r="FC39" s="4">
        <f>(Foglio1!$EZ39+Foglio1!$FA39+Foglio1!$FB39)/3</f>
        <v>0</v>
      </c>
      <c r="FD39" s="4">
        <v>1</v>
      </c>
      <c r="FE39" s="4">
        <v>1</v>
      </c>
      <c r="FF39" s="4">
        <f>(Foglio1!$FD39+Foglio1!$FE39)/2</f>
        <v>1</v>
      </c>
      <c r="FG39" s="4" t="s">
        <v>383</v>
      </c>
      <c r="FH39" s="4">
        <v>1</v>
      </c>
      <c r="FI39" s="4" t="s">
        <v>383</v>
      </c>
      <c r="FJ39" s="4">
        <v>0</v>
      </c>
      <c r="FK39" s="4" t="s">
        <v>383</v>
      </c>
      <c r="FL39" s="4">
        <v>0</v>
      </c>
      <c r="FM39" s="4">
        <f>(Foglio1!$FH39+Foglio1!$FJ39+Foglio1!$FL39)/3</f>
        <v>0.33333333333333331</v>
      </c>
      <c r="FN39" s="4">
        <f>(Foglio1!$EP39)</f>
        <v>0.5</v>
      </c>
      <c r="FO39" s="4">
        <f>(Foglio1!$EY39+Foglio1!$FC39+Foglio1!$FF39+Foglio1!$FM39)/4</f>
        <v>0.45833333333333331</v>
      </c>
      <c r="FP39" s="4">
        <f>(Foglio1!$EP39+Foglio1!$EY39+Foglio1!$FC39+Foglio1!$FF39+Foglio1!$FM39)/5</f>
        <v>0.46666666666666667</v>
      </c>
      <c r="FQ39" s="6">
        <v>45811</v>
      </c>
      <c r="FR39" s="12">
        <v>2</v>
      </c>
      <c r="FS39" s="12">
        <v>2</v>
      </c>
      <c r="FT39" s="12">
        <v>2</v>
      </c>
      <c r="FU39" s="12">
        <v>2</v>
      </c>
      <c r="FV39" s="12">
        <v>2</v>
      </c>
      <c r="FW39" s="12">
        <v>2</v>
      </c>
      <c r="FX39" s="12">
        <v>2</v>
      </c>
      <c r="FY39" s="12">
        <v>2</v>
      </c>
      <c r="FZ39" s="12">
        <v>3</v>
      </c>
      <c r="GA39" s="12">
        <v>6</v>
      </c>
      <c r="GB39" s="12">
        <v>65</v>
      </c>
      <c r="GC39" s="12">
        <v>3</v>
      </c>
      <c r="GD39" s="12">
        <v>3</v>
      </c>
      <c r="GE39" s="12">
        <v>3</v>
      </c>
      <c r="GF39" s="12">
        <v>3</v>
      </c>
      <c r="GG39" s="12">
        <v>3</v>
      </c>
      <c r="GH39" s="12">
        <v>2</v>
      </c>
      <c r="GI39" s="12">
        <v>1</v>
      </c>
      <c r="GJ39" s="12">
        <v>2</v>
      </c>
      <c r="GK39" s="12">
        <v>2</v>
      </c>
      <c r="GL39" s="12">
        <v>2</v>
      </c>
      <c r="GM39" s="12">
        <v>2</v>
      </c>
      <c r="GN39" s="12">
        <v>2</v>
      </c>
      <c r="GO39" s="12">
        <v>2</v>
      </c>
      <c r="GP39" s="12">
        <v>1</v>
      </c>
      <c r="GQ39" s="12">
        <v>1</v>
      </c>
      <c r="GR39" s="12">
        <v>2</v>
      </c>
      <c r="GS39" s="12">
        <v>2</v>
      </c>
      <c r="GT39" s="12">
        <v>2</v>
      </c>
      <c r="GU39" s="12">
        <v>1</v>
      </c>
      <c r="GV39" s="12">
        <v>2</v>
      </c>
      <c r="GW39" s="12">
        <v>1</v>
      </c>
      <c r="GX39" s="12">
        <v>3</v>
      </c>
      <c r="GY39" s="12">
        <v>3</v>
      </c>
      <c r="GZ39" s="12">
        <v>1</v>
      </c>
      <c r="HA39" s="12">
        <v>1</v>
      </c>
      <c r="HB39" s="12">
        <v>3</v>
      </c>
      <c r="HC39" s="12">
        <v>3</v>
      </c>
      <c r="HD39" s="12">
        <v>2</v>
      </c>
      <c r="HE39" s="12">
        <v>1</v>
      </c>
      <c r="HF39" s="12">
        <v>2</v>
      </c>
      <c r="HG39" s="4">
        <f t="shared" si="50"/>
        <v>61</v>
      </c>
      <c r="HH39" s="4">
        <f t="shared" si="51"/>
        <v>18</v>
      </c>
      <c r="HI39" s="4">
        <f t="shared" si="52"/>
        <v>16</v>
      </c>
      <c r="HJ39" s="4">
        <f t="shared" si="53"/>
        <v>19</v>
      </c>
      <c r="HK39" s="4">
        <f t="shared" si="54"/>
        <v>18</v>
      </c>
      <c r="HL39" s="4">
        <f t="shared" si="55"/>
        <v>14</v>
      </c>
      <c r="HM39" s="4">
        <v>3</v>
      </c>
      <c r="HN39" s="4">
        <v>3</v>
      </c>
      <c r="HO39" s="4">
        <v>3</v>
      </c>
      <c r="HP39" s="4">
        <v>3</v>
      </c>
      <c r="HQ39" s="4">
        <v>3</v>
      </c>
      <c r="HR39" s="4" t="s">
        <v>359</v>
      </c>
      <c r="HS39" s="4">
        <v>0</v>
      </c>
      <c r="HT39" s="4">
        <v>0</v>
      </c>
      <c r="HU39" s="4">
        <v>0</v>
      </c>
      <c r="HV39" s="4">
        <v>0</v>
      </c>
      <c r="HW39" s="4">
        <v>3</v>
      </c>
      <c r="HX39" s="4">
        <v>0</v>
      </c>
      <c r="HY39" s="4">
        <v>0</v>
      </c>
      <c r="HZ39" s="4">
        <v>0</v>
      </c>
      <c r="IA39" s="4">
        <v>0</v>
      </c>
      <c r="IB39" s="4">
        <v>0</v>
      </c>
      <c r="IC39" s="4">
        <v>3</v>
      </c>
      <c r="ID39" s="4" t="s">
        <v>359</v>
      </c>
      <c r="IE39" s="4">
        <v>0</v>
      </c>
      <c r="IF39" s="4">
        <v>0</v>
      </c>
      <c r="IG39" s="4" t="s">
        <v>359</v>
      </c>
      <c r="IH39" s="4">
        <v>0</v>
      </c>
      <c r="II39" s="4">
        <v>0</v>
      </c>
      <c r="IJ39" s="4">
        <v>0</v>
      </c>
      <c r="IK39" s="4">
        <v>0</v>
      </c>
      <c r="IL39" s="4">
        <v>0</v>
      </c>
      <c r="IM39" s="4">
        <v>0</v>
      </c>
      <c r="IN39" s="4">
        <v>2</v>
      </c>
      <c r="IO39" s="4">
        <v>0</v>
      </c>
      <c r="IP39" s="4">
        <v>0</v>
      </c>
      <c r="IQ39" s="4" t="s">
        <v>359</v>
      </c>
      <c r="IR39" s="4">
        <f t="shared" si="46"/>
        <v>2</v>
      </c>
      <c r="IS39" s="4" t="s">
        <v>359</v>
      </c>
      <c r="IT39" s="4">
        <f t="shared" si="48"/>
        <v>0</v>
      </c>
      <c r="IU39" s="4" t="s">
        <v>383</v>
      </c>
      <c r="IV39" s="4" t="s">
        <v>383</v>
      </c>
      <c r="IW39" s="4" t="s">
        <v>383</v>
      </c>
      <c r="IX39" s="4" t="s">
        <v>383</v>
      </c>
      <c r="IY39" s="4">
        <v>1</v>
      </c>
      <c r="IZ39" s="4">
        <v>1</v>
      </c>
      <c r="JA39" s="4">
        <v>1</v>
      </c>
      <c r="JB39" s="4">
        <v>1</v>
      </c>
      <c r="JC39" s="4">
        <f>(Foglio1!$IY39+Foglio1!$IZ39+Foglio1!$JA39+Foglio1!$JB39)/4</f>
        <v>1</v>
      </c>
      <c r="JD39" s="4">
        <v>0</v>
      </c>
      <c r="JE39" s="4">
        <v>1</v>
      </c>
      <c r="JF39" s="4">
        <v>0</v>
      </c>
      <c r="JG39" s="4">
        <v>0</v>
      </c>
      <c r="JH39" s="4"/>
      <c r="JI39" s="4">
        <v>0</v>
      </c>
      <c r="JJ39" s="4"/>
      <c r="JK39" s="4">
        <v>0</v>
      </c>
      <c r="JL39" s="4">
        <f>(Foglio1!$JD39+Foglio1!$JE39+Foglio1!$JF39+Foglio1!$JG39+Foglio1!$JI39+Foglio1!$JK39)/6</f>
        <v>0.16666666666666666</v>
      </c>
      <c r="JM39" s="4">
        <v>0</v>
      </c>
      <c r="JN39" s="4">
        <v>1</v>
      </c>
      <c r="JO39" s="4">
        <v>0</v>
      </c>
      <c r="JP39" s="4">
        <f>(Foglio1!$JM39+Foglio1!$JN39+Foglio1!$JO39)/3</f>
        <v>0.33333333333333331</v>
      </c>
      <c r="JQ39" s="4">
        <v>0</v>
      </c>
      <c r="JR39" s="4">
        <v>0</v>
      </c>
      <c r="JS39" s="4">
        <f>(Foglio1!$JQ39+Foglio1!$JR39)/2</f>
        <v>0</v>
      </c>
      <c r="JT39" s="4"/>
      <c r="JU39" s="4">
        <v>1</v>
      </c>
      <c r="JV39" s="4"/>
      <c r="JW39" s="4">
        <v>1</v>
      </c>
      <c r="JX39" s="4"/>
      <c r="JY39" s="4">
        <v>0</v>
      </c>
      <c r="JZ39" s="4">
        <f>(Foglio1!$JU39+Foglio1!$JW39+Foglio1!$JY39)/3</f>
        <v>0.66666666666666663</v>
      </c>
      <c r="KA39" s="4">
        <f>(Foglio1!$JC39)</f>
        <v>1</v>
      </c>
      <c r="KB39" s="4">
        <f>(Foglio1!$JL39+Foglio1!$JP39+Foglio1!$JS39+Foglio1!$JZ39)/4</f>
        <v>0.29166666666666663</v>
      </c>
      <c r="KC39" s="4">
        <f>(Foglio1!$JC39+Foglio1!$JL39+Foglio1!$JP39+Foglio1!$JS39+Foglio1!$JZ39)/5</f>
        <v>0.43333333333333329</v>
      </c>
      <c r="KD39" s="4"/>
      <c r="KE39" s="4">
        <v>1</v>
      </c>
      <c r="KF39" s="4">
        <v>2</v>
      </c>
      <c r="KG39" s="4"/>
      <c r="KH39" s="4">
        <v>2</v>
      </c>
      <c r="KI39" s="4">
        <v>1</v>
      </c>
      <c r="KJ39" s="4"/>
      <c r="KK39" s="4">
        <v>2</v>
      </c>
      <c r="KL39" s="4">
        <v>3</v>
      </c>
      <c r="KM39" s="4"/>
      <c r="KN39" s="4">
        <v>0</v>
      </c>
      <c r="KO39" s="4">
        <v>0</v>
      </c>
      <c r="KP39" s="4"/>
      <c r="KQ39" s="4">
        <v>2</v>
      </c>
      <c r="KR39" s="4">
        <v>3</v>
      </c>
      <c r="KS39" s="4"/>
      <c r="KT39" s="4">
        <v>2</v>
      </c>
      <c r="KU39" s="4">
        <v>2</v>
      </c>
      <c r="KV39" s="4"/>
      <c r="KW39" s="4">
        <v>0</v>
      </c>
      <c r="KX39" s="4">
        <v>1</v>
      </c>
      <c r="KY39" s="4"/>
      <c r="KZ39" s="4">
        <v>0</v>
      </c>
      <c r="LA39" s="4">
        <v>3</v>
      </c>
      <c r="LB39" s="4"/>
      <c r="LC39" s="4">
        <v>2</v>
      </c>
      <c r="LD39" s="4">
        <v>2</v>
      </c>
      <c r="LE39" s="4"/>
      <c r="LF39" s="4">
        <v>1</v>
      </c>
      <c r="LG39" s="4">
        <v>3</v>
      </c>
      <c r="LH39" s="4"/>
      <c r="LI39" s="4">
        <v>0</v>
      </c>
      <c r="LJ39" s="4">
        <v>1</v>
      </c>
      <c r="LK39" s="4"/>
      <c r="LL39" s="4">
        <v>2</v>
      </c>
      <c r="LM39" s="4">
        <v>2</v>
      </c>
      <c r="LN39" s="4"/>
      <c r="LO39" s="4">
        <v>2</v>
      </c>
      <c r="LP39" s="4">
        <v>2</v>
      </c>
      <c r="LQ39" s="4"/>
      <c r="LR39" s="4">
        <v>1</v>
      </c>
      <c r="LS39" s="4">
        <v>3</v>
      </c>
      <c r="LT39" s="4">
        <f>(Foglio1!$KE39+Foglio1!$KH39+Foglio1!$KK39+Foglio1!$KN39+Foglio1!$KQ39+Foglio1!$KT39+Foglio1!$KW39+Foglio1!$KZ39+Foglio1!$LC39+Foglio1!$LF39+Foglio1!$LI39+Foglio1!$LL39+Foglio1!$LO39+Foglio1!$LR39)</f>
        <v>17</v>
      </c>
      <c r="LU39" s="4">
        <f>(Foglio1!$KI39+Foglio1!$KF39+Foglio1!$KL39+Foglio1!$KO39+Foglio1!$KR39+Foglio1!$KU39+Foglio1!$KX39+Foglio1!$LA39+Foglio1!$LD39+Foglio1!$LG39+Foglio1!$LJ39+Foglio1!$LM39+Foglio1!$LP39+Foglio1!$LS39)</f>
        <v>28</v>
      </c>
      <c r="LV39" s="4">
        <v>46</v>
      </c>
      <c r="LW39" s="4">
        <v>51</v>
      </c>
      <c r="LX39" s="4">
        <v>18</v>
      </c>
      <c r="LY39" s="4">
        <v>35</v>
      </c>
      <c r="LZ39" s="3">
        <v>0</v>
      </c>
      <c r="MA39" s="3">
        <v>8</v>
      </c>
      <c r="MB39" s="3">
        <v>1</v>
      </c>
      <c r="MC39" s="3">
        <v>3</v>
      </c>
      <c r="MD39" s="3">
        <f t="shared" si="7"/>
        <v>12</v>
      </c>
      <c r="ME39" s="3">
        <v>0</v>
      </c>
      <c r="MF39" s="3">
        <v>1</v>
      </c>
      <c r="MG39" s="3">
        <v>0</v>
      </c>
      <c r="MH39" s="3">
        <v>0</v>
      </c>
      <c r="MI39" s="3">
        <f t="shared" si="8"/>
        <v>1</v>
      </c>
    </row>
    <row r="40" spans="1:347" ht="15.75" customHeight="1" x14ac:dyDescent="0.25">
      <c r="A40" s="4" t="s">
        <v>1377</v>
      </c>
      <c r="B40" s="4">
        <v>63</v>
      </c>
      <c r="C40" s="4" t="s">
        <v>349</v>
      </c>
      <c r="D40" s="4">
        <v>13</v>
      </c>
      <c r="E40" s="4">
        <v>0</v>
      </c>
      <c r="F40" s="4" t="s">
        <v>350</v>
      </c>
      <c r="G40" s="4" t="s">
        <v>356</v>
      </c>
      <c r="H40" s="4" t="s">
        <v>1378</v>
      </c>
      <c r="I40" s="4" t="s">
        <v>445</v>
      </c>
      <c r="J40" s="7" t="s">
        <v>1379</v>
      </c>
      <c r="K40" s="4"/>
      <c r="L40" s="4" t="s">
        <v>1380</v>
      </c>
      <c r="M40" s="4" t="s">
        <v>449</v>
      </c>
      <c r="N40" s="4" t="s">
        <v>840</v>
      </c>
      <c r="O40" s="9">
        <v>45561</v>
      </c>
      <c r="P40" s="9">
        <v>45583</v>
      </c>
      <c r="Q40" s="4" t="s">
        <v>876</v>
      </c>
      <c r="R40" s="4"/>
      <c r="S40" s="4"/>
      <c r="T40" s="4"/>
      <c r="U40" s="4"/>
      <c r="V40" s="4"/>
      <c r="W40" s="4"/>
      <c r="X40" s="4"/>
      <c r="Y40" s="4"/>
      <c r="Z40" s="4"/>
      <c r="AA40" s="4"/>
      <c r="AB40" s="4"/>
      <c r="AC40" s="4"/>
      <c r="AD40" s="4"/>
      <c r="AE40" s="4"/>
      <c r="AF40" s="4"/>
      <c r="AG40" s="4"/>
      <c r="AH40" s="12" t="s">
        <v>454</v>
      </c>
      <c r="AI40" s="12" t="s">
        <v>1381</v>
      </c>
      <c r="AJ40" s="12" t="s">
        <v>687</v>
      </c>
      <c r="AK40" s="12" t="s">
        <v>1118</v>
      </c>
      <c r="AL40" s="14" t="s">
        <v>356</v>
      </c>
      <c r="AM40" s="14" t="s">
        <v>356</v>
      </c>
      <c r="AN40" s="14" t="s">
        <v>356</v>
      </c>
      <c r="AO40" s="14" t="s">
        <v>356</v>
      </c>
      <c r="AP40" s="14" t="s">
        <v>356</v>
      </c>
      <c r="AQ40" s="14" t="s">
        <v>356</v>
      </c>
      <c r="AR40" s="14" t="s">
        <v>356</v>
      </c>
      <c r="AS40" s="14" t="s">
        <v>356</v>
      </c>
      <c r="AT40" s="14" t="s">
        <v>356</v>
      </c>
      <c r="AU40" s="14" t="s">
        <v>356</v>
      </c>
      <c r="AV40" s="14" t="s">
        <v>356</v>
      </c>
      <c r="AW40" s="14" t="s">
        <v>356</v>
      </c>
      <c r="AX40" s="4">
        <v>2</v>
      </c>
      <c r="AY40" s="4"/>
      <c r="AZ40" s="4" t="s">
        <v>360</v>
      </c>
      <c r="BA40" s="4">
        <f t="shared" si="49"/>
        <v>22</v>
      </c>
      <c r="BB40" s="4"/>
      <c r="BC40" s="4"/>
      <c r="BD40" s="4"/>
      <c r="BE40" s="4"/>
      <c r="BF40" s="4"/>
      <c r="BG40" s="6">
        <v>45566</v>
      </c>
      <c r="BH40" s="12" t="s">
        <v>356</v>
      </c>
      <c r="BI40" s="12" t="s">
        <v>356</v>
      </c>
      <c r="BJ40" s="12" t="s">
        <v>356</v>
      </c>
      <c r="BK40" s="12" t="s">
        <v>356</v>
      </c>
      <c r="BL40" s="12" t="s">
        <v>356</v>
      </c>
      <c r="BM40" s="13" t="s">
        <v>356</v>
      </c>
      <c r="BN40" s="4" t="s">
        <v>356</v>
      </c>
      <c r="BO40" s="4" t="s">
        <v>356</v>
      </c>
      <c r="BP40" s="4">
        <v>4</v>
      </c>
      <c r="BQ40" s="4">
        <v>3</v>
      </c>
      <c r="BR40" s="4">
        <v>11</v>
      </c>
      <c r="BS40" s="4">
        <v>35</v>
      </c>
      <c r="BT40" s="4">
        <v>2</v>
      </c>
      <c r="BU40" s="4">
        <v>3</v>
      </c>
      <c r="BV40" s="4">
        <v>1</v>
      </c>
      <c r="BW40" s="4">
        <v>1</v>
      </c>
      <c r="BX40" s="4">
        <v>1</v>
      </c>
      <c r="BY40" s="4">
        <v>2</v>
      </c>
      <c r="BZ40" s="4">
        <v>2</v>
      </c>
      <c r="CA40" s="4">
        <v>3</v>
      </c>
      <c r="CB40" s="4">
        <v>4</v>
      </c>
      <c r="CC40" s="4">
        <v>4</v>
      </c>
      <c r="CD40" s="4">
        <v>4</v>
      </c>
      <c r="CE40" s="4">
        <v>4</v>
      </c>
      <c r="CF40" s="4">
        <v>3</v>
      </c>
      <c r="CG40" s="4">
        <v>3</v>
      </c>
      <c r="CH40" s="4">
        <v>5</v>
      </c>
      <c r="CI40" s="4">
        <v>3</v>
      </c>
      <c r="CJ40" s="4">
        <v>5</v>
      </c>
      <c r="CK40" s="4">
        <v>4</v>
      </c>
      <c r="CL40" s="4">
        <v>2</v>
      </c>
      <c r="CM40" s="4">
        <v>5</v>
      </c>
      <c r="CN40" s="4">
        <v>4</v>
      </c>
      <c r="CO40" s="4">
        <v>1</v>
      </c>
      <c r="CP40" s="4">
        <v>1</v>
      </c>
      <c r="CQ40" s="4">
        <v>3</v>
      </c>
      <c r="CR40" s="4">
        <v>3</v>
      </c>
      <c r="CS40" s="4">
        <v>2</v>
      </c>
      <c r="CT40" s="4">
        <v>2</v>
      </c>
      <c r="CU40" s="4">
        <v>1</v>
      </c>
      <c r="CV40" s="4">
        <v>3</v>
      </c>
      <c r="CW40" s="4">
        <v>5</v>
      </c>
      <c r="CX40" s="4">
        <f>SUM(Foglio1!$BT40:$CW40)</f>
        <v>86</v>
      </c>
      <c r="CY40" s="4">
        <f>SUM(Foglio1!$BT40+Foglio1!$BV40+Foglio1!$CP40+Foglio1!$BY40+Foglio1!$BX40+Foglio1!$CH40+Foglio1!$CS40+Foglio1!$CW40-Foglio1!$CE40)</f>
        <v>15</v>
      </c>
      <c r="CZ40" s="4">
        <f>SUM(Foglio1!$CF40+Foglio1!$CA40+Foglio1!$CB40+Foglio1!$CD40+Foglio1!$CN40+Foglio1!$CC40+Foglio1!$CW40+Foglio1!$CO40+Foglio1!$CT40-Foglio1!$BU40)</f>
        <v>27</v>
      </c>
      <c r="DA40" s="4">
        <f>SUM(Foglio1!$CG40+Foglio1!$CR40+Foglio1!$CQ40+Foglio1!$BU40+Foglio1!$CE40+Foglio1!$CL40+Foglio1!$CS40+Foglio1!$CT40+Foglio1!$CV40+Foglio1!$CP40)</f>
        <v>26</v>
      </c>
      <c r="DB40" s="4">
        <f>SUM(Foglio1!$CU40+Foglio1!$BW40+Foglio1!$BZ40+Foglio1!$CO40+Foglio1!$BX40+Foglio1!$CC40+Foglio1!$CK40+Foglio1!$CW40)</f>
        <v>19</v>
      </c>
      <c r="DC40" s="4">
        <f>SUM(Foglio1!$CI40+Foglio1!$CM40+Foglio1!$CJ40+Foglio1!$CK40+Foglio1!$BY40+Foglio1!$CH40+Foglio1!$CV40+Foglio1!$CW40)</f>
        <v>32</v>
      </c>
      <c r="DD40" s="4">
        <v>0</v>
      </c>
      <c r="DE40" s="4">
        <v>0</v>
      </c>
      <c r="DF40" s="4">
        <v>0</v>
      </c>
      <c r="DG40" s="4">
        <v>0</v>
      </c>
      <c r="DH40" s="4">
        <v>0</v>
      </c>
      <c r="DI40" s="4">
        <v>0</v>
      </c>
      <c r="DJ40" s="4">
        <v>0</v>
      </c>
      <c r="DK40" s="4">
        <v>0</v>
      </c>
      <c r="DL40" s="4">
        <v>0</v>
      </c>
      <c r="DM40" s="4">
        <v>0</v>
      </c>
      <c r="DN40" s="4">
        <v>0</v>
      </c>
      <c r="DO40" s="4">
        <v>0</v>
      </c>
      <c r="DP40" s="4">
        <v>0</v>
      </c>
      <c r="DQ40" s="4">
        <v>0</v>
      </c>
      <c r="DR40" s="4">
        <v>0</v>
      </c>
      <c r="DS40" s="4">
        <v>0</v>
      </c>
      <c r="DT40" s="4">
        <v>0</v>
      </c>
      <c r="DU40" s="4">
        <v>0</v>
      </c>
      <c r="DV40" s="4">
        <v>0</v>
      </c>
      <c r="DW40" s="4">
        <v>0</v>
      </c>
      <c r="DX40" s="4">
        <v>0</v>
      </c>
      <c r="DY40" s="4">
        <v>0</v>
      </c>
      <c r="DZ40" s="4">
        <v>4</v>
      </c>
      <c r="EA40" s="4">
        <v>3</v>
      </c>
      <c r="EB40" s="4">
        <v>4</v>
      </c>
      <c r="EC40" s="4">
        <v>0</v>
      </c>
      <c r="ED40" s="4">
        <v>0</v>
      </c>
      <c r="EE40" s="4">
        <v>3</v>
      </c>
      <c r="EF40" s="4">
        <v>3</v>
      </c>
      <c r="EG40" s="4">
        <v>3</v>
      </c>
      <c r="EH40" s="4">
        <f>(Foglio1!$DE40+Foglio1!$DH40+Foglio1!$DG40+Foglio1!$DF40+Foglio1!$DM40+Foglio1!$DD40+Foglio1!$DO40+Foglio1!$DL40+Foglio1!$DN40+Foglio1!$DQ40+Foglio1!$DP40+Foglio1!$DT40+Foglio1!$DI40+Foglio1!$DK40+Foglio1!$DU40)</f>
        <v>0</v>
      </c>
      <c r="EI40" s="4">
        <f>(Foglio1!$EA40+Foglio1!$EB40+Foglio1!$EE40+Foglio1!$EC40+Foglio1!$ED40+Foglio1!$DZ40+Foglio1!$DY40)</f>
        <v>14</v>
      </c>
      <c r="EJ40" s="4">
        <f>(Foglio1!$DW40+Foglio1!$DV40+Foglio1!$DX40)</f>
        <v>0</v>
      </c>
      <c r="EK40" s="4">
        <f>(Foglio1!$EG40+Foglio1!$EF40)</f>
        <v>6</v>
      </c>
      <c r="EL40" s="4">
        <v>1</v>
      </c>
      <c r="EM40" s="4">
        <v>0</v>
      </c>
      <c r="EN40" s="4">
        <v>0</v>
      </c>
      <c r="EO40" s="4">
        <v>1</v>
      </c>
      <c r="EP40" s="4">
        <f t="array" ref="EP40">SUM(EL40:EO40/4)</f>
        <v>0.5</v>
      </c>
      <c r="EQ40" s="4">
        <v>0</v>
      </c>
      <c r="ER40" s="4">
        <v>1</v>
      </c>
      <c r="ES40" s="4">
        <v>0</v>
      </c>
      <c r="ET40" s="4">
        <v>1</v>
      </c>
      <c r="EU40" s="4" t="s">
        <v>1382</v>
      </c>
      <c r="EV40" s="4">
        <v>0</v>
      </c>
      <c r="EW40" s="4" t="s">
        <v>1383</v>
      </c>
      <c r="EX40" s="4">
        <v>0</v>
      </c>
      <c r="EY40" s="4">
        <f>(Foglio1!$EQ40+Foglio1!$ER40+Foglio1!$ES40+Foglio1!$ET40+Foglio1!$EV40+Foglio1!$EX40)/6</f>
        <v>0.33333333333333331</v>
      </c>
      <c r="EZ40" s="4">
        <v>0</v>
      </c>
      <c r="FA40" s="4">
        <v>0</v>
      </c>
      <c r="FB40" s="4">
        <v>1</v>
      </c>
      <c r="FC40" s="4">
        <f>(Foglio1!$EZ40+Foglio1!$FA40+Foglio1!$FB40)/3</f>
        <v>0.33333333333333331</v>
      </c>
      <c r="FD40" s="4">
        <v>0</v>
      </c>
      <c r="FE40" s="4">
        <v>1</v>
      </c>
      <c r="FF40" s="4">
        <f>(Foglio1!$FD40+Foglio1!$FE40)/2</f>
        <v>0.5</v>
      </c>
      <c r="FG40" s="4" t="s">
        <v>1384</v>
      </c>
      <c r="FH40" s="4">
        <v>0</v>
      </c>
      <c r="FI40" s="4" t="s">
        <v>1385</v>
      </c>
      <c r="FJ40" s="4">
        <v>1</v>
      </c>
      <c r="FK40" s="4" t="s">
        <v>1386</v>
      </c>
      <c r="FL40" s="4">
        <v>0</v>
      </c>
      <c r="FM40" s="4">
        <f>(Foglio1!$FH40+Foglio1!$FJ40+Foglio1!$FL40)/3</f>
        <v>0.33333333333333331</v>
      </c>
      <c r="FN40" s="4">
        <f>(Foglio1!$EP40)</f>
        <v>0.5</v>
      </c>
      <c r="FO40" s="4">
        <f>(Foglio1!$EY40+Foglio1!$FC40+Foglio1!$FF40+Foglio1!$FM40)/4</f>
        <v>0.37499999999999994</v>
      </c>
      <c r="FP40" s="4">
        <f>(Foglio1!$EP40+Foglio1!$EY40+Foglio1!$FC40+Foglio1!$FF40+Foglio1!$FM40)/5</f>
        <v>0.39999999999999997</v>
      </c>
      <c r="FQ40" s="6">
        <v>45573</v>
      </c>
      <c r="FR40" s="4" t="s">
        <v>356</v>
      </c>
      <c r="FS40" s="4" t="s">
        <v>356</v>
      </c>
      <c r="FT40" s="4" t="s">
        <v>356</v>
      </c>
      <c r="FU40" s="4" t="s">
        <v>356</v>
      </c>
      <c r="FV40" s="4" t="s">
        <v>356</v>
      </c>
      <c r="FW40" s="4" t="s">
        <v>356</v>
      </c>
      <c r="FX40" s="4" t="s">
        <v>356</v>
      </c>
      <c r="FY40" s="12">
        <v>3</v>
      </c>
      <c r="FZ40" s="12">
        <v>2</v>
      </c>
      <c r="GA40" s="12">
        <v>6</v>
      </c>
      <c r="GB40" s="12">
        <v>40</v>
      </c>
      <c r="GC40" s="12">
        <v>1</v>
      </c>
      <c r="GD40" s="12">
        <v>2</v>
      </c>
      <c r="GE40" s="12">
        <v>0</v>
      </c>
      <c r="GF40" s="12">
        <v>1</v>
      </c>
      <c r="GG40" s="12">
        <v>0</v>
      </c>
      <c r="GH40" s="12">
        <v>0</v>
      </c>
      <c r="GI40" s="12">
        <v>0</v>
      </c>
      <c r="GJ40" s="12">
        <v>1</v>
      </c>
      <c r="GK40" s="12">
        <v>1</v>
      </c>
      <c r="GL40" s="12">
        <v>2</v>
      </c>
      <c r="GM40" s="12">
        <v>2</v>
      </c>
      <c r="GN40" s="12">
        <v>2</v>
      </c>
      <c r="GO40" s="12">
        <v>2</v>
      </c>
      <c r="GP40" s="12">
        <v>1</v>
      </c>
      <c r="GQ40" s="12">
        <v>3</v>
      </c>
      <c r="GR40" s="12">
        <v>2</v>
      </c>
      <c r="GS40" s="12">
        <v>2</v>
      </c>
      <c r="GT40" s="12">
        <v>2</v>
      </c>
      <c r="GU40" s="12">
        <v>0</v>
      </c>
      <c r="GV40" s="12">
        <v>2</v>
      </c>
      <c r="GW40" s="12">
        <v>2</v>
      </c>
      <c r="GX40" s="12">
        <v>0</v>
      </c>
      <c r="GY40" s="12">
        <v>1</v>
      </c>
      <c r="GZ40" s="12">
        <v>1</v>
      </c>
      <c r="HA40" s="12">
        <v>1</v>
      </c>
      <c r="HB40" s="12">
        <v>0</v>
      </c>
      <c r="HC40" s="12">
        <v>0</v>
      </c>
      <c r="HD40" s="12">
        <v>0</v>
      </c>
      <c r="HE40" s="12">
        <v>2</v>
      </c>
      <c r="HF40" s="12">
        <v>2</v>
      </c>
      <c r="HG40" s="4">
        <f t="shared" si="50"/>
        <v>35</v>
      </c>
      <c r="HH40" s="4">
        <f t="shared" si="51"/>
        <v>5</v>
      </c>
      <c r="HI40" s="4">
        <f t="shared" si="52"/>
        <v>10</v>
      </c>
      <c r="HJ40" s="4">
        <f t="shared" si="53"/>
        <v>10</v>
      </c>
      <c r="HK40" s="4">
        <f t="shared" si="54"/>
        <v>7</v>
      </c>
      <c r="HL40" s="4">
        <f t="shared" si="55"/>
        <v>15</v>
      </c>
      <c r="HM40" s="4">
        <v>3</v>
      </c>
      <c r="HN40" s="4">
        <v>2</v>
      </c>
      <c r="HO40" s="4">
        <v>0</v>
      </c>
      <c r="HP40" s="4">
        <v>0</v>
      </c>
      <c r="HQ40" s="4">
        <v>0</v>
      </c>
      <c r="HR40" s="4">
        <v>0</v>
      </c>
      <c r="HS40" s="4">
        <v>0</v>
      </c>
      <c r="HT40" s="4">
        <v>0</v>
      </c>
      <c r="HU40" s="4">
        <v>0</v>
      </c>
      <c r="HV40" s="4">
        <v>0</v>
      </c>
      <c r="HW40" s="4">
        <v>0</v>
      </c>
      <c r="HX40" s="4">
        <v>0</v>
      </c>
      <c r="HY40" s="4">
        <v>0</v>
      </c>
      <c r="HZ40" s="4">
        <v>0</v>
      </c>
      <c r="IA40" s="4">
        <v>0</v>
      </c>
      <c r="IB40" s="4">
        <v>0</v>
      </c>
      <c r="IC40" s="4">
        <v>2</v>
      </c>
      <c r="ID40" s="4">
        <v>0</v>
      </c>
      <c r="IE40" s="4">
        <v>0</v>
      </c>
      <c r="IF40" s="4">
        <v>0</v>
      </c>
      <c r="IG40" s="4">
        <v>0</v>
      </c>
      <c r="IH40" s="4">
        <v>3</v>
      </c>
      <c r="II40" s="4">
        <v>4</v>
      </c>
      <c r="IJ40" s="4">
        <v>1</v>
      </c>
      <c r="IK40" s="4">
        <v>3</v>
      </c>
      <c r="IL40" s="4">
        <v>0</v>
      </c>
      <c r="IM40" s="4">
        <v>2</v>
      </c>
      <c r="IN40" s="4">
        <v>3</v>
      </c>
      <c r="IO40" s="4">
        <v>0</v>
      </c>
      <c r="IP40" s="4">
        <v>1</v>
      </c>
      <c r="IQ40" s="4">
        <f t="shared" ref="IQ40:IQ41" si="56">SUM(HN40+HQ40+HP40+HO40+HV40+HM40+HX40+HU40+HW40+HZ40+HY40+IC40+HR40+HT40+ID40)</f>
        <v>7</v>
      </c>
      <c r="IR40" s="4">
        <f t="shared" si="46"/>
        <v>16</v>
      </c>
      <c r="IS40" s="4">
        <f t="shared" ref="IS40:IS41" si="57">SUM(IF40+IE40+IG40)</f>
        <v>0</v>
      </c>
      <c r="IT40" s="4">
        <f t="shared" si="48"/>
        <v>1</v>
      </c>
      <c r="IU40" s="4" t="s">
        <v>383</v>
      </c>
      <c r="IV40" s="4" t="s">
        <v>383</v>
      </c>
      <c r="IW40" s="4" t="s">
        <v>383</v>
      </c>
      <c r="IX40" s="4" t="s">
        <v>383</v>
      </c>
      <c r="IY40" s="4">
        <v>0</v>
      </c>
      <c r="IZ40" s="4">
        <v>1</v>
      </c>
      <c r="JA40" s="4">
        <v>0</v>
      </c>
      <c r="JB40" s="4">
        <v>1</v>
      </c>
      <c r="JC40" s="4">
        <f>(Foglio1!$IY40+Foglio1!$IZ40+Foglio1!$JA40+Foglio1!$JB40)/4</f>
        <v>0.5</v>
      </c>
      <c r="JD40" s="4">
        <v>1</v>
      </c>
      <c r="JE40" s="4">
        <v>1</v>
      </c>
      <c r="JF40" s="4">
        <v>1</v>
      </c>
      <c r="JG40" s="4">
        <v>1</v>
      </c>
      <c r="JH40" s="4" t="s">
        <v>1387</v>
      </c>
      <c r="JI40" s="4">
        <v>1</v>
      </c>
      <c r="JJ40" s="4" t="s">
        <v>1388</v>
      </c>
      <c r="JK40" s="4">
        <v>0</v>
      </c>
      <c r="JL40" s="4">
        <f>(Foglio1!$JD40+Foglio1!$JE40+Foglio1!$JF40+Foglio1!$JG40+Foglio1!$JI40+Foglio1!$JK40)/6</f>
        <v>0.83333333333333337</v>
      </c>
      <c r="JM40" s="4">
        <v>1</v>
      </c>
      <c r="JN40" s="4">
        <v>1</v>
      </c>
      <c r="JO40" s="4">
        <v>1</v>
      </c>
      <c r="JP40" s="4">
        <f>(Foglio1!$JM40+Foglio1!$JN40+Foglio1!$JO40)/3</f>
        <v>1</v>
      </c>
      <c r="JQ40" s="4"/>
      <c r="JR40" s="4">
        <v>1</v>
      </c>
      <c r="JS40" s="4">
        <f>(Foglio1!$JQ40+Foglio1!$JR40)/2</f>
        <v>0.5</v>
      </c>
      <c r="JT40" s="4" t="s">
        <v>1389</v>
      </c>
      <c r="JU40" s="4">
        <v>1</v>
      </c>
      <c r="JV40" s="4" t="s">
        <v>1390</v>
      </c>
      <c r="JW40" s="4">
        <v>0</v>
      </c>
      <c r="JX40" s="4" t="s">
        <v>1391</v>
      </c>
      <c r="JY40" s="4">
        <v>0</v>
      </c>
      <c r="JZ40" s="4">
        <f>(Foglio1!$JU40+Foglio1!$JW40+Foglio1!$JY40)/3</f>
        <v>0.33333333333333331</v>
      </c>
      <c r="KA40" s="4">
        <f>(Foglio1!$JC40)</f>
        <v>0.5</v>
      </c>
      <c r="KB40" s="4">
        <f>(Foglio1!$JL40+Foglio1!$JP40+Foglio1!$JS40+Foglio1!$JZ40)/4</f>
        <v>0.66666666666666674</v>
      </c>
      <c r="KC40" s="4">
        <f>(Foglio1!$JC40+Foglio1!$JL40+Foglio1!$JP40+Foglio1!$JS40+Foglio1!$JZ40)/5</f>
        <v>0.63333333333333341</v>
      </c>
      <c r="KD40" s="4" t="s">
        <v>1392</v>
      </c>
      <c r="KE40" s="4">
        <v>0</v>
      </c>
      <c r="KF40" s="4">
        <v>0</v>
      </c>
      <c r="KG40" s="4" t="s">
        <v>1393</v>
      </c>
      <c r="KH40" s="4">
        <v>0</v>
      </c>
      <c r="KI40" s="4">
        <v>2</v>
      </c>
      <c r="KJ40" s="4" t="s">
        <v>1394</v>
      </c>
      <c r="KK40" s="4">
        <v>1</v>
      </c>
      <c r="KL40" s="4">
        <v>2</v>
      </c>
      <c r="KM40" s="4" t="s">
        <v>1395</v>
      </c>
      <c r="KN40" s="4">
        <v>0</v>
      </c>
      <c r="KO40" s="4">
        <v>2</v>
      </c>
      <c r="KP40" s="4" t="s">
        <v>1396</v>
      </c>
      <c r="KQ40" s="4">
        <v>1</v>
      </c>
      <c r="KR40" s="4">
        <v>3</v>
      </c>
      <c r="KS40" s="4" t="s">
        <v>1397</v>
      </c>
      <c r="KT40" s="4">
        <v>2</v>
      </c>
      <c r="KU40" s="4">
        <v>1</v>
      </c>
      <c r="KV40" s="4" t="s">
        <v>1398</v>
      </c>
      <c r="KW40" s="4">
        <v>1</v>
      </c>
      <c r="KX40" s="4">
        <v>1</v>
      </c>
      <c r="KY40" s="4" t="s">
        <v>1399</v>
      </c>
      <c r="KZ40" s="4">
        <v>0</v>
      </c>
      <c r="LA40" s="4">
        <v>0</v>
      </c>
      <c r="LB40" s="4" t="s">
        <v>1400</v>
      </c>
      <c r="LC40" s="4">
        <v>0</v>
      </c>
      <c r="LD40" s="4">
        <v>1</v>
      </c>
      <c r="LE40" s="4" t="s">
        <v>1401</v>
      </c>
      <c r="LF40" s="4">
        <v>0</v>
      </c>
      <c r="LG40" s="4">
        <v>2</v>
      </c>
      <c r="LH40" s="4" t="s">
        <v>1402</v>
      </c>
      <c r="LI40" s="4">
        <v>2</v>
      </c>
      <c r="LJ40" s="4">
        <v>1</v>
      </c>
      <c r="LK40" s="4" t="s">
        <v>1403</v>
      </c>
      <c r="LL40" s="4">
        <v>2</v>
      </c>
      <c r="LM40" s="4">
        <v>2</v>
      </c>
      <c r="LN40" s="4" t="s">
        <v>727</v>
      </c>
      <c r="LO40" s="4">
        <v>1</v>
      </c>
      <c r="LP40" s="4">
        <v>1</v>
      </c>
      <c r="LQ40" s="4" t="s">
        <v>1404</v>
      </c>
      <c r="LR40" s="4">
        <v>0</v>
      </c>
      <c r="LS40" s="4">
        <v>2</v>
      </c>
      <c r="LT40" s="4">
        <f>(Foglio1!$KE40+Foglio1!$KH40+Foglio1!$KK40+Foglio1!$KN40+Foglio1!$KQ40+Foglio1!$KT40+Foglio1!$KW40+Foglio1!$KZ40+Foglio1!$LC40+Foglio1!$LF40+Foglio1!$LI40+Foglio1!$LL40+Foglio1!$LO40+Foglio1!$LR40)</f>
        <v>10</v>
      </c>
      <c r="LU40" s="4">
        <f>(Foglio1!$KI40+Foglio1!$KF40+Foglio1!$KL40+Foglio1!$KO40+Foglio1!$KR40+Foglio1!$KU40+Foglio1!$KX40+Foglio1!$LA40+Foglio1!$LD40+Foglio1!$LG40+Foglio1!$LJ40+Foglio1!$LM40+Foglio1!$LP40+Foglio1!$LS40)</f>
        <v>20</v>
      </c>
      <c r="LV40" s="4">
        <v>24</v>
      </c>
      <c r="LW40" s="4">
        <v>33</v>
      </c>
      <c r="LX40" s="4">
        <v>18</v>
      </c>
      <c r="LY40" s="4">
        <v>28</v>
      </c>
      <c r="LZ40" s="3">
        <v>0</v>
      </c>
      <c r="MA40" s="3">
        <v>0</v>
      </c>
      <c r="MB40" s="3">
        <v>1</v>
      </c>
      <c r="MC40" s="3">
        <v>2</v>
      </c>
      <c r="MD40" s="3">
        <f t="shared" si="7"/>
        <v>3</v>
      </c>
      <c r="ME40" s="3">
        <v>0</v>
      </c>
      <c r="MF40" s="3">
        <v>0</v>
      </c>
      <c r="MG40" s="3">
        <v>0</v>
      </c>
      <c r="MH40" s="3">
        <v>0</v>
      </c>
      <c r="MI40" s="3">
        <f t="shared" si="8"/>
        <v>0</v>
      </c>
    </row>
    <row r="41" spans="1:347" ht="15.75" customHeight="1" x14ac:dyDescent="0.25">
      <c r="A41" s="4" t="s">
        <v>1405</v>
      </c>
      <c r="B41" s="4">
        <v>22</v>
      </c>
      <c r="C41" s="4" t="s">
        <v>349</v>
      </c>
      <c r="D41" s="4">
        <v>8</v>
      </c>
      <c r="E41" s="4">
        <v>0</v>
      </c>
      <c r="F41" s="4" t="s">
        <v>350</v>
      </c>
      <c r="G41" s="4" t="s">
        <v>356</v>
      </c>
      <c r="H41" s="4" t="s">
        <v>1406</v>
      </c>
      <c r="I41" s="4" t="s">
        <v>1407</v>
      </c>
      <c r="J41" s="4" t="s">
        <v>1408</v>
      </c>
      <c r="K41" s="4"/>
      <c r="L41" s="4" t="s">
        <v>1409</v>
      </c>
      <c r="M41" s="4" t="s">
        <v>449</v>
      </c>
      <c r="N41" s="4" t="s">
        <v>1410</v>
      </c>
      <c r="O41" s="9">
        <v>45783</v>
      </c>
      <c r="P41" s="9">
        <v>45803</v>
      </c>
      <c r="Q41" s="4" t="s">
        <v>1411</v>
      </c>
      <c r="R41" s="4" t="s">
        <v>1412</v>
      </c>
      <c r="S41" s="4" t="s">
        <v>355</v>
      </c>
      <c r="T41" s="4" t="s">
        <v>360</v>
      </c>
      <c r="U41" s="4"/>
      <c r="V41" s="4" t="s">
        <v>654</v>
      </c>
      <c r="W41" s="4" t="s">
        <v>846</v>
      </c>
      <c r="X41" s="4" t="s">
        <v>976</v>
      </c>
      <c r="Y41" s="4" t="s">
        <v>456</v>
      </c>
      <c r="Z41" s="4" t="s">
        <v>689</v>
      </c>
      <c r="AA41" s="4" t="s">
        <v>798</v>
      </c>
      <c r="AB41" s="4" t="s">
        <v>363</v>
      </c>
      <c r="AC41" s="4"/>
      <c r="AD41" s="4"/>
      <c r="AE41" s="4"/>
      <c r="AF41" s="4"/>
      <c r="AG41" s="4"/>
      <c r="AH41" s="12" t="s">
        <v>1413</v>
      </c>
      <c r="AI41" s="12" t="s">
        <v>985</v>
      </c>
      <c r="AJ41" s="12" t="s">
        <v>701</v>
      </c>
      <c r="AK41" s="12" t="s">
        <v>1414</v>
      </c>
      <c r="AL41" s="12" t="s">
        <v>1415</v>
      </c>
      <c r="AM41" s="12" t="s">
        <v>1416</v>
      </c>
      <c r="AN41" s="4" t="s">
        <v>456</v>
      </c>
      <c r="AO41" s="4" t="s">
        <v>1417</v>
      </c>
      <c r="AP41" s="4" t="s">
        <v>363</v>
      </c>
      <c r="AQ41" s="4" t="s">
        <v>692</v>
      </c>
      <c r="AR41" s="4" t="s">
        <v>689</v>
      </c>
      <c r="AS41" s="4" t="s">
        <v>1418</v>
      </c>
      <c r="AT41" s="4" t="s">
        <v>798</v>
      </c>
      <c r="AU41" s="4" t="s">
        <v>1419</v>
      </c>
      <c r="AV41" s="14" t="s">
        <v>356</v>
      </c>
      <c r="AW41" s="14" t="s">
        <v>356</v>
      </c>
      <c r="AX41" s="4">
        <v>7</v>
      </c>
      <c r="AY41" s="4"/>
      <c r="AZ41" s="5" t="s">
        <v>383</v>
      </c>
      <c r="BA41" s="4">
        <f t="shared" si="49"/>
        <v>20</v>
      </c>
      <c r="BB41" s="4"/>
      <c r="BC41" s="4" t="s">
        <v>360</v>
      </c>
      <c r="BD41" s="4"/>
      <c r="BE41" s="4"/>
      <c r="BF41" s="4"/>
      <c r="BG41" s="6">
        <v>45785</v>
      </c>
      <c r="BH41" s="4" t="s">
        <v>356</v>
      </c>
      <c r="BI41" s="4" t="s">
        <v>356</v>
      </c>
      <c r="BJ41" s="4" t="s">
        <v>356</v>
      </c>
      <c r="BK41" s="4" t="s">
        <v>356</v>
      </c>
      <c r="BL41" s="4" t="s">
        <v>356</v>
      </c>
      <c r="BM41" s="4" t="s">
        <v>356</v>
      </c>
      <c r="BN41" s="4" t="s">
        <v>356</v>
      </c>
      <c r="BO41" s="4" t="s">
        <v>356</v>
      </c>
      <c r="BP41" s="4">
        <v>4</v>
      </c>
      <c r="BQ41" s="4">
        <v>3</v>
      </c>
      <c r="BR41" s="4">
        <v>11</v>
      </c>
      <c r="BS41" s="4">
        <v>51</v>
      </c>
      <c r="BT41" s="4">
        <v>2</v>
      </c>
      <c r="BU41" s="4">
        <v>2</v>
      </c>
      <c r="BV41" s="4">
        <v>1</v>
      </c>
      <c r="BW41" s="4">
        <v>1</v>
      </c>
      <c r="BX41" s="4">
        <v>1</v>
      </c>
      <c r="BY41" s="4">
        <v>3</v>
      </c>
      <c r="BZ41" s="4">
        <v>1</v>
      </c>
      <c r="CA41" s="4">
        <v>2</v>
      </c>
      <c r="CB41" s="4">
        <v>2</v>
      </c>
      <c r="CC41" s="4">
        <v>3</v>
      </c>
      <c r="CD41" s="4">
        <v>3</v>
      </c>
      <c r="CE41" s="4">
        <v>3</v>
      </c>
      <c r="CF41" s="4">
        <v>2</v>
      </c>
      <c r="CG41" s="4">
        <v>1</v>
      </c>
      <c r="CH41" s="4">
        <v>3</v>
      </c>
      <c r="CI41" s="4">
        <v>3</v>
      </c>
      <c r="CJ41" s="4">
        <v>3</v>
      </c>
      <c r="CK41" s="4">
        <v>3</v>
      </c>
      <c r="CL41" s="4">
        <v>1</v>
      </c>
      <c r="CM41" s="4">
        <v>4</v>
      </c>
      <c r="CN41" s="4">
        <v>2</v>
      </c>
      <c r="CO41" s="4">
        <v>2</v>
      </c>
      <c r="CP41" s="4">
        <v>3</v>
      </c>
      <c r="CQ41" s="4">
        <v>2</v>
      </c>
      <c r="CR41" s="4">
        <v>1</v>
      </c>
      <c r="CS41" s="4">
        <v>2</v>
      </c>
      <c r="CT41" s="4">
        <v>4</v>
      </c>
      <c r="CU41" s="4">
        <v>4</v>
      </c>
      <c r="CV41" s="4">
        <v>5</v>
      </c>
      <c r="CW41" s="4">
        <v>2</v>
      </c>
      <c r="CX41" s="4">
        <f>SUM(Foglio1!$BT41:$CW41)</f>
        <v>71</v>
      </c>
      <c r="CY41" s="4">
        <f>SUM(Foglio1!$BT41+Foglio1!$BV41+Foglio1!$CP41+Foglio1!$BY41+Foglio1!$BX41+Foglio1!$CH41+Foglio1!$CS41+Foglio1!$CW41-Foglio1!$CE41)</f>
        <v>14</v>
      </c>
      <c r="CZ41" s="4">
        <f>SUM(Foglio1!$CF41+Foglio1!$CA41+Foglio1!$CB41+Foglio1!$CD41+Foglio1!$CN41+Foglio1!$CC41+Foglio1!$CW41+Foglio1!$CO41+Foglio1!$CT41-Foglio1!$BU41)</f>
        <v>20</v>
      </c>
      <c r="DA41" s="4">
        <f>SUM(Foglio1!$CG41+Foglio1!$CR41+Foglio1!$CQ41+Foglio1!$BU41+Foglio1!$CE41+Foglio1!$CL41+Foglio1!$CS41+Foglio1!$CT41+Foglio1!$CV41+Foglio1!$CP41)</f>
        <v>24</v>
      </c>
      <c r="DB41" s="4">
        <f>SUM(Foglio1!$CU41+Foglio1!$BW41+Foglio1!$BZ41+Foglio1!$CO41+Foglio1!$BX41+Foglio1!$CC41+Foglio1!$CK41+Foglio1!$CW41)</f>
        <v>17</v>
      </c>
      <c r="DC41" s="4">
        <f>SUM(Foglio1!$CI41+Foglio1!$CM41+Foglio1!$CJ41+Foglio1!$CK41+Foglio1!$BY41+Foglio1!$CH41+Foglio1!$CV41+Foglio1!$CW41)</f>
        <v>26</v>
      </c>
      <c r="DD41" s="4">
        <v>0</v>
      </c>
      <c r="DE41" s="4">
        <v>0</v>
      </c>
      <c r="DF41" s="4">
        <v>0</v>
      </c>
      <c r="DG41" s="4">
        <v>0</v>
      </c>
      <c r="DH41" s="4">
        <v>0</v>
      </c>
      <c r="DI41" s="4">
        <v>0</v>
      </c>
      <c r="DJ41" s="4">
        <v>0</v>
      </c>
      <c r="DK41" s="4">
        <v>0</v>
      </c>
      <c r="DL41" s="4">
        <v>0</v>
      </c>
      <c r="DM41" s="4">
        <v>0</v>
      </c>
      <c r="DN41" s="4">
        <v>0</v>
      </c>
      <c r="DO41" s="4">
        <v>0</v>
      </c>
      <c r="DP41" s="4">
        <v>0</v>
      </c>
      <c r="DQ41" s="4">
        <v>0</v>
      </c>
      <c r="DR41" s="4">
        <v>0</v>
      </c>
      <c r="DS41" s="4">
        <v>0</v>
      </c>
      <c r="DT41" s="4">
        <v>0</v>
      </c>
      <c r="DU41" s="4">
        <v>0</v>
      </c>
      <c r="DV41" s="4">
        <v>0</v>
      </c>
      <c r="DW41" s="4">
        <v>0</v>
      </c>
      <c r="DX41" s="4">
        <v>0</v>
      </c>
      <c r="DY41" s="4">
        <v>1</v>
      </c>
      <c r="DZ41" s="4">
        <v>1</v>
      </c>
      <c r="EA41" s="4">
        <v>2</v>
      </c>
      <c r="EB41" s="4">
        <v>0</v>
      </c>
      <c r="EC41" s="4">
        <v>0</v>
      </c>
      <c r="ED41" s="4">
        <v>0</v>
      </c>
      <c r="EE41" s="4">
        <v>3</v>
      </c>
      <c r="EF41" s="4">
        <v>3</v>
      </c>
      <c r="EG41" s="4">
        <v>3</v>
      </c>
      <c r="EH41" s="4">
        <f>(Foglio1!$DE41+Foglio1!$DH41+Foglio1!$DG41+Foglio1!$DF41+Foglio1!$DM41+Foglio1!$DD41+Foglio1!$DO41+Foglio1!$DL41+Foglio1!$DN41+Foglio1!$DQ41+Foglio1!$DP41+Foglio1!$DT41+Foglio1!$DI41+Foglio1!$DK41+Foglio1!$DU41)</f>
        <v>0</v>
      </c>
      <c r="EI41" s="4">
        <f>(Foglio1!$EA41+Foglio1!$EB41+Foglio1!$EE41+Foglio1!$EC41+Foglio1!$ED41+Foglio1!$DZ41+Foglio1!$DY41)</f>
        <v>7</v>
      </c>
      <c r="EJ41" s="4">
        <f>(Foglio1!$DW41+Foglio1!$DV41+Foglio1!$DX41)</f>
        <v>0</v>
      </c>
      <c r="EK41" s="4">
        <f>(Foglio1!$EG41+Foglio1!$EF41)</f>
        <v>6</v>
      </c>
      <c r="EL41" s="4">
        <v>1</v>
      </c>
      <c r="EM41" s="4">
        <v>1</v>
      </c>
      <c r="EN41" s="4">
        <v>1</v>
      </c>
      <c r="EO41" s="4">
        <v>1</v>
      </c>
      <c r="EP41" s="4">
        <f t="array" ref="EP41">SUM(EL41:EO41/4)</f>
        <v>1</v>
      </c>
      <c r="EQ41" s="4">
        <v>1</v>
      </c>
      <c r="ER41" s="4">
        <v>1</v>
      </c>
      <c r="ES41" s="4">
        <v>1</v>
      </c>
      <c r="ET41" s="4">
        <v>1</v>
      </c>
      <c r="EU41" s="4" t="s">
        <v>1420</v>
      </c>
      <c r="EV41" s="4">
        <v>0</v>
      </c>
      <c r="EW41" s="4" t="s">
        <v>1421</v>
      </c>
      <c r="EX41" s="4">
        <v>0</v>
      </c>
      <c r="EY41" s="4">
        <f>(Foglio1!$EQ41+Foglio1!$ER41+Foglio1!$ES41+Foglio1!$ET41+Foglio1!$EV41+Foglio1!$EX41)/6</f>
        <v>0.66666666666666663</v>
      </c>
      <c r="EZ41" s="4">
        <v>1</v>
      </c>
      <c r="FA41" s="4">
        <v>1</v>
      </c>
      <c r="FB41" s="4">
        <v>1</v>
      </c>
      <c r="FC41" s="4">
        <f>(Foglio1!$EZ41+Foglio1!$FA41+Foglio1!$FB41)/3</f>
        <v>1</v>
      </c>
      <c r="FD41" s="4">
        <v>1</v>
      </c>
      <c r="FE41" s="4">
        <v>1</v>
      </c>
      <c r="FF41" s="4">
        <f>(Foglio1!$FD41+Foglio1!$FE41)/2</f>
        <v>1</v>
      </c>
      <c r="FG41" s="4" t="s">
        <v>1422</v>
      </c>
      <c r="FH41" s="4">
        <v>1</v>
      </c>
      <c r="FI41" s="4" t="s">
        <v>1423</v>
      </c>
      <c r="FJ41" s="4">
        <v>0</v>
      </c>
      <c r="FK41" s="4" t="s">
        <v>1424</v>
      </c>
      <c r="FL41" s="4">
        <v>0</v>
      </c>
      <c r="FM41" s="4">
        <f>(Foglio1!$FH41+Foglio1!$FJ41+Foglio1!$FL41)/3</f>
        <v>0.33333333333333331</v>
      </c>
      <c r="FN41" s="4">
        <f>(Foglio1!$EP41)</f>
        <v>1</v>
      </c>
      <c r="FO41" s="4">
        <f>(Foglio1!$EY41+Foglio1!$FC41+Foglio1!$FF41+Foglio1!$FM41)/4</f>
        <v>0.75</v>
      </c>
      <c r="FP41" s="4">
        <f>(Foglio1!$EP41+Foglio1!$EY41+Foglio1!$FC41+Foglio1!$FF41+Foglio1!$FM41)/5</f>
        <v>0.8</v>
      </c>
      <c r="FQ41" s="6">
        <v>45792</v>
      </c>
      <c r="FR41" s="4" t="s">
        <v>356</v>
      </c>
      <c r="FS41" s="4" t="s">
        <v>356</v>
      </c>
      <c r="FT41" s="4" t="s">
        <v>356</v>
      </c>
      <c r="FU41" s="4" t="s">
        <v>356</v>
      </c>
      <c r="FV41" s="4" t="s">
        <v>356</v>
      </c>
      <c r="FW41" s="4" t="s">
        <v>356</v>
      </c>
      <c r="FX41" s="4" t="s">
        <v>356</v>
      </c>
      <c r="FY41" s="12">
        <v>3</v>
      </c>
      <c r="FZ41" s="12">
        <v>3</v>
      </c>
      <c r="GA41" s="12">
        <v>6</v>
      </c>
      <c r="GB41" s="12">
        <v>61</v>
      </c>
      <c r="GC41" s="12">
        <v>1</v>
      </c>
      <c r="GD41" s="12">
        <v>1</v>
      </c>
      <c r="GE41" s="12">
        <v>1</v>
      </c>
      <c r="GF41" s="12">
        <v>1</v>
      </c>
      <c r="GG41" s="12">
        <v>1</v>
      </c>
      <c r="GH41" s="12">
        <v>2</v>
      </c>
      <c r="GI41" s="12">
        <v>2</v>
      </c>
      <c r="GJ41" s="12">
        <v>2</v>
      </c>
      <c r="GK41" s="12">
        <v>2</v>
      </c>
      <c r="GL41" s="12">
        <v>2</v>
      </c>
      <c r="GM41" s="12">
        <v>2</v>
      </c>
      <c r="GN41" s="12">
        <v>2</v>
      </c>
      <c r="GO41" s="12">
        <v>1</v>
      </c>
      <c r="GP41" s="12">
        <v>1</v>
      </c>
      <c r="GQ41" s="12">
        <v>2</v>
      </c>
      <c r="GR41" s="12">
        <v>2</v>
      </c>
      <c r="GS41" s="12">
        <v>2</v>
      </c>
      <c r="GT41" s="12">
        <v>1</v>
      </c>
      <c r="GU41" s="12">
        <v>1</v>
      </c>
      <c r="GV41" s="12">
        <v>4</v>
      </c>
      <c r="GW41" s="12">
        <v>2</v>
      </c>
      <c r="GX41" s="12">
        <v>1</v>
      </c>
      <c r="GY41" s="12">
        <v>2</v>
      </c>
      <c r="GZ41" s="12">
        <v>1</v>
      </c>
      <c r="HA41" s="12">
        <v>1</v>
      </c>
      <c r="HB41" s="12">
        <v>2</v>
      </c>
      <c r="HC41" s="12">
        <v>2</v>
      </c>
      <c r="HD41" s="12">
        <v>2</v>
      </c>
      <c r="HE41" s="12">
        <v>4</v>
      </c>
      <c r="HF41" s="12">
        <v>2</v>
      </c>
      <c r="HG41" s="4">
        <f t="shared" si="50"/>
        <v>52</v>
      </c>
      <c r="HH41" s="4">
        <f t="shared" si="51"/>
        <v>11</v>
      </c>
      <c r="HI41" s="4">
        <f t="shared" si="52"/>
        <v>15</v>
      </c>
      <c r="HJ41" s="4">
        <f t="shared" si="53"/>
        <v>17</v>
      </c>
      <c r="HK41" s="4">
        <f t="shared" si="54"/>
        <v>12</v>
      </c>
      <c r="HL41" s="4">
        <f t="shared" si="55"/>
        <v>19</v>
      </c>
      <c r="HM41" s="4">
        <v>2</v>
      </c>
      <c r="HN41" s="4">
        <v>1</v>
      </c>
      <c r="HO41" s="4">
        <v>0</v>
      </c>
      <c r="HP41" s="4">
        <v>0</v>
      </c>
      <c r="HQ41" s="4">
        <v>0</v>
      </c>
      <c r="HR41" s="4">
        <v>0</v>
      </c>
      <c r="HS41" s="4">
        <v>0</v>
      </c>
      <c r="HT41" s="4">
        <v>0</v>
      </c>
      <c r="HU41" s="4">
        <v>0</v>
      </c>
      <c r="HV41" s="4">
        <v>0</v>
      </c>
      <c r="HW41" s="4">
        <v>0</v>
      </c>
      <c r="HX41" s="4">
        <v>0</v>
      </c>
      <c r="HY41" s="4">
        <v>0</v>
      </c>
      <c r="HZ41" s="4">
        <v>0</v>
      </c>
      <c r="IA41" s="4">
        <v>0</v>
      </c>
      <c r="IB41" s="4">
        <v>0</v>
      </c>
      <c r="IC41" s="4">
        <v>0</v>
      </c>
      <c r="ID41" s="4">
        <v>0</v>
      </c>
      <c r="IE41" s="4">
        <v>1</v>
      </c>
      <c r="IF41" s="4">
        <v>0</v>
      </c>
      <c r="IG41" s="4">
        <v>0</v>
      </c>
      <c r="IH41" s="4">
        <v>0</v>
      </c>
      <c r="II41" s="4">
        <v>4</v>
      </c>
      <c r="IJ41" s="4">
        <v>4</v>
      </c>
      <c r="IK41" s="4">
        <v>0</v>
      </c>
      <c r="IL41" s="4">
        <v>0</v>
      </c>
      <c r="IM41" s="4">
        <v>0</v>
      </c>
      <c r="IN41" s="4">
        <v>4</v>
      </c>
      <c r="IO41" s="4">
        <v>3</v>
      </c>
      <c r="IP41" s="4">
        <v>4</v>
      </c>
      <c r="IQ41" s="4">
        <f t="shared" si="56"/>
        <v>3</v>
      </c>
      <c r="IR41" s="4">
        <f t="shared" si="46"/>
        <v>12</v>
      </c>
      <c r="IS41" s="4">
        <f t="shared" si="57"/>
        <v>1</v>
      </c>
      <c r="IT41" s="4">
        <f t="shared" si="48"/>
        <v>7</v>
      </c>
      <c r="IU41" s="4" t="s">
        <v>383</v>
      </c>
      <c r="IV41" s="4" t="s">
        <v>383</v>
      </c>
      <c r="IW41" s="4" t="s">
        <v>383</v>
      </c>
      <c r="IX41" s="4" t="s">
        <v>383</v>
      </c>
      <c r="IY41" s="4">
        <v>1</v>
      </c>
      <c r="IZ41" s="4">
        <v>1</v>
      </c>
      <c r="JA41" s="4">
        <v>1</v>
      </c>
      <c r="JB41" s="4">
        <v>1</v>
      </c>
      <c r="JC41" s="4">
        <f>(Foglio1!$IY41+Foglio1!$IZ41+Foglio1!$JA41+Foglio1!$JB41)/4</f>
        <v>1</v>
      </c>
      <c r="JD41" s="4">
        <v>1</v>
      </c>
      <c r="JE41" s="4">
        <v>1</v>
      </c>
      <c r="JF41" s="4">
        <v>1</v>
      </c>
      <c r="JG41" s="4">
        <v>1</v>
      </c>
      <c r="JH41" s="4"/>
      <c r="JI41" s="4">
        <v>1</v>
      </c>
      <c r="JJ41" s="4"/>
      <c r="JK41" s="4">
        <v>0</v>
      </c>
      <c r="JL41" s="4">
        <f>(Foglio1!$JD41+Foglio1!$JE41+Foglio1!$JF41+Foglio1!$JG41+Foglio1!$JI41+Foglio1!$JK41)/6</f>
        <v>0.83333333333333337</v>
      </c>
      <c r="JM41" s="4">
        <v>1</v>
      </c>
      <c r="JN41" s="4">
        <v>1</v>
      </c>
      <c r="JO41" s="4">
        <v>1</v>
      </c>
      <c r="JP41" s="4">
        <f>(Foglio1!$JM41+Foglio1!$JN41+Foglio1!$JO41)/3</f>
        <v>1</v>
      </c>
      <c r="JQ41" s="4">
        <v>1</v>
      </c>
      <c r="JR41" s="4">
        <v>0</v>
      </c>
      <c r="JS41" s="4">
        <f>(Foglio1!$JQ41+Foglio1!$JR41)/2</f>
        <v>0.5</v>
      </c>
      <c r="JT41" s="4"/>
      <c r="JU41" s="4">
        <v>1</v>
      </c>
      <c r="JV41" s="4"/>
      <c r="JW41" s="4">
        <v>0</v>
      </c>
      <c r="JX41" s="4"/>
      <c r="JY41" s="4">
        <v>1</v>
      </c>
      <c r="JZ41" s="4">
        <f>(Foglio1!$JU41+Foglio1!$JW41+Foglio1!$JY41)/3</f>
        <v>0.66666666666666663</v>
      </c>
      <c r="KA41" s="4">
        <f>(Foglio1!$JC41)</f>
        <v>1</v>
      </c>
      <c r="KB41" s="4">
        <f>(Foglio1!$JL41+Foglio1!$JP41+Foglio1!$JS41+Foglio1!$JZ41)/4</f>
        <v>0.75</v>
      </c>
      <c r="KC41" s="4">
        <f>(Foglio1!$JC41+Foglio1!$JL41+Foglio1!$JP41+Foglio1!$JS41+Foglio1!$JZ41)/5</f>
        <v>0.8</v>
      </c>
      <c r="KD41" s="4"/>
      <c r="KE41" s="4">
        <v>0</v>
      </c>
      <c r="KF41" s="4">
        <v>0</v>
      </c>
      <c r="KG41" s="4"/>
      <c r="KH41" s="4">
        <v>0</v>
      </c>
      <c r="KI41" s="4">
        <v>0</v>
      </c>
      <c r="KJ41" s="4"/>
      <c r="KK41" s="4">
        <v>0</v>
      </c>
      <c r="KL41" s="4">
        <v>1</v>
      </c>
      <c r="KM41" s="4"/>
      <c r="KN41" s="4">
        <v>2</v>
      </c>
      <c r="KO41" s="4">
        <v>1</v>
      </c>
      <c r="KP41" s="4"/>
      <c r="KQ41" s="4">
        <v>2</v>
      </c>
      <c r="KR41" s="4">
        <v>2</v>
      </c>
      <c r="KS41" s="4"/>
      <c r="KT41" s="4">
        <v>0</v>
      </c>
      <c r="KU41" s="4">
        <v>2</v>
      </c>
      <c r="KV41" s="4"/>
      <c r="KW41" s="4">
        <v>1</v>
      </c>
      <c r="KX41" s="4">
        <v>1</v>
      </c>
      <c r="KY41" s="4"/>
      <c r="KZ41" s="4">
        <v>0</v>
      </c>
      <c r="LA41" s="4">
        <v>2</v>
      </c>
      <c r="LB41" s="4"/>
      <c r="LC41" s="4">
        <v>2</v>
      </c>
      <c r="LD41" s="4">
        <v>1</v>
      </c>
      <c r="LE41" s="4"/>
      <c r="LF41" s="4">
        <v>1</v>
      </c>
      <c r="LG41" s="4">
        <v>3</v>
      </c>
      <c r="LH41" s="4"/>
      <c r="LI41" s="4">
        <v>2</v>
      </c>
      <c r="LJ41" s="4">
        <v>1</v>
      </c>
      <c r="LK41" s="4"/>
      <c r="LL41" s="4">
        <v>2</v>
      </c>
      <c r="LM41" s="4">
        <v>2</v>
      </c>
      <c r="LN41" s="4"/>
      <c r="LO41" s="4">
        <v>2</v>
      </c>
      <c r="LP41" s="4">
        <v>1</v>
      </c>
      <c r="LQ41" s="4"/>
      <c r="LR41" s="4">
        <v>2</v>
      </c>
      <c r="LS41" s="4">
        <v>2</v>
      </c>
      <c r="LT41" s="4">
        <f>(Foglio1!$KE41+Foglio1!$KH41+Foglio1!$KK41+Foglio1!$KN41+Foglio1!$KQ41+Foglio1!$KT41+Foglio1!$KW41+Foglio1!$KZ41+Foglio1!$LC41+Foglio1!$LF41+Foglio1!$LI41+Foglio1!$LL41+Foglio1!$LO41+Foglio1!$LR41)</f>
        <v>16</v>
      </c>
      <c r="LU41" s="4">
        <f>(Foglio1!$KI41+Foglio1!$KF41+Foglio1!$KL41+Foglio1!$KO41+Foglio1!$KR41+Foglio1!$KU41+Foglio1!$KX41+Foglio1!$LA41+Foglio1!$LD41+Foglio1!$LG41+Foglio1!$LJ41+Foglio1!$LM41+Foglio1!$LP41+Foglio1!$LS41)</f>
        <v>19</v>
      </c>
      <c r="LV41" s="4">
        <v>30</v>
      </c>
      <c r="LW41" s="4">
        <v>43</v>
      </c>
      <c r="LX41" s="4">
        <v>19</v>
      </c>
      <c r="LY41" s="4">
        <v>29</v>
      </c>
      <c r="LZ41" s="3">
        <v>0</v>
      </c>
      <c r="MA41" s="3">
        <v>2</v>
      </c>
      <c r="MB41" s="3">
        <v>3</v>
      </c>
      <c r="MC41" s="3">
        <v>3</v>
      </c>
      <c r="MD41" s="3">
        <f t="shared" si="7"/>
        <v>8</v>
      </c>
      <c r="ME41" s="3">
        <v>0</v>
      </c>
      <c r="MF41" s="3">
        <v>0</v>
      </c>
      <c r="MG41" s="3">
        <v>0</v>
      </c>
      <c r="MH41" s="3">
        <v>0</v>
      </c>
      <c r="MI41" s="3">
        <f t="shared" si="8"/>
        <v>0</v>
      </c>
    </row>
    <row r="42" spans="1:347" ht="15.75" customHeight="1" x14ac:dyDescent="0.25">
      <c r="A42" s="4" t="s">
        <v>1425</v>
      </c>
      <c r="B42" s="4">
        <v>46</v>
      </c>
      <c r="C42" s="4" t="s">
        <v>349</v>
      </c>
      <c r="D42" s="4">
        <v>18</v>
      </c>
      <c r="E42" s="4">
        <v>1</v>
      </c>
      <c r="F42" s="4" t="s">
        <v>360</v>
      </c>
      <c r="G42" s="5" t="s">
        <v>383</v>
      </c>
      <c r="H42" s="4" t="s">
        <v>1426</v>
      </c>
      <c r="I42" s="4" t="s">
        <v>1427</v>
      </c>
      <c r="J42" s="4"/>
      <c r="K42" s="4"/>
      <c r="L42" s="5" t="s">
        <v>356</v>
      </c>
      <c r="M42" s="4" t="s">
        <v>357</v>
      </c>
      <c r="N42" s="4" t="s">
        <v>1428</v>
      </c>
      <c r="O42" s="9">
        <v>45812</v>
      </c>
      <c r="P42" s="9">
        <v>45824</v>
      </c>
      <c r="Q42" s="4" t="s">
        <v>1055</v>
      </c>
      <c r="R42" s="4" t="s">
        <v>1429</v>
      </c>
      <c r="S42" s="4"/>
      <c r="T42" s="4" t="s">
        <v>360</v>
      </c>
      <c r="U42" s="4"/>
      <c r="V42" s="4" t="s">
        <v>687</v>
      </c>
      <c r="W42" s="4" t="s">
        <v>364</v>
      </c>
      <c r="X42" s="4"/>
      <c r="Y42" s="4"/>
      <c r="Z42" s="4"/>
      <c r="AA42" s="4"/>
      <c r="AB42" s="4"/>
      <c r="AC42" s="4"/>
      <c r="AD42" s="4"/>
      <c r="AE42" s="4"/>
      <c r="AF42" s="4"/>
      <c r="AG42" s="4"/>
      <c r="AH42" s="4" t="s">
        <v>687</v>
      </c>
      <c r="AI42" s="4" t="s">
        <v>608</v>
      </c>
      <c r="AJ42" s="4" t="s">
        <v>995</v>
      </c>
      <c r="AK42" s="4" t="s">
        <v>831</v>
      </c>
      <c r="AL42" s="5" t="s">
        <v>356</v>
      </c>
      <c r="AM42" s="5" t="s">
        <v>356</v>
      </c>
      <c r="AN42" s="5" t="s">
        <v>356</v>
      </c>
      <c r="AO42" s="5" t="s">
        <v>356</v>
      </c>
      <c r="AP42" s="5" t="s">
        <v>356</v>
      </c>
      <c r="AQ42" s="5" t="s">
        <v>356</v>
      </c>
      <c r="AR42" s="5" t="s">
        <v>356</v>
      </c>
      <c r="AS42" s="5" t="s">
        <v>356</v>
      </c>
      <c r="AT42" s="5" t="s">
        <v>356</v>
      </c>
      <c r="AU42" s="5" t="s">
        <v>356</v>
      </c>
      <c r="AV42" s="5" t="s">
        <v>356</v>
      </c>
      <c r="AW42" s="5" t="s">
        <v>356</v>
      </c>
      <c r="AX42" s="4">
        <v>2</v>
      </c>
      <c r="AY42" s="4"/>
      <c r="AZ42" s="5" t="s">
        <v>383</v>
      </c>
      <c r="BA42" s="4">
        <f t="shared" si="49"/>
        <v>12</v>
      </c>
      <c r="BB42" s="4"/>
      <c r="BC42" s="4" t="s">
        <v>360</v>
      </c>
      <c r="BD42" s="4"/>
      <c r="BE42" s="4"/>
      <c r="BF42" s="4"/>
      <c r="BG42" s="4"/>
      <c r="BH42" s="4">
        <v>3</v>
      </c>
      <c r="BI42" s="4">
        <v>3</v>
      </c>
      <c r="BJ42" s="4">
        <v>4</v>
      </c>
      <c r="BK42" s="4">
        <v>3</v>
      </c>
      <c r="BL42" s="4">
        <v>4</v>
      </c>
      <c r="BM42" s="4">
        <v>4</v>
      </c>
      <c r="BN42" s="4">
        <v>4</v>
      </c>
      <c r="BO42" s="4">
        <f>SUM(Foglio1!$BH42:$BM42)</f>
        <v>21</v>
      </c>
      <c r="BP42" s="4">
        <v>5</v>
      </c>
      <c r="BQ42" s="4">
        <v>4</v>
      </c>
      <c r="BR42" s="4">
        <v>9</v>
      </c>
      <c r="BS42" s="4">
        <v>60</v>
      </c>
      <c r="BT42" s="4">
        <v>6</v>
      </c>
      <c r="BU42" s="4">
        <v>5</v>
      </c>
      <c r="BV42" s="4">
        <v>2</v>
      </c>
      <c r="BW42" s="4">
        <v>2</v>
      </c>
      <c r="BX42" s="4">
        <v>3</v>
      </c>
      <c r="BY42" s="4">
        <v>5</v>
      </c>
      <c r="BZ42" s="4">
        <v>5</v>
      </c>
      <c r="CA42" s="4">
        <v>2</v>
      </c>
      <c r="CB42" s="4">
        <v>3</v>
      </c>
      <c r="CC42" s="4">
        <v>3</v>
      </c>
      <c r="CD42" s="4">
        <v>2</v>
      </c>
      <c r="CE42" s="4">
        <v>3</v>
      </c>
      <c r="CF42" s="4">
        <v>3</v>
      </c>
      <c r="CG42" s="4">
        <v>4</v>
      </c>
      <c r="CH42" s="4">
        <v>4</v>
      </c>
      <c r="CI42" s="4">
        <v>2</v>
      </c>
      <c r="CJ42" s="4">
        <v>4</v>
      </c>
      <c r="CK42" s="4">
        <v>4</v>
      </c>
      <c r="CL42" s="4">
        <v>4</v>
      </c>
      <c r="CM42" s="4">
        <v>2</v>
      </c>
      <c r="CN42" s="4">
        <v>3</v>
      </c>
      <c r="CO42" s="4">
        <v>6</v>
      </c>
      <c r="CP42" s="4">
        <v>4</v>
      </c>
      <c r="CQ42" s="4">
        <v>4</v>
      </c>
      <c r="CR42" s="4">
        <v>4</v>
      </c>
      <c r="CS42" s="4">
        <v>4</v>
      </c>
      <c r="CT42" s="4">
        <v>4</v>
      </c>
      <c r="CU42" s="4">
        <v>4</v>
      </c>
      <c r="CV42" s="4">
        <v>4</v>
      </c>
      <c r="CW42" s="4">
        <v>5</v>
      </c>
      <c r="CX42" s="4">
        <f>SUM(Foglio1!$BT42:$CW42)</f>
        <v>110</v>
      </c>
      <c r="CY42" s="4">
        <f>SUM(Foglio1!$BT42+Foglio1!$BV42+Foglio1!$CP42+Foglio1!$BY42+Foglio1!$BX42+Foglio1!$CH42+Foglio1!$CS42+Foglio1!$CW42-Foglio1!$CE42)</f>
        <v>30</v>
      </c>
      <c r="CZ42" s="4">
        <f>SUM(Foglio1!$CF42+Foglio1!$CA42+Foglio1!$CB42+Foglio1!$CD42+Foglio1!$CN42+Foglio1!$CC42+Foglio1!$CW42+Foglio1!$CO42+Foglio1!$CT42-Foglio1!$BU42)</f>
        <v>26</v>
      </c>
      <c r="DA42" s="4">
        <f>SUM(Foglio1!$CG42+Foglio1!$CR42+Foglio1!$CQ42+Foglio1!$BU42+Foglio1!$CE42+Foglio1!$CL42+Foglio1!$CS42+Foglio1!$CT42+Foglio1!$CV42+Foglio1!$CP42)</f>
        <v>40</v>
      </c>
      <c r="DB42" s="4">
        <f>SUM(Foglio1!$CU42+Foglio1!$BW42+Foglio1!$BZ42+Foglio1!$CO42+Foglio1!$BX42+Foglio1!$CC42+Foglio1!$CK42+Foglio1!$CW42)</f>
        <v>32</v>
      </c>
      <c r="DC42" s="4">
        <f>SUM(Foglio1!$CI42+Foglio1!$CM42+Foglio1!$CJ42+Foglio1!$CK42+Foglio1!$BY42+Foglio1!$CH42+Foglio1!$CV42+Foglio1!$CW42)</f>
        <v>30</v>
      </c>
      <c r="DD42" s="4">
        <v>0</v>
      </c>
      <c r="DE42" s="4">
        <v>0</v>
      </c>
      <c r="DF42" s="4">
        <v>0</v>
      </c>
      <c r="DG42" s="4">
        <v>0</v>
      </c>
      <c r="DH42" s="4">
        <v>0</v>
      </c>
      <c r="DI42" s="4">
        <v>0</v>
      </c>
      <c r="DJ42" s="4">
        <v>0</v>
      </c>
      <c r="DK42" s="4">
        <v>0</v>
      </c>
      <c r="DL42" s="4">
        <v>0</v>
      </c>
      <c r="DM42" s="4">
        <v>2</v>
      </c>
      <c r="DN42" s="4">
        <v>0</v>
      </c>
      <c r="DO42" s="4">
        <v>0</v>
      </c>
      <c r="DP42" s="4">
        <v>0</v>
      </c>
      <c r="DQ42" s="4">
        <v>0</v>
      </c>
      <c r="DR42" s="4">
        <v>0</v>
      </c>
      <c r="DS42" s="4">
        <v>0</v>
      </c>
      <c r="DT42" s="4">
        <v>0</v>
      </c>
      <c r="DU42" s="4">
        <v>0</v>
      </c>
      <c r="DV42" s="4">
        <v>0</v>
      </c>
      <c r="DW42" s="4">
        <v>0</v>
      </c>
      <c r="DX42" s="4">
        <v>2</v>
      </c>
      <c r="DY42" s="4">
        <v>2</v>
      </c>
      <c r="DZ42" s="4">
        <v>1</v>
      </c>
      <c r="EA42" s="4">
        <v>0</v>
      </c>
      <c r="EB42" s="4">
        <v>0</v>
      </c>
      <c r="EC42" s="4">
        <v>0</v>
      </c>
      <c r="ED42" s="4">
        <v>0</v>
      </c>
      <c r="EE42" s="4">
        <v>0</v>
      </c>
      <c r="EF42" s="4">
        <v>0</v>
      </c>
      <c r="EG42" s="4">
        <v>0</v>
      </c>
      <c r="EH42" s="4">
        <f>(Foglio1!$DE42+Foglio1!$DH42+Foglio1!$DG42+Foglio1!$DF42+Foglio1!$DM42+Foglio1!$DD42+Foglio1!$DO42+Foglio1!$DL42+Foglio1!$DN42+Foglio1!$DQ42+Foglio1!$DP42+Foglio1!$DT42+Foglio1!$DI42+Foglio1!$DK42+Foglio1!$DU42)</f>
        <v>2</v>
      </c>
      <c r="EI42" s="4">
        <f>(Foglio1!$EA42+Foglio1!$EB42+Foglio1!$EE42+Foglio1!$EC42+Foglio1!$ED42+Foglio1!$DZ42+Foglio1!$DY42)</f>
        <v>3</v>
      </c>
      <c r="EJ42" s="4">
        <f>(Foglio1!$DW42+Foglio1!$DV42+Foglio1!$DX42)</f>
        <v>2</v>
      </c>
      <c r="EK42" s="4">
        <f>(Foglio1!$EG42+Foglio1!$EF42)</f>
        <v>0</v>
      </c>
      <c r="EL42" s="4">
        <v>0</v>
      </c>
      <c r="EM42" s="4">
        <v>1</v>
      </c>
      <c r="EN42" s="4">
        <v>1</v>
      </c>
      <c r="EO42" s="4">
        <v>0</v>
      </c>
      <c r="EP42" s="4">
        <f t="array" ref="EP42">SUM(EL42:EO42/4)</f>
        <v>0.5</v>
      </c>
      <c r="EQ42" s="4">
        <v>1</v>
      </c>
      <c r="ER42" s="4">
        <v>0</v>
      </c>
      <c r="ES42" s="4">
        <v>0</v>
      </c>
      <c r="ET42" s="4">
        <v>1</v>
      </c>
      <c r="EU42" s="4" t="s">
        <v>383</v>
      </c>
      <c r="EV42" s="4">
        <v>0</v>
      </c>
      <c r="EW42" s="4" t="s">
        <v>383</v>
      </c>
      <c r="EX42" s="4">
        <v>0</v>
      </c>
      <c r="EY42" s="4">
        <f>(Foglio1!$EQ42+Foglio1!$ER42+Foglio1!$ES42+Foglio1!$ET42+Foglio1!$EV42+Foglio1!$EX42)/6</f>
        <v>0.33333333333333331</v>
      </c>
      <c r="EZ42" s="4">
        <v>1</v>
      </c>
      <c r="FA42" s="4">
        <v>1</v>
      </c>
      <c r="FB42" s="4">
        <v>1</v>
      </c>
      <c r="FC42" s="4">
        <f>(Foglio1!$EZ42+Foglio1!$FA42+Foglio1!$FB42)/3</f>
        <v>1</v>
      </c>
      <c r="FD42" s="4">
        <v>1</v>
      </c>
      <c r="FE42" s="4">
        <v>1</v>
      </c>
      <c r="FF42" s="4">
        <f>(Foglio1!$FD42+Foglio1!$FE42)/2</f>
        <v>1</v>
      </c>
      <c r="FG42" s="4" t="s">
        <v>383</v>
      </c>
      <c r="FH42" s="4">
        <v>1</v>
      </c>
      <c r="FI42" s="4" t="s">
        <v>383</v>
      </c>
      <c r="FJ42" s="4">
        <v>0</v>
      </c>
      <c r="FK42" s="4" t="s">
        <v>383</v>
      </c>
      <c r="FL42" s="4">
        <v>0</v>
      </c>
      <c r="FM42" s="4">
        <f>(Foglio1!$FH42+Foglio1!$FJ42+Foglio1!$FL42)/3</f>
        <v>0.33333333333333331</v>
      </c>
      <c r="FN42" s="4">
        <f>(Foglio1!$EP42)</f>
        <v>0.5</v>
      </c>
      <c r="FO42" s="4">
        <f>(Foglio1!$EY42+Foglio1!$FC42+Foglio1!$FF42+Foglio1!$FM42)/4</f>
        <v>0.66666666666666663</v>
      </c>
      <c r="FP42" s="4">
        <f>(Foglio1!$EP42+Foglio1!$EY42+Foglio1!$FC42+Foglio1!$FF42+Foglio1!$FM42)/5</f>
        <v>0.6333333333333333</v>
      </c>
      <c r="FQ42" s="4"/>
      <c r="FR42" s="4" t="s">
        <v>356</v>
      </c>
      <c r="FS42" s="4" t="s">
        <v>356</v>
      </c>
      <c r="FT42" s="4" t="s">
        <v>356</v>
      </c>
      <c r="FU42" s="4" t="s">
        <v>356</v>
      </c>
      <c r="FV42" s="4" t="s">
        <v>356</v>
      </c>
      <c r="FW42" s="4" t="s">
        <v>356</v>
      </c>
      <c r="FX42" s="4" t="s">
        <v>356</v>
      </c>
      <c r="FY42" s="4" t="s">
        <v>356</v>
      </c>
      <c r="FZ42" s="4" t="s">
        <v>356</v>
      </c>
      <c r="GA42" s="4" t="s">
        <v>356</v>
      </c>
      <c r="GB42" s="4" t="s">
        <v>356</v>
      </c>
      <c r="GC42" s="4" t="s">
        <v>356</v>
      </c>
      <c r="GD42" s="4" t="s">
        <v>356</v>
      </c>
      <c r="GE42" s="4" t="s">
        <v>356</v>
      </c>
      <c r="GF42" s="4" t="s">
        <v>356</v>
      </c>
      <c r="GG42" s="4" t="s">
        <v>356</v>
      </c>
      <c r="GH42" s="4" t="s">
        <v>356</v>
      </c>
      <c r="GI42" s="4" t="s">
        <v>356</v>
      </c>
      <c r="GJ42" s="4" t="s">
        <v>356</v>
      </c>
      <c r="GK42" s="4" t="s">
        <v>356</v>
      </c>
      <c r="GL42" s="4" t="s">
        <v>356</v>
      </c>
      <c r="GM42" s="4" t="s">
        <v>356</v>
      </c>
      <c r="GN42" s="4" t="s">
        <v>356</v>
      </c>
      <c r="GO42" s="4" t="s">
        <v>356</v>
      </c>
      <c r="GP42" s="4" t="s">
        <v>356</v>
      </c>
      <c r="GQ42" s="4" t="s">
        <v>356</v>
      </c>
      <c r="GR42" s="4" t="s">
        <v>356</v>
      </c>
      <c r="GS42" s="4" t="s">
        <v>356</v>
      </c>
      <c r="GT42" s="4" t="s">
        <v>356</v>
      </c>
      <c r="GU42" s="4" t="s">
        <v>356</v>
      </c>
      <c r="GV42" s="4" t="s">
        <v>356</v>
      </c>
      <c r="GW42" s="4" t="s">
        <v>356</v>
      </c>
      <c r="GX42" s="4" t="s">
        <v>356</v>
      </c>
      <c r="GY42" s="4" t="s">
        <v>356</v>
      </c>
      <c r="GZ42" s="4" t="s">
        <v>356</v>
      </c>
      <c r="HA42" s="4" t="s">
        <v>356</v>
      </c>
      <c r="HB42" s="4" t="s">
        <v>356</v>
      </c>
      <c r="HC42" s="4" t="s">
        <v>356</v>
      </c>
      <c r="HD42" s="4" t="s">
        <v>356</v>
      </c>
      <c r="HE42" s="4" t="s">
        <v>356</v>
      </c>
      <c r="HF42" s="4" t="s">
        <v>356</v>
      </c>
      <c r="HG42" s="4" t="s">
        <v>356</v>
      </c>
      <c r="HH42" s="4" t="s">
        <v>356</v>
      </c>
      <c r="HI42" s="4" t="s">
        <v>356</v>
      </c>
      <c r="HJ42" s="4" t="s">
        <v>356</v>
      </c>
      <c r="HK42" s="4" t="s">
        <v>356</v>
      </c>
      <c r="HL42" s="4" t="s">
        <v>356</v>
      </c>
      <c r="HM42" s="4" t="s">
        <v>356</v>
      </c>
      <c r="HN42" s="4" t="s">
        <v>356</v>
      </c>
      <c r="HO42" s="4" t="s">
        <v>356</v>
      </c>
      <c r="HP42" s="4" t="s">
        <v>356</v>
      </c>
      <c r="HQ42" s="4" t="s">
        <v>356</v>
      </c>
      <c r="HR42" s="4" t="s">
        <v>356</v>
      </c>
      <c r="HS42" s="4" t="s">
        <v>356</v>
      </c>
      <c r="HT42" s="4" t="s">
        <v>356</v>
      </c>
      <c r="HU42" s="4" t="s">
        <v>356</v>
      </c>
      <c r="HV42" s="4" t="s">
        <v>356</v>
      </c>
      <c r="HW42" s="4" t="s">
        <v>356</v>
      </c>
      <c r="HX42" s="4" t="s">
        <v>356</v>
      </c>
      <c r="HY42" s="4" t="s">
        <v>356</v>
      </c>
      <c r="HZ42" s="4" t="s">
        <v>356</v>
      </c>
      <c r="IA42" s="4" t="s">
        <v>356</v>
      </c>
      <c r="IB42" s="4" t="s">
        <v>356</v>
      </c>
      <c r="IC42" s="4" t="s">
        <v>356</v>
      </c>
      <c r="ID42" s="4" t="s">
        <v>356</v>
      </c>
      <c r="IE42" s="4" t="s">
        <v>356</v>
      </c>
      <c r="IF42" s="4" t="s">
        <v>356</v>
      </c>
      <c r="IG42" s="4" t="s">
        <v>356</v>
      </c>
      <c r="IH42" s="4" t="s">
        <v>356</v>
      </c>
      <c r="II42" s="4" t="s">
        <v>356</v>
      </c>
      <c r="IJ42" s="4" t="s">
        <v>356</v>
      </c>
      <c r="IK42" s="4" t="s">
        <v>356</v>
      </c>
      <c r="IL42" s="4" t="s">
        <v>356</v>
      </c>
      <c r="IM42" s="4" t="s">
        <v>356</v>
      </c>
      <c r="IN42" s="4" t="s">
        <v>356</v>
      </c>
      <c r="IO42" s="4" t="s">
        <v>356</v>
      </c>
      <c r="IP42" s="4" t="s">
        <v>356</v>
      </c>
      <c r="IQ42" s="4" t="s">
        <v>356</v>
      </c>
      <c r="IR42" s="4" t="s">
        <v>356</v>
      </c>
      <c r="IS42" s="4" t="s">
        <v>356</v>
      </c>
      <c r="IT42" s="4" t="s">
        <v>356</v>
      </c>
      <c r="IU42" s="4" t="s">
        <v>356</v>
      </c>
      <c r="IV42" s="4" t="s">
        <v>356</v>
      </c>
      <c r="IW42" s="4" t="s">
        <v>356</v>
      </c>
      <c r="IX42" s="4" t="s">
        <v>356</v>
      </c>
      <c r="IY42" s="4" t="s">
        <v>356</v>
      </c>
      <c r="IZ42" s="4" t="s">
        <v>356</v>
      </c>
      <c r="JA42" s="4" t="s">
        <v>356</v>
      </c>
      <c r="JB42" s="4" t="s">
        <v>356</v>
      </c>
      <c r="JC42" s="4" t="s">
        <v>356</v>
      </c>
      <c r="JD42" s="4" t="s">
        <v>356</v>
      </c>
      <c r="JE42" s="4" t="s">
        <v>356</v>
      </c>
      <c r="JF42" s="4" t="s">
        <v>356</v>
      </c>
      <c r="JG42" s="4" t="s">
        <v>356</v>
      </c>
      <c r="JH42" s="4" t="s">
        <v>356</v>
      </c>
      <c r="JI42" s="4" t="s">
        <v>356</v>
      </c>
      <c r="JJ42" s="4" t="s">
        <v>356</v>
      </c>
      <c r="JK42" s="4" t="s">
        <v>356</v>
      </c>
      <c r="JL42" s="4" t="s">
        <v>356</v>
      </c>
      <c r="JM42" s="4" t="s">
        <v>356</v>
      </c>
      <c r="JN42" s="4" t="s">
        <v>356</v>
      </c>
      <c r="JO42" s="4" t="s">
        <v>356</v>
      </c>
      <c r="JP42" s="4" t="s">
        <v>356</v>
      </c>
      <c r="JQ42" s="4" t="s">
        <v>356</v>
      </c>
      <c r="JR42" s="4" t="s">
        <v>356</v>
      </c>
      <c r="JS42" s="4" t="s">
        <v>356</v>
      </c>
      <c r="JT42" s="4" t="s">
        <v>356</v>
      </c>
      <c r="JU42" s="4" t="s">
        <v>356</v>
      </c>
      <c r="JV42" s="4" t="s">
        <v>356</v>
      </c>
      <c r="JW42" s="4" t="s">
        <v>356</v>
      </c>
      <c r="JX42" s="4" t="s">
        <v>356</v>
      </c>
      <c r="JY42" s="4" t="s">
        <v>356</v>
      </c>
      <c r="JZ42" s="4" t="s">
        <v>356</v>
      </c>
      <c r="KA42" s="4" t="str">
        <f>(Foglio1!$JC42)</f>
        <v>BBB</v>
      </c>
      <c r="KB42" s="4" t="s">
        <v>356</v>
      </c>
      <c r="KC42" s="4" t="s">
        <v>356</v>
      </c>
      <c r="KD42" s="4" t="s">
        <v>356</v>
      </c>
      <c r="KE42" s="4" t="s">
        <v>356</v>
      </c>
      <c r="KF42" s="4" t="s">
        <v>356</v>
      </c>
      <c r="KG42" s="4" t="s">
        <v>356</v>
      </c>
      <c r="KH42" s="4" t="s">
        <v>356</v>
      </c>
      <c r="KI42" s="4" t="s">
        <v>356</v>
      </c>
      <c r="KJ42" s="4" t="s">
        <v>356</v>
      </c>
      <c r="KK42" s="4" t="s">
        <v>356</v>
      </c>
      <c r="KL42" s="4" t="s">
        <v>356</v>
      </c>
      <c r="KM42" s="4" t="s">
        <v>356</v>
      </c>
      <c r="KN42" s="4" t="s">
        <v>356</v>
      </c>
      <c r="KO42" s="4" t="s">
        <v>356</v>
      </c>
      <c r="KP42" s="4" t="s">
        <v>356</v>
      </c>
      <c r="KQ42" s="4" t="s">
        <v>356</v>
      </c>
      <c r="KR42" s="4" t="s">
        <v>356</v>
      </c>
      <c r="KS42" s="4" t="s">
        <v>356</v>
      </c>
      <c r="KT42" s="4" t="s">
        <v>356</v>
      </c>
      <c r="KU42" s="4" t="s">
        <v>356</v>
      </c>
      <c r="KV42" s="4" t="s">
        <v>356</v>
      </c>
      <c r="KW42" s="4" t="s">
        <v>356</v>
      </c>
      <c r="KX42" s="4" t="s">
        <v>356</v>
      </c>
      <c r="KY42" s="4" t="s">
        <v>356</v>
      </c>
      <c r="KZ42" s="4" t="s">
        <v>356</v>
      </c>
      <c r="LA42" s="4" t="s">
        <v>356</v>
      </c>
      <c r="LB42" s="4" t="s">
        <v>356</v>
      </c>
      <c r="LC42" s="4" t="s">
        <v>356</v>
      </c>
      <c r="LD42" s="4" t="s">
        <v>356</v>
      </c>
      <c r="LE42" s="4" t="s">
        <v>356</v>
      </c>
      <c r="LF42" s="4" t="s">
        <v>356</v>
      </c>
      <c r="LG42" s="4" t="s">
        <v>356</v>
      </c>
      <c r="LH42" s="4" t="s">
        <v>356</v>
      </c>
      <c r="LI42" s="4" t="s">
        <v>356</v>
      </c>
      <c r="LJ42" s="4" t="s">
        <v>356</v>
      </c>
      <c r="LK42" s="4" t="s">
        <v>356</v>
      </c>
      <c r="LL42" s="4" t="s">
        <v>356</v>
      </c>
      <c r="LM42" s="4" t="s">
        <v>356</v>
      </c>
      <c r="LN42" s="4" t="s">
        <v>356</v>
      </c>
      <c r="LO42" s="4" t="s">
        <v>356</v>
      </c>
      <c r="LP42" s="4" t="s">
        <v>356</v>
      </c>
      <c r="LQ42" s="4" t="s">
        <v>356</v>
      </c>
      <c r="LR42" s="4" t="s">
        <v>356</v>
      </c>
      <c r="LS42" s="4" t="s">
        <v>356</v>
      </c>
      <c r="LT42" s="4" t="s">
        <v>356</v>
      </c>
      <c r="LU42" s="4" t="s">
        <v>356</v>
      </c>
      <c r="LV42" s="4" t="s">
        <v>356</v>
      </c>
      <c r="LW42" s="4" t="s">
        <v>356</v>
      </c>
      <c r="LX42" s="4" t="s">
        <v>356</v>
      </c>
      <c r="LY42" s="4" t="s">
        <v>356</v>
      </c>
      <c r="LZ42" s="3">
        <v>0</v>
      </c>
      <c r="MA42" s="3">
        <v>2</v>
      </c>
      <c r="MB42" s="3">
        <v>0</v>
      </c>
      <c r="MC42" s="3">
        <v>2</v>
      </c>
      <c r="MD42" s="3">
        <f t="shared" si="7"/>
        <v>4</v>
      </c>
      <c r="ME42" s="3">
        <v>0</v>
      </c>
      <c r="MF42" s="3">
        <v>0</v>
      </c>
      <c r="MG42" s="3">
        <v>0</v>
      </c>
      <c r="MH42" s="3">
        <v>0</v>
      </c>
      <c r="MI42" s="3">
        <f t="shared" si="8"/>
        <v>0</v>
      </c>
    </row>
    <row r="43" spans="1:347" ht="15.75" customHeight="1" x14ac:dyDescent="0.25">
      <c r="A43" s="4" t="s">
        <v>1430</v>
      </c>
      <c r="B43" s="4">
        <v>21</v>
      </c>
      <c r="C43" s="4" t="s">
        <v>349</v>
      </c>
      <c r="D43" s="4">
        <v>13</v>
      </c>
      <c r="E43" s="4">
        <v>1</v>
      </c>
      <c r="F43" s="4" t="s">
        <v>350</v>
      </c>
      <c r="G43" s="4" t="s">
        <v>351</v>
      </c>
      <c r="H43" s="4" t="s">
        <v>1431</v>
      </c>
      <c r="I43" s="4" t="s">
        <v>1432</v>
      </c>
      <c r="J43" s="4"/>
      <c r="K43" s="4"/>
      <c r="L43" s="5" t="s">
        <v>356</v>
      </c>
      <c r="M43" s="4" t="s">
        <v>357</v>
      </c>
      <c r="N43" s="4" t="s">
        <v>406</v>
      </c>
      <c r="O43" s="9">
        <v>45820</v>
      </c>
      <c r="P43" s="9">
        <v>45832</v>
      </c>
      <c r="Q43" s="3" t="s">
        <v>359</v>
      </c>
      <c r="R43" s="4"/>
      <c r="S43" s="4"/>
      <c r="T43" s="4" t="s">
        <v>1374</v>
      </c>
      <c r="U43" s="4" t="s">
        <v>1433</v>
      </c>
      <c r="V43" s="4" t="s">
        <v>412</v>
      </c>
      <c r="W43" s="4" t="s">
        <v>1434</v>
      </c>
      <c r="X43" s="4" t="s">
        <v>364</v>
      </c>
      <c r="Y43" s="4" t="s">
        <v>456</v>
      </c>
      <c r="Z43" s="4" t="s">
        <v>654</v>
      </c>
      <c r="AA43" s="4"/>
      <c r="AB43" s="4"/>
      <c r="AC43" s="4"/>
      <c r="AD43" s="4"/>
      <c r="AE43" s="4"/>
      <c r="AF43" s="4"/>
      <c r="AG43" s="4"/>
      <c r="AH43" s="4" t="s">
        <v>687</v>
      </c>
      <c r="AI43" s="4" t="s">
        <v>608</v>
      </c>
      <c r="AJ43" s="4" t="s">
        <v>456</v>
      </c>
      <c r="AK43" s="4" t="s">
        <v>1245</v>
      </c>
      <c r="AL43" s="5" t="s">
        <v>356</v>
      </c>
      <c r="AM43" s="5" t="s">
        <v>356</v>
      </c>
      <c r="AN43" s="5" t="s">
        <v>356</v>
      </c>
      <c r="AO43" s="5" t="s">
        <v>356</v>
      </c>
      <c r="AP43" s="5" t="s">
        <v>356</v>
      </c>
      <c r="AQ43" s="5" t="s">
        <v>356</v>
      </c>
      <c r="AR43" s="5" t="s">
        <v>356</v>
      </c>
      <c r="AS43" s="5" t="s">
        <v>356</v>
      </c>
      <c r="AT43" s="5" t="s">
        <v>356</v>
      </c>
      <c r="AU43" s="5" t="s">
        <v>356</v>
      </c>
      <c r="AV43" s="5" t="s">
        <v>356</v>
      </c>
      <c r="AW43" s="5" t="s">
        <v>356</v>
      </c>
      <c r="AX43" s="4">
        <v>2</v>
      </c>
      <c r="AY43" s="4"/>
      <c r="AZ43" s="5" t="s">
        <v>383</v>
      </c>
      <c r="BA43" s="4">
        <f t="shared" si="49"/>
        <v>12</v>
      </c>
      <c r="BB43" s="4"/>
      <c r="BC43" s="4" t="s">
        <v>360</v>
      </c>
      <c r="BD43" s="4"/>
      <c r="BE43" s="4"/>
      <c r="BF43" s="4"/>
      <c r="BG43" s="4"/>
      <c r="BH43" s="4">
        <v>3</v>
      </c>
      <c r="BI43" s="4">
        <v>3</v>
      </c>
      <c r="BJ43" s="4">
        <v>3</v>
      </c>
      <c r="BK43" s="4">
        <v>4</v>
      </c>
      <c r="BL43" s="4">
        <v>3</v>
      </c>
      <c r="BM43" s="4">
        <v>3</v>
      </c>
      <c r="BN43" s="4">
        <v>3</v>
      </c>
      <c r="BO43" s="4">
        <f>SUM(Foglio1!$BH43:$BM43)</f>
        <v>19</v>
      </c>
      <c r="BP43" s="4">
        <v>5</v>
      </c>
      <c r="BQ43" s="4">
        <v>4</v>
      </c>
      <c r="BR43" s="4">
        <v>10</v>
      </c>
      <c r="BS43" s="4">
        <v>55</v>
      </c>
      <c r="BT43" s="4">
        <v>5</v>
      </c>
      <c r="BU43" s="4">
        <v>4</v>
      </c>
      <c r="BV43" s="4">
        <v>4</v>
      </c>
      <c r="BW43" s="4">
        <v>4</v>
      </c>
      <c r="BX43" s="4">
        <v>3</v>
      </c>
      <c r="BY43" s="4">
        <v>4</v>
      </c>
      <c r="BZ43" s="4">
        <v>4</v>
      </c>
      <c r="CA43" s="4">
        <v>4</v>
      </c>
      <c r="CB43" s="4">
        <v>3</v>
      </c>
      <c r="CC43" s="4">
        <v>3</v>
      </c>
      <c r="CD43" s="4">
        <v>2</v>
      </c>
      <c r="CE43" s="4">
        <v>2</v>
      </c>
      <c r="CF43" s="4">
        <v>3</v>
      </c>
      <c r="CG43" s="4">
        <v>2</v>
      </c>
      <c r="CH43" s="4">
        <v>2</v>
      </c>
      <c r="CI43" s="4">
        <v>3</v>
      </c>
      <c r="CJ43" s="4">
        <v>4</v>
      </c>
      <c r="CK43" s="4">
        <v>4</v>
      </c>
      <c r="CL43" s="4">
        <v>3</v>
      </c>
      <c r="CM43" s="4">
        <v>3</v>
      </c>
      <c r="CN43" s="4">
        <v>3</v>
      </c>
      <c r="CO43" s="4">
        <v>2</v>
      </c>
      <c r="CP43" s="4">
        <v>2</v>
      </c>
      <c r="CQ43" s="4">
        <v>2</v>
      </c>
      <c r="CR43" s="4">
        <v>3</v>
      </c>
      <c r="CS43" s="4">
        <v>2</v>
      </c>
      <c r="CT43" s="4">
        <v>2</v>
      </c>
      <c r="CU43" s="4">
        <v>3</v>
      </c>
      <c r="CV43" s="4">
        <v>3</v>
      </c>
      <c r="CW43" s="4">
        <v>4</v>
      </c>
      <c r="CX43" s="4">
        <f>SUM(Foglio1!$BT43:$CW43)</f>
        <v>92</v>
      </c>
      <c r="CY43" s="4">
        <f>SUM(Foglio1!$BT43+Foglio1!$BV43+Foglio1!$CP43+Foglio1!$BY43+Foglio1!$BX43+Foglio1!$CH43+Foglio1!$CS43+Foglio1!$CW43-Foglio1!$CE43)</f>
        <v>24</v>
      </c>
      <c r="CZ43" s="4">
        <f>SUM(Foglio1!$CF43+Foglio1!$CA43+Foglio1!$CB43+Foglio1!$CD43+Foglio1!$CN43+Foglio1!$CC43+Foglio1!$CW43+Foglio1!$CO43+Foglio1!$CT43-Foglio1!$BU43)</f>
        <v>22</v>
      </c>
      <c r="DA43" s="4">
        <f>SUM(Foglio1!$CG43+Foglio1!$CR43+Foglio1!$CQ43+Foglio1!$BU43+Foglio1!$CE43+Foglio1!$CL43+Foglio1!$CS43+Foglio1!$CT43+Foglio1!$CV43+Foglio1!$CP43)</f>
        <v>25</v>
      </c>
      <c r="DB43" s="4">
        <f>SUM(Foglio1!$CU43+Foglio1!$BW43+Foglio1!$BZ43+Foglio1!$CO43+Foglio1!$BX43+Foglio1!$CC43+Foglio1!$CK43+Foglio1!$CW43)</f>
        <v>27</v>
      </c>
      <c r="DC43" s="4">
        <f>SUM(Foglio1!$CI43+Foglio1!$CM43+Foglio1!$CJ43+Foglio1!$CK43+Foglio1!$BY43+Foglio1!$CH43+Foglio1!$CV43+Foglio1!$CW43)</f>
        <v>27</v>
      </c>
      <c r="DD43" s="4">
        <v>3</v>
      </c>
      <c r="DE43" s="4">
        <v>2</v>
      </c>
      <c r="DF43" s="4">
        <v>3</v>
      </c>
      <c r="DG43" s="4">
        <v>0</v>
      </c>
      <c r="DH43" s="4">
        <v>1</v>
      </c>
      <c r="DI43" s="4">
        <v>0</v>
      </c>
      <c r="DJ43" s="4">
        <v>0</v>
      </c>
      <c r="DK43" s="4">
        <v>0</v>
      </c>
      <c r="DL43" s="4">
        <v>0</v>
      </c>
      <c r="DM43" s="4">
        <v>0</v>
      </c>
      <c r="DN43" s="4">
        <v>0</v>
      </c>
      <c r="DO43" s="4">
        <v>0</v>
      </c>
      <c r="DP43" s="4">
        <v>0</v>
      </c>
      <c r="DQ43" s="4">
        <v>0</v>
      </c>
      <c r="DR43" s="4">
        <v>0</v>
      </c>
      <c r="DS43" s="4">
        <v>0</v>
      </c>
      <c r="DT43" s="4">
        <v>2</v>
      </c>
      <c r="DU43" s="4">
        <v>0</v>
      </c>
      <c r="DV43" s="4">
        <v>1</v>
      </c>
      <c r="DW43" s="4">
        <v>0</v>
      </c>
      <c r="DX43" s="4">
        <v>0</v>
      </c>
      <c r="DY43" s="4">
        <v>3</v>
      </c>
      <c r="DZ43" s="4">
        <v>4</v>
      </c>
      <c r="EA43" s="4">
        <v>3</v>
      </c>
      <c r="EB43" s="4">
        <v>0</v>
      </c>
      <c r="EC43" s="4">
        <v>2</v>
      </c>
      <c r="ED43" s="4">
        <v>3</v>
      </c>
      <c r="EE43" s="4">
        <v>2</v>
      </c>
      <c r="EF43" s="4">
        <v>2</v>
      </c>
      <c r="EG43" s="4">
        <v>2</v>
      </c>
      <c r="EH43" s="4">
        <f>(Foglio1!$DE43+Foglio1!$DH43+Foglio1!$DG43+Foglio1!$DF43+Foglio1!$DM43+Foglio1!$DD43+Foglio1!$DO43+Foglio1!$DL43+Foglio1!$DN43+Foglio1!$DQ43+Foglio1!$DP43+Foglio1!$DT43+Foglio1!$DI43+Foglio1!$DK43+Foglio1!$DU43)</f>
        <v>11</v>
      </c>
      <c r="EI43" s="4">
        <f>(Foglio1!$EA43+Foglio1!$EB43+Foglio1!$EE43+Foglio1!$EC43+Foglio1!$ED43+Foglio1!$DZ43+Foglio1!$DY43)</f>
        <v>17</v>
      </c>
      <c r="EJ43" s="4">
        <f>(Foglio1!$DW43+Foglio1!$DV43+Foglio1!$DX43)</f>
        <v>1</v>
      </c>
      <c r="EK43" s="4">
        <f>(Foglio1!$EG43+Foglio1!$EF43)</f>
        <v>4</v>
      </c>
      <c r="EL43" s="4">
        <v>1</v>
      </c>
      <c r="EM43" s="4">
        <v>1</v>
      </c>
      <c r="EN43" s="4">
        <v>1</v>
      </c>
      <c r="EO43" s="4">
        <v>1</v>
      </c>
      <c r="EP43" s="4">
        <f t="array" ref="EP43">SUM(EL43:EO43/4)</f>
        <v>1</v>
      </c>
      <c r="EQ43" s="4">
        <v>1</v>
      </c>
      <c r="ER43" s="4">
        <v>1</v>
      </c>
      <c r="ES43" s="4">
        <v>0</v>
      </c>
      <c r="ET43" s="4">
        <v>1</v>
      </c>
      <c r="EU43" s="4" t="s">
        <v>383</v>
      </c>
      <c r="EV43" s="4">
        <v>0</v>
      </c>
      <c r="EW43" s="4" t="s">
        <v>383</v>
      </c>
      <c r="EX43" s="4">
        <v>0</v>
      </c>
      <c r="EY43" s="4">
        <f>(Foglio1!$EQ43+Foglio1!$ER43+Foglio1!$ES43+Foglio1!$ET43+Foglio1!$EV43+Foglio1!$EX43)/6</f>
        <v>0.5</v>
      </c>
      <c r="EZ43" s="4">
        <v>1</v>
      </c>
      <c r="FA43" s="4">
        <v>1</v>
      </c>
      <c r="FB43" s="4">
        <v>1</v>
      </c>
      <c r="FC43" s="4">
        <f>(Foglio1!$EZ43+Foglio1!$FA43+Foglio1!$FB43)/3</f>
        <v>1</v>
      </c>
      <c r="FD43" s="4">
        <v>1</v>
      </c>
      <c r="FE43" s="4">
        <v>1</v>
      </c>
      <c r="FF43" s="4">
        <f>(Foglio1!$FD43+Foglio1!$FE43)/2</f>
        <v>1</v>
      </c>
      <c r="FG43" s="4" t="s">
        <v>383</v>
      </c>
      <c r="FH43" s="4">
        <v>0</v>
      </c>
      <c r="FI43" s="4" t="s">
        <v>383</v>
      </c>
      <c r="FJ43" s="4">
        <v>0</v>
      </c>
      <c r="FK43" s="4" t="s">
        <v>383</v>
      </c>
      <c r="FL43" s="4">
        <v>0</v>
      </c>
      <c r="FM43" s="4">
        <f>(Foglio1!$FH43+Foglio1!$FJ43+Foglio1!$FL43)/3</f>
        <v>0</v>
      </c>
      <c r="FN43" s="4">
        <f>(Foglio1!$EP43)</f>
        <v>1</v>
      </c>
      <c r="FO43" s="4">
        <f>(Foglio1!$EY43+Foglio1!$FC43+Foglio1!$FF43+Foglio1!$FM43)/4</f>
        <v>0.625</v>
      </c>
      <c r="FP43" s="4">
        <f>(Foglio1!$EP43+Foglio1!$EY43+Foglio1!$FC43+Foglio1!$FF43+Foglio1!$FM43)/5</f>
        <v>0.7</v>
      </c>
      <c r="FQ43" s="4"/>
      <c r="FR43" s="4">
        <v>3</v>
      </c>
      <c r="FS43" s="4">
        <v>2</v>
      </c>
      <c r="FT43" s="4">
        <v>3</v>
      </c>
      <c r="FU43" s="4">
        <v>3</v>
      </c>
      <c r="FV43" s="4">
        <v>2</v>
      </c>
      <c r="FW43" s="4">
        <v>2</v>
      </c>
      <c r="FX43" s="4">
        <v>2</v>
      </c>
      <c r="FY43" s="4">
        <v>3</v>
      </c>
      <c r="FZ43" s="4">
        <v>2</v>
      </c>
      <c r="GA43" s="4">
        <v>5</v>
      </c>
      <c r="GB43" s="4">
        <v>65</v>
      </c>
      <c r="GC43" s="4">
        <v>2</v>
      </c>
      <c r="GD43" s="4">
        <v>3</v>
      </c>
      <c r="GE43" s="4">
        <v>2</v>
      </c>
      <c r="GF43" s="4">
        <v>2</v>
      </c>
      <c r="GG43" s="4">
        <v>3</v>
      </c>
      <c r="GH43" s="4">
        <v>2</v>
      </c>
      <c r="GI43" s="4">
        <v>1</v>
      </c>
      <c r="GJ43" s="4">
        <v>3</v>
      </c>
      <c r="GK43" s="4">
        <v>2</v>
      </c>
      <c r="GL43" s="4">
        <v>3</v>
      </c>
      <c r="GM43" s="4">
        <v>2</v>
      </c>
      <c r="GN43" s="4">
        <v>2</v>
      </c>
      <c r="GO43" s="4">
        <v>1</v>
      </c>
      <c r="GP43" s="4">
        <v>2</v>
      </c>
      <c r="GQ43" s="4">
        <v>3</v>
      </c>
      <c r="GR43" s="4">
        <v>3</v>
      </c>
      <c r="GS43" s="4">
        <v>3</v>
      </c>
      <c r="GT43" s="4">
        <v>3</v>
      </c>
      <c r="GU43" s="4">
        <v>2</v>
      </c>
      <c r="GV43" s="4">
        <v>2</v>
      </c>
      <c r="GW43" s="4">
        <v>1</v>
      </c>
      <c r="GX43" s="4">
        <v>1</v>
      </c>
      <c r="GY43" s="4">
        <v>1</v>
      </c>
      <c r="GZ43" s="4">
        <v>2</v>
      </c>
      <c r="HA43" s="4">
        <v>1</v>
      </c>
      <c r="HB43" s="4">
        <v>1</v>
      </c>
      <c r="HC43" s="4">
        <v>1</v>
      </c>
      <c r="HD43" s="4">
        <v>1</v>
      </c>
      <c r="HE43" s="4">
        <v>1</v>
      </c>
      <c r="HF43" s="4">
        <v>1</v>
      </c>
      <c r="HG43" s="4">
        <f t="shared" ref="HG43:HG46" si="58">SUM(GC43:HF43)</f>
        <v>57</v>
      </c>
      <c r="HH43" s="4">
        <f t="shared" ref="HH43:HH46" si="59">SUM(GC43+GE43+GY43+GH43+GG43+GQ43+HB43+HF43-GN43)</f>
        <v>13</v>
      </c>
      <c r="HI43" s="4">
        <f t="shared" ref="HI43:HI46" si="60">SUM(GO43+GJ43+GK43+GM43+GW43+GL43+HF43+GX43+HC43-GD43)</f>
        <v>12</v>
      </c>
      <c r="HJ43" s="4">
        <f t="shared" ref="HJ43:HJ46" si="61">SUM(GP43+HA43+GZ43+GD43+GN43+GU43+HB43+HC43+HE43+GY43)</f>
        <v>16</v>
      </c>
      <c r="HK43" s="4">
        <f t="shared" ref="HK43:HK46" si="62">SUM(HD43+GF43+GI43+GX43+GG43+GL43+GT43+HF43)</f>
        <v>15</v>
      </c>
      <c r="HL43" s="4">
        <f t="shared" ref="HL43:HL46" si="63">SUM(GR43+GV43+GS43+GT43+GH43+GQ43+HE43+HF43)</f>
        <v>18</v>
      </c>
      <c r="HM43" s="4">
        <v>3</v>
      </c>
      <c r="HN43" s="4">
        <v>3</v>
      </c>
      <c r="HO43" s="4">
        <v>3</v>
      </c>
      <c r="HP43" s="4">
        <v>0</v>
      </c>
      <c r="HQ43" s="4">
        <v>2</v>
      </c>
      <c r="HR43" s="4">
        <v>0</v>
      </c>
      <c r="HS43" s="4">
        <v>0</v>
      </c>
      <c r="HT43" s="4">
        <v>0</v>
      </c>
      <c r="HU43" s="4">
        <v>0</v>
      </c>
      <c r="HV43" s="4">
        <v>0</v>
      </c>
      <c r="HW43" s="4">
        <v>1</v>
      </c>
      <c r="HX43" s="4">
        <v>0</v>
      </c>
      <c r="HY43" s="4">
        <v>0</v>
      </c>
      <c r="HZ43" s="4">
        <v>0</v>
      </c>
      <c r="IA43" s="4">
        <v>0</v>
      </c>
      <c r="IB43" s="4">
        <v>0</v>
      </c>
      <c r="IC43" s="4">
        <v>3</v>
      </c>
      <c r="ID43" s="4">
        <v>0</v>
      </c>
      <c r="IE43" s="4">
        <v>0</v>
      </c>
      <c r="IF43" s="4">
        <v>0</v>
      </c>
      <c r="IG43" s="4">
        <v>2</v>
      </c>
      <c r="IH43" s="4">
        <v>4</v>
      </c>
      <c r="II43" s="4">
        <v>3</v>
      </c>
      <c r="IJ43" s="4">
        <v>2</v>
      </c>
      <c r="IK43" s="4">
        <v>0</v>
      </c>
      <c r="IL43" s="4">
        <v>0</v>
      </c>
      <c r="IM43" s="4">
        <v>0</v>
      </c>
      <c r="IN43" s="4">
        <v>3</v>
      </c>
      <c r="IO43" s="4">
        <v>1</v>
      </c>
      <c r="IP43" s="4">
        <v>3</v>
      </c>
      <c r="IQ43" s="4">
        <f t="shared" ref="IQ43:IQ46" si="64">SUM(HN43+HQ43+HP43+HO43+HV43+HM43+HX43+HU43+HW43+HZ43+HY43+IC43+HR43+HT43+ID43)</f>
        <v>15</v>
      </c>
      <c r="IR43" s="4">
        <f t="shared" ref="IR43:IR46" si="65">SUM(IJ43+IK43+IN43+IL43+IM43+II43+IH43)</f>
        <v>12</v>
      </c>
      <c r="IS43" s="4">
        <f t="shared" ref="IS43:IS46" si="66">SUM(IF43+IE43+IG43)</f>
        <v>2</v>
      </c>
      <c r="IT43" s="4">
        <f t="shared" ref="IT43:IT46" si="67">SUM(IP43+IO43)</f>
        <v>4</v>
      </c>
      <c r="IU43" s="4" t="s">
        <v>383</v>
      </c>
      <c r="IV43" s="4" t="s">
        <v>383</v>
      </c>
      <c r="IW43" s="4" t="s">
        <v>383</v>
      </c>
      <c r="IX43" s="4" t="s">
        <v>383</v>
      </c>
      <c r="IY43" s="4">
        <v>0</v>
      </c>
      <c r="IZ43" s="4">
        <v>1</v>
      </c>
      <c r="JA43" s="4">
        <v>1</v>
      </c>
      <c r="JB43" s="4">
        <v>0</v>
      </c>
      <c r="JC43" s="4">
        <f>(Foglio1!$IY43+Foglio1!$IZ43+Foglio1!$JA43+Foglio1!$JB43)/4</f>
        <v>0.5</v>
      </c>
      <c r="JD43" s="4">
        <v>1</v>
      </c>
      <c r="JE43" s="4">
        <v>0</v>
      </c>
      <c r="JF43" s="4">
        <v>1</v>
      </c>
      <c r="JG43" s="4">
        <v>1</v>
      </c>
      <c r="JH43" s="4"/>
      <c r="JI43" s="4">
        <v>1</v>
      </c>
      <c r="JJ43" s="4"/>
      <c r="JK43" s="4">
        <v>0</v>
      </c>
      <c r="JL43" s="4">
        <f>(Foglio1!$JD43+Foglio1!$JE43+Foglio1!$JF43+Foglio1!$JG43+Foglio1!$JI43+Foglio1!$JK43)/6</f>
        <v>0.66666666666666663</v>
      </c>
      <c r="JM43" s="4">
        <v>1</v>
      </c>
      <c r="JN43" s="4">
        <v>1</v>
      </c>
      <c r="JO43" s="4">
        <v>1</v>
      </c>
      <c r="JP43" s="4">
        <f>(Foglio1!$JM43+Foglio1!$JN43+Foglio1!$JO43)/3</f>
        <v>1</v>
      </c>
      <c r="JQ43" s="4">
        <v>1</v>
      </c>
      <c r="JR43" s="4">
        <v>1</v>
      </c>
      <c r="JS43" s="4">
        <f>(Foglio1!$JQ43+Foglio1!$JR43)/2</f>
        <v>1</v>
      </c>
      <c r="JT43" s="4"/>
      <c r="JU43" s="4">
        <v>0</v>
      </c>
      <c r="JV43" s="4"/>
      <c r="JW43" s="4">
        <v>0</v>
      </c>
      <c r="JX43" s="4"/>
      <c r="JY43" s="4">
        <v>0</v>
      </c>
      <c r="JZ43" s="4">
        <f>(Foglio1!$JU43+Foglio1!$JW43+Foglio1!$JY43)/3</f>
        <v>0</v>
      </c>
      <c r="KA43" s="4">
        <f>(Foglio1!$JC43)</f>
        <v>0.5</v>
      </c>
      <c r="KB43" s="4">
        <f>(Foglio1!$JL43+Foglio1!$JP43+Foglio1!$JS43+Foglio1!$JZ43)/4</f>
        <v>0.66666666666666663</v>
      </c>
      <c r="KC43" s="4">
        <f>(Foglio1!$JC43+Foglio1!$JL43+Foglio1!$JP43+Foglio1!$JS43+Foglio1!$JZ43)/5</f>
        <v>0.6333333333333333</v>
      </c>
      <c r="KD43" s="4"/>
      <c r="KE43" s="4">
        <v>1</v>
      </c>
      <c r="KF43" s="4">
        <v>2</v>
      </c>
      <c r="KG43" s="4"/>
      <c r="KH43" s="4">
        <v>0</v>
      </c>
      <c r="KI43" s="4">
        <v>2</v>
      </c>
      <c r="KJ43" s="4"/>
      <c r="KK43" s="4">
        <v>2</v>
      </c>
      <c r="KL43" s="4">
        <v>3</v>
      </c>
      <c r="KM43" s="4"/>
      <c r="KN43" s="4">
        <v>0</v>
      </c>
      <c r="KO43" s="4">
        <v>1</v>
      </c>
      <c r="KP43" s="4"/>
      <c r="KQ43" s="4">
        <v>2</v>
      </c>
      <c r="KR43" s="4">
        <v>3</v>
      </c>
      <c r="KS43" s="4"/>
      <c r="KT43" s="4">
        <v>2</v>
      </c>
      <c r="KU43" s="4">
        <v>1</v>
      </c>
      <c r="KV43" s="4"/>
      <c r="KW43" s="4">
        <v>1</v>
      </c>
      <c r="KX43" s="4">
        <v>1</v>
      </c>
      <c r="KY43" s="4"/>
      <c r="KZ43" s="4">
        <v>1</v>
      </c>
      <c r="LA43" s="4">
        <v>2</v>
      </c>
      <c r="LB43" s="4"/>
      <c r="LC43" s="4">
        <v>2</v>
      </c>
      <c r="LD43" s="4">
        <v>1</v>
      </c>
      <c r="LE43" s="4"/>
      <c r="LF43" s="4">
        <v>1</v>
      </c>
      <c r="LG43" s="4">
        <v>2</v>
      </c>
      <c r="LH43" s="4"/>
      <c r="LI43" s="4">
        <v>2</v>
      </c>
      <c r="LJ43" s="4">
        <v>1</v>
      </c>
      <c r="LK43" s="4"/>
      <c r="LL43" s="4">
        <v>1</v>
      </c>
      <c r="LM43" s="4">
        <v>2</v>
      </c>
      <c r="LN43" s="4"/>
      <c r="LO43" s="4">
        <v>2</v>
      </c>
      <c r="LP43" s="4">
        <v>1</v>
      </c>
      <c r="LQ43" s="4"/>
      <c r="LR43" s="4">
        <v>2</v>
      </c>
      <c r="LS43" s="4">
        <v>2</v>
      </c>
      <c r="LT43" s="4">
        <f>(Foglio1!$KE43+Foglio1!$KH43+Foglio1!$KK43+Foglio1!$KN43+Foglio1!$KQ43+Foglio1!$KT43+Foglio1!$KW43+Foglio1!$KZ43+Foglio1!$LC43+Foglio1!$LF43+Foglio1!$LI43+Foglio1!$LL43+Foglio1!$LO43+Foglio1!$LR43)</f>
        <v>19</v>
      </c>
      <c r="LU43" s="4">
        <f>(Foglio1!$KI43+Foglio1!$KF43+Foglio1!$KL43+Foglio1!$KO43+Foglio1!$KR43+Foglio1!$KU43+Foglio1!$KX43+Foglio1!$LA43+Foglio1!$LD43+Foglio1!$LG43+Foglio1!$LJ43+Foglio1!$LM43+Foglio1!$LP43+Foglio1!$LS43)</f>
        <v>24</v>
      </c>
      <c r="LV43" s="4"/>
      <c r="LW43" s="4"/>
      <c r="LX43" s="4"/>
      <c r="LY43" s="4"/>
      <c r="LZ43" s="3">
        <v>0</v>
      </c>
      <c r="MA43" s="3">
        <v>1</v>
      </c>
      <c r="MB43" s="3">
        <v>3</v>
      </c>
      <c r="MC43" s="3">
        <v>1</v>
      </c>
      <c r="MD43" s="3">
        <f t="shared" si="7"/>
        <v>5</v>
      </c>
      <c r="ME43" s="3">
        <v>1</v>
      </c>
      <c r="MF43" s="3">
        <v>2</v>
      </c>
      <c r="MG43" s="3">
        <v>1</v>
      </c>
      <c r="MH43" s="3">
        <v>0</v>
      </c>
      <c r="MI43" s="3">
        <f t="shared" si="8"/>
        <v>4</v>
      </c>
    </row>
    <row r="44" spans="1:347" ht="15.75" customHeight="1" x14ac:dyDescent="0.25">
      <c r="A44" s="7" t="s">
        <v>1435</v>
      </c>
      <c r="B44" s="7">
        <v>63</v>
      </c>
      <c r="C44" s="7" t="s">
        <v>403</v>
      </c>
      <c r="D44" s="7">
        <v>16</v>
      </c>
      <c r="E44" s="7">
        <v>1</v>
      </c>
      <c r="F44" s="7" t="s">
        <v>350</v>
      </c>
      <c r="G44" s="4" t="s">
        <v>404</v>
      </c>
      <c r="H44" s="4" t="s">
        <v>1436</v>
      </c>
      <c r="I44" s="4" t="s">
        <v>1436</v>
      </c>
      <c r="J44" s="4"/>
      <c r="K44" s="4"/>
      <c r="L44" s="5" t="s">
        <v>356</v>
      </c>
      <c r="M44" s="4" t="s">
        <v>357</v>
      </c>
      <c r="N44" s="4" t="s">
        <v>406</v>
      </c>
      <c r="O44" s="9">
        <v>45859</v>
      </c>
      <c r="P44" s="9">
        <v>45852</v>
      </c>
      <c r="Q44" s="4" t="s">
        <v>523</v>
      </c>
      <c r="R44" s="4"/>
      <c r="S44" s="4"/>
      <c r="T44" s="4" t="s">
        <v>360</v>
      </c>
      <c r="U44" s="4"/>
      <c r="V44" s="4" t="s">
        <v>361</v>
      </c>
      <c r="W44" s="4" t="s">
        <v>411</v>
      </c>
      <c r="X44" s="4" t="s">
        <v>364</v>
      </c>
      <c r="Y44" s="4"/>
      <c r="Z44" s="4"/>
      <c r="AA44" s="4"/>
      <c r="AB44" s="4"/>
      <c r="AC44" s="4"/>
      <c r="AD44" s="4"/>
      <c r="AE44" s="4"/>
      <c r="AF44" s="4"/>
      <c r="AG44" s="4"/>
      <c r="AH44" s="4" t="s">
        <v>411</v>
      </c>
      <c r="AI44" s="4" t="s">
        <v>1209</v>
      </c>
      <c r="AJ44" s="5" t="s">
        <v>356</v>
      </c>
      <c r="AK44" s="5" t="s">
        <v>356</v>
      </c>
      <c r="AL44" s="5" t="s">
        <v>356</v>
      </c>
      <c r="AM44" s="5" t="s">
        <v>356</v>
      </c>
      <c r="AN44" s="5" t="s">
        <v>356</v>
      </c>
      <c r="AO44" s="5" t="s">
        <v>356</v>
      </c>
      <c r="AP44" s="5" t="s">
        <v>356</v>
      </c>
      <c r="AQ44" s="5" t="s">
        <v>356</v>
      </c>
      <c r="AR44" s="5" t="s">
        <v>356</v>
      </c>
      <c r="AS44" s="5" t="s">
        <v>356</v>
      </c>
      <c r="AT44" s="5" t="s">
        <v>356</v>
      </c>
      <c r="AU44" s="5" t="s">
        <v>356</v>
      </c>
      <c r="AV44" s="5" t="s">
        <v>356</v>
      </c>
      <c r="AW44" s="5" t="s">
        <v>356</v>
      </c>
      <c r="AX44" s="4">
        <v>2</v>
      </c>
      <c r="AY44" s="4"/>
      <c r="AZ44" s="5" t="s">
        <v>383</v>
      </c>
      <c r="BA44" s="4">
        <v>24</v>
      </c>
      <c r="BB44" s="4"/>
      <c r="BC44" s="4" t="s">
        <v>360</v>
      </c>
      <c r="BD44" s="4"/>
      <c r="BE44" s="4"/>
      <c r="BF44" s="4"/>
      <c r="BG44" s="6">
        <v>45835</v>
      </c>
      <c r="BH44" s="4">
        <v>4</v>
      </c>
      <c r="BI44" s="4">
        <v>3</v>
      </c>
      <c r="BJ44" s="4">
        <v>3</v>
      </c>
      <c r="BK44" s="4">
        <v>4</v>
      </c>
      <c r="BL44" s="4">
        <v>4</v>
      </c>
      <c r="BM44" s="4">
        <v>3</v>
      </c>
      <c r="BN44" s="4">
        <v>4</v>
      </c>
      <c r="BO44" s="4">
        <f>SUM(Foglio1!$BH44:$BM44)</f>
        <v>21</v>
      </c>
      <c r="BP44" s="4">
        <v>5</v>
      </c>
      <c r="BQ44" s="4">
        <v>4</v>
      </c>
      <c r="BR44" s="4">
        <v>10</v>
      </c>
      <c r="BS44" s="4">
        <v>50</v>
      </c>
      <c r="BT44" s="4">
        <v>4</v>
      </c>
      <c r="BU44" s="4">
        <v>4</v>
      </c>
      <c r="BV44" s="4">
        <v>2</v>
      </c>
      <c r="BW44" s="4">
        <v>2</v>
      </c>
      <c r="BX44" s="4">
        <v>3</v>
      </c>
      <c r="BY44" s="4">
        <v>4</v>
      </c>
      <c r="BZ44" s="4">
        <v>2</v>
      </c>
      <c r="CA44" s="4">
        <v>3</v>
      </c>
      <c r="CB44" s="4">
        <v>3</v>
      </c>
      <c r="CC44" s="4">
        <v>4</v>
      </c>
      <c r="CD44" s="4">
        <v>2</v>
      </c>
      <c r="CE44" s="4">
        <v>3</v>
      </c>
      <c r="CF44" s="4">
        <v>2</v>
      </c>
      <c r="CG44" s="4">
        <v>1</v>
      </c>
      <c r="CH44" s="4">
        <v>1</v>
      </c>
      <c r="CI44" s="4">
        <v>2</v>
      </c>
      <c r="CJ44" s="4">
        <v>1</v>
      </c>
      <c r="CK44" s="4">
        <v>1</v>
      </c>
      <c r="CL44" s="4">
        <v>1</v>
      </c>
      <c r="CM44" s="4">
        <v>2</v>
      </c>
      <c r="CN44" s="4">
        <v>1</v>
      </c>
      <c r="CO44" s="4">
        <v>2</v>
      </c>
      <c r="CP44" s="4">
        <v>6</v>
      </c>
      <c r="CQ44" s="4">
        <v>4</v>
      </c>
      <c r="CR44" s="4">
        <v>4</v>
      </c>
      <c r="CS44" s="4">
        <v>4</v>
      </c>
      <c r="CT44" s="4">
        <v>4</v>
      </c>
      <c r="CU44" s="4">
        <v>4</v>
      </c>
      <c r="CV44" s="4">
        <v>2</v>
      </c>
      <c r="CW44" s="4">
        <v>6</v>
      </c>
      <c r="CX44" s="4">
        <f>SUM(Foglio1!$BT44:$CW44)</f>
        <v>84</v>
      </c>
      <c r="CY44" s="4">
        <f>SUM(Foglio1!$BT44+Foglio1!$BV44+Foglio1!$CP44+Foglio1!$BY44+Foglio1!$BX44+Foglio1!$CH44+Foglio1!$CS44+Foglio1!$CW44-Foglio1!$CE44)</f>
        <v>27</v>
      </c>
      <c r="CZ44" s="4">
        <f>SUM(Foglio1!$CF44+Foglio1!$CA44+Foglio1!$CB44+Foglio1!$CD44+Foglio1!$CN44+Foglio1!$CC44+Foglio1!$CW44+Foglio1!$CO44+Foglio1!$CT44-Foglio1!$BU44)</f>
        <v>23</v>
      </c>
      <c r="DA44" s="4">
        <f>SUM(Foglio1!$CG44+Foglio1!$CR44+Foglio1!$CQ44+Foglio1!$BU44+Foglio1!$CE44+Foglio1!$CL44+Foglio1!$CS44+Foglio1!$CT44+Foglio1!$CV44+Foglio1!$CP44)</f>
        <v>33</v>
      </c>
      <c r="DB44" s="4">
        <f>SUM(Foglio1!$CU44+Foglio1!$BW44+Foglio1!$BZ44+Foglio1!$CO44+Foglio1!$BX44+Foglio1!$CC44+Foglio1!$CK44+Foglio1!$CW44)</f>
        <v>24</v>
      </c>
      <c r="DC44" s="4">
        <f>SUM(Foglio1!$CI44+Foglio1!$CM44+Foglio1!$CJ44+Foglio1!$CK44+Foglio1!$BY44+Foglio1!$CH44+Foglio1!$CV44+Foglio1!$CW44)</f>
        <v>19</v>
      </c>
      <c r="DD44" s="4">
        <v>3</v>
      </c>
      <c r="DE44" s="4">
        <v>3</v>
      </c>
      <c r="DF44" s="4">
        <v>4</v>
      </c>
      <c r="DG44" s="4">
        <v>2</v>
      </c>
      <c r="DH44" s="4">
        <v>1</v>
      </c>
      <c r="DI44" s="4">
        <v>0</v>
      </c>
      <c r="DJ44" s="4">
        <v>0</v>
      </c>
      <c r="DK44" s="4">
        <v>0</v>
      </c>
      <c r="DL44" s="4">
        <v>2</v>
      </c>
      <c r="DM44" s="4">
        <v>1</v>
      </c>
      <c r="DN44" s="4">
        <v>0</v>
      </c>
      <c r="DO44" s="4">
        <v>0</v>
      </c>
      <c r="DP44" s="4">
        <v>0</v>
      </c>
      <c r="DQ44" s="4">
        <v>0</v>
      </c>
      <c r="DR44" s="4">
        <v>0</v>
      </c>
      <c r="DS44" s="4">
        <v>0</v>
      </c>
      <c r="DT44" s="4">
        <v>0</v>
      </c>
      <c r="DU44" s="4">
        <v>0</v>
      </c>
      <c r="DV44" s="4">
        <v>0</v>
      </c>
      <c r="DW44" s="4">
        <v>0</v>
      </c>
      <c r="DX44" s="4">
        <v>1</v>
      </c>
      <c r="DY44" s="4">
        <v>0</v>
      </c>
      <c r="DZ44" s="4">
        <v>1</v>
      </c>
      <c r="EA44" s="4">
        <v>0</v>
      </c>
      <c r="EB44" s="4">
        <v>0</v>
      </c>
      <c r="EC44" s="4">
        <v>0</v>
      </c>
      <c r="ED44" s="4">
        <v>0</v>
      </c>
      <c r="EE44" s="4">
        <v>0</v>
      </c>
      <c r="EF44" s="4">
        <v>0</v>
      </c>
      <c r="EG44" s="4">
        <v>1</v>
      </c>
      <c r="EH44" s="4">
        <f>(Foglio1!$DE44+Foglio1!$DH44+Foglio1!$DG44+Foglio1!$DF44+Foglio1!$DM44+Foglio1!$DD44+Foglio1!$DO44+Foglio1!$DL44+Foglio1!$DN44+Foglio1!$DQ44+Foglio1!$DP44+Foglio1!$DT44+Foglio1!$DI44+Foglio1!$DK44+Foglio1!$DU44)</f>
        <v>16</v>
      </c>
      <c r="EI44" s="4">
        <f>(Foglio1!$EA44+Foglio1!$EB44+Foglio1!$EE44+Foglio1!$EC44+Foglio1!$ED44+Foglio1!$DZ44+Foglio1!$DY44)</f>
        <v>1</v>
      </c>
      <c r="EJ44" s="4">
        <f>(Foglio1!$DW44+Foglio1!$DV44+Foglio1!$DX44)</f>
        <v>1</v>
      </c>
      <c r="EK44" s="4">
        <f>(Foglio1!$EG44+Foglio1!$EF44)</f>
        <v>1</v>
      </c>
      <c r="EL44" s="4">
        <v>0</v>
      </c>
      <c r="EM44" s="4">
        <v>1</v>
      </c>
      <c r="EN44" s="4">
        <v>1</v>
      </c>
      <c r="EO44" s="4">
        <v>0</v>
      </c>
      <c r="EP44" s="4">
        <f t="array" ref="EP44">SUM(EL44:EO44/4)</f>
        <v>0.5</v>
      </c>
      <c r="EQ44" s="4">
        <v>1</v>
      </c>
      <c r="ER44" s="4">
        <v>0</v>
      </c>
      <c r="ES44" s="4">
        <v>1</v>
      </c>
      <c r="ET44" s="4">
        <v>0</v>
      </c>
      <c r="EU44" s="4" t="s">
        <v>383</v>
      </c>
      <c r="EV44" s="4">
        <v>0</v>
      </c>
      <c r="EW44" s="4" t="s">
        <v>383</v>
      </c>
      <c r="EX44" s="4">
        <v>1</v>
      </c>
      <c r="EY44" s="4">
        <f>(Foglio1!$EQ44+Foglio1!$ER44+Foglio1!$ES44+Foglio1!$ET44+Foglio1!$EV44+Foglio1!$EX44)/6</f>
        <v>0.5</v>
      </c>
      <c r="EZ44" s="4">
        <v>1</v>
      </c>
      <c r="FA44" s="4">
        <v>1</v>
      </c>
      <c r="FB44" s="4">
        <v>1</v>
      </c>
      <c r="FC44" s="4">
        <f>(Foglio1!$EZ44+Foglio1!$FA44+Foglio1!$FB44)/3</f>
        <v>1</v>
      </c>
      <c r="FD44" s="4">
        <v>1</v>
      </c>
      <c r="FE44" s="4">
        <v>1</v>
      </c>
      <c r="FF44" s="4">
        <f>(Foglio1!$FD44+Foglio1!$FE44)/2</f>
        <v>1</v>
      </c>
      <c r="FG44" s="4" t="s">
        <v>383</v>
      </c>
      <c r="FH44" s="4">
        <v>0</v>
      </c>
      <c r="FI44" s="4" t="s">
        <v>383</v>
      </c>
      <c r="FJ44" s="4">
        <v>0</v>
      </c>
      <c r="FK44" s="4" t="s">
        <v>383</v>
      </c>
      <c r="FL44" s="4">
        <v>0</v>
      </c>
      <c r="FM44" s="4">
        <f>(Foglio1!$FH44+Foglio1!$FJ44+Foglio1!$FL44)/3</f>
        <v>0</v>
      </c>
      <c r="FN44" s="4">
        <f>(Foglio1!$EP44)</f>
        <v>0.5</v>
      </c>
      <c r="FO44" s="4">
        <f>(Foglio1!$EY44+Foglio1!$FC44+Foglio1!$FF44+Foglio1!$FM44)/4</f>
        <v>0.625</v>
      </c>
      <c r="FP44" s="4">
        <f>(Foglio1!$EP44+Foglio1!$EY44+Foglio1!$FC44+Foglio1!$FF44+Foglio1!$FM44)/5</f>
        <v>0.6</v>
      </c>
      <c r="FQ44" s="6">
        <v>45842</v>
      </c>
      <c r="FR44" s="4">
        <v>2</v>
      </c>
      <c r="FS44" s="4">
        <v>2</v>
      </c>
      <c r="FT44" s="4">
        <v>2</v>
      </c>
      <c r="FU44" s="4">
        <v>2</v>
      </c>
      <c r="FV44" s="4">
        <v>2</v>
      </c>
      <c r="FW44" s="4">
        <v>2</v>
      </c>
      <c r="FX44" s="4">
        <v>2</v>
      </c>
      <c r="FY44" s="4">
        <v>3</v>
      </c>
      <c r="FZ44" s="4">
        <v>2</v>
      </c>
      <c r="GA44" s="4">
        <v>5</v>
      </c>
      <c r="GB44" s="4">
        <v>60</v>
      </c>
      <c r="GC44" s="4">
        <v>3</v>
      </c>
      <c r="GD44" s="4">
        <v>2</v>
      </c>
      <c r="GE44" s="4">
        <v>1</v>
      </c>
      <c r="GF44" s="4">
        <v>1</v>
      </c>
      <c r="GG44" s="4">
        <v>2</v>
      </c>
      <c r="GH44" s="4">
        <v>2</v>
      </c>
      <c r="GI44" s="4">
        <v>1</v>
      </c>
      <c r="GJ44" s="4">
        <v>2</v>
      </c>
      <c r="GK44" s="4">
        <v>2</v>
      </c>
      <c r="GL44" s="4">
        <v>3</v>
      </c>
      <c r="GM44" s="4">
        <v>2</v>
      </c>
      <c r="GN44" s="4">
        <v>1</v>
      </c>
      <c r="GO44" s="4">
        <v>1</v>
      </c>
      <c r="GP44" s="4">
        <v>1</v>
      </c>
      <c r="GQ44" s="4">
        <v>1</v>
      </c>
      <c r="GR44" s="4">
        <v>2</v>
      </c>
      <c r="GS44" s="4">
        <v>1</v>
      </c>
      <c r="GT44" s="4">
        <v>1</v>
      </c>
      <c r="GU44" s="4">
        <v>1</v>
      </c>
      <c r="GV44" s="4">
        <v>2</v>
      </c>
      <c r="GW44" s="4">
        <v>1</v>
      </c>
      <c r="GX44" s="4">
        <v>1</v>
      </c>
      <c r="GY44" s="4">
        <v>4</v>
      </c>
      <c r="GZ44" s="4">
        <v>1</v>
      </c>
      <c r="HA44" s="4">
        <v>1</v>
      </c>
      <c r="HB44" s="4">
        <v>1</v>
      </c>
      <c r="HC44" s="4">
        <v>1</v>
      </c>
      <c r="HD44" s="4">
        <v>1</v>
      </c>
      <c r="HE44" s="4">
        <v>1</v>
      </c>
      <c r="HF44" s="4">
        <v>3</v>
      </c>
      <c r="HG44" s="4">
        <f t="shared" si="58"/>
        <v>47</v>
      </c>
      <c r="HH44" s="4">
        <f t="shared" si="59"/>
        <v>16</v>
      </c>
      <c r="HI44" s="4">
        <f t="shared" si="60"/>
        <v>14</v>
      </c>
      <c r="HJ44" s="4">
        <f t="shared" si="61"/>
        <v>14</v>
      </c>
      <c r="HK44" s="4">
        <f t="shared" si="62"/>
        <v>13</v>
      </c>
      <c r="HL44" s="4">
        <f t="shared" si="63"/>
        <v>13</v>
      </c>
      <c r="HM44" s="4">
        <v>3</v>
      </c>
      <c r="HN44" s="4">
        <v>3</v>
      </c>
      <c r="HO44" s="4">
        <v>3</v>
      </c>
      <c r="HP44" s="4">
        <v>2</v>
      </c>
      <c r="HQ44" s="4">
        <v>2</v>
      </c>
      <c r="HR44" s="4">
        <v>0</v>
      </c>
      <c r="HS44" s="4">
        <v>0</v>
      </c>
      <c r="HT44" s="4">
        <v>0</v>
      </c>
      <c r="HU44" s="4">
        <v>1</v>
      </c>
      <c r="HV44" s="4">
        <v>2</v>
      </c>
      <c r="HW44" s="4">
        <v>0</v>
      </c>
      <c r="HX44" s="4">
        <v>0</v>
      </c>
      <c r="HY44" s="4">
        <v>0</v>
      </c>
      <c r="HZ44" s="4">
        <v>0</v>
      </c>
      <c r="IA44" s="4">
        <v>0</v>
      </c>
      <c r="IB44" s="4">
        <v>0</v>
      </c>
      <c r="IC44" s="4">
        <v>3</v>
      </c>
      <c r="ID44" s="4">
        <v>0</v>
      </c>
      <c r="IE44" s="4">
        <v>0</v>
      </c>
      <c r="IF44" s="4">
        <v>0</v>
      </c>
      <c r="IG44" s="4">
        <v>1</v>
      </c>
      <c r="IH44" s="4">
        <v>0</v>
      </c>
      <c r="II44" s="4">
        <v>0</v>
      </c>
      <c r="IJ44" s="4">
        <v>0</v>
      </c>
      <c r="IK44" s="4">
        <v>0</v>
      </c>
      <c r="IL44" s="4">
        <v>0</v>
      </c>
      <c r="IM44" s="4">
        <v>0</v>
      </c>
      <c r="IN44" s="4">
        <v>0</v>
      </c>
      <c r="IO44" s="4">
        <v>0</v>
      </c>
      <c r="IP44" s="4">
        <v>0</v>
      </c>
      <c r="IQ44" s="4">
        <f t="shared" si="64"/>
        <v>19</v>
      </c>
      <c r="IR44" s="4">
        <f t="shared" si="65"/>
        <v>0</v>
      </c>
      <c r="IS44" s="4">
        <f t="shared" si="66"/>
        <v>1</v>
      </c>
      <c r="IT44" s="4">
        <f t="shared" si="67"/>
        <v>0</v>
      </c>
      <c r="IU44" s="4" t="s">
        <v>383</v>
      </c>
      <c r="IV44" s="4" t="s">
        <v>383</v>
      </c>
      <c r="IW44" s="4" t="s">
        <v>383</v>
      </c>
      <c r="IX44" s="4" t="s">
        <v>383</v>
      </c>
      <c r="IY44" s="4">
        <v>0</v>
      </c>
      <c r="IZ44" s="4">
        <v>1</v>
      </c>
      <c r="JA44" s="4">
        <v>1</v>
      </c>
      <c r="JB44" s="4">
        <v>0</v>
      </c>
      <c r="JC44" s="4">
        <f>(Foglio1!$IY44+Foglio1!$IZ44+Foglio1!$JA44+Foglio1!$JB44)/4</f>
        <v>0.5</v>
      </c>
      <c r="JD44" s="4">
        <v>1</v>
      </c>
      <c r="JE44" s="4">
        <v>1</v>
      </c>
      <c r="JF44" s="4">
        <v>1</v>
      </c>
      <c r="JG44" s="4">
        <v>1</v>
      </c>
      <c r="JH44" s="4"/>
      <c r="JI44" s="4">
        <v>0</v>
      </c>
      <c r="JJ44" s="4"/>
      <c r="JK44" s="4">
        <v>0</v>
      </c>
      <c r="JL44" s="4">
        <f>(Foglio1!$JD44+Foglio1!$JE44+Foglio1!$JF44+Foglio1!$JG44+Foglio1!$JI44+Foglio1!$JK44)/6</f>
        <v>0.66666666666666663</v>
      </c>
      <c r="JM44" s="4">
        <v>1</v>
      </c>
      <c r="JN44" s="4">
        <v>0</v>
      </c>
      <c r="JO44" s="4">
        <v>1</v>
      </c>
      <c r="JP44" s="4">
        <f>(Foglio1!$JM44+Foglio1!$JN44+Foglio1!$JO44)/3</f>
        <v>0.66666666666666663</v>
      </c>
      <c r="JQ44" s="4">
        <v>1</v>
      </c>
      <c r="JR44" s="4">
        <v>0</v>
      </c>
      <c r="JS44" s="4">
        <f>(Foglio1!$JQ44+Foglio1!$JR44)/2</f>
        <v>0.5</v>
      </c>
      <c r="JT44" s="4"/>
      <c r="JU44" s="4">
        <v>1</v>
      </c>
      <c r="JV44" s="4"/>
      <c r="JW44" s="4">
        <v>0</v>
      </c>
      <c r="JX44" s="4"/>
      <c r="JY44" s="4">
        <v>1</v>
      </c>
      <c r="JZ44" s="4">
        <f>(Foglio1!$JU44+Foglio1!$JW44+Foglio1!$JY44)/3</f>
        <v>0.66666666666666663</v>
      </c>
      <c r="KA44" s="4">
        <f>(Foglio1!$JC44)</f>
        <v>0.5</v>
      </c>
      <c r="KB44" s="4">
        <f>(Foglio1!$JL44+Foglio1!$JP44+Foglio1!$JS44+Foglio1!$JZ44)/4</f>
        <v>0.625</v>
      </c>
      <c r="KC44" s="4">
        <f>(Foglio1!$JC44+Foglio1!$JL44+Foglio1!$JP44+Foglio1!$JS44+Foglio1!$JZ44)/5</f>
        <v>0.59999999999999987</v>
      </c>
      <c r="KD44" s="4"/>
      <c r="KE44" s="4">
        <v>0</v>
      </c>
      <c r="KF44" s="4">
        <v>2</v>
      </c>
      <c r="KG44" s="4"/>
      <c r="KH44" s="4">
        <v>0</v>
      </c>
      <c r="KI44" s="4">
        <v>2</v>
      </c>
      <c r="KJ44" s="4"/>
      <c r="KK44" s="4">
        <v>2</v>
      </c>
      <c r="KL44" s="4">
        <v>1</v>
      </c>
      <c r="KM44" s="4"/>
      <c r="KN44" s="4">
        <v>1</v>
      </c>
      <c r="KO44" s="4">
        <v>1</v>
      </c>
      <c r="KP44" s="4"/>
      <c r="KQ44" s="4">
        <v>2</v>
      </c>
      <c r="KR44" s="4">
        <v>3</v>
      </c>
      <c r="KS44" s="4"/>
      <c r="KT44" s="4">
        <v>0</v>
      </c>
      <c r="KU44" s="4">
        <v>2</v>
      </c>
      <c r="KV44" s="4"/>
      <c r="KW44" s="4">
        <v>0</v>
      </c>
      <c r="KX44" s="4">
        <v>2</v>
      </c>
      <c r="KY44" s="4"/>
      <c r="KZ44" s="4">
        <v>2</v>
      </c>
      <c r="LA44" s="4">
        <v>2</v>
      </c>
      <c r="LB44" s="4"/>
      <c r="LC44" s="4">
        <v>1</v>
      </c>
      <c r="LD44" s="4">
        <v>2</v>
      </c>
      <c r="LE44" s="4"/>
      <c r="LF44" s="4">
        <v>2</v>
      </c>
      <c r="LG44" s="4">
        <v>1</v>
      </c>
      <c r="LH44" s="4"/>
      <c r="LI44" s="4">
        <v>0</v>
      </c>
      <c r="LJ44" s="4">
        <v>2</v>
      </c>
      <c r="LK44" s="4"/>
      <c r="LL44" s="4">
        <v>0</v>
      </c>
      <c r="LM44" s="4">
        <v>2</v>
      </c>
      <c r="LN44" s="4"/>
      <c r="LO44" s="4">
        <v>0</v>
      </c>
      <c r="LP44" s="4">
        <v>1</v>
      </c>
      <c r="LQ44" s="4"/>
      <c r="LR44" s="4">
        <v>1</v>
      </c>
      <c r="LS44" s="4">
        <v>2</v>
      </c>
      <c r="LT44" s="4">
        <f>(Foglio1!$KE44+Foglio1!$KH44+Foglio1!$KK44+Foglio1!$KN44+Foglio1!$KQ44+Foglio1!$KT44+Foglio1!$KW44+Foglio1!$KZ44+Foglio1!$LC44+Foglio1!$LF44+Foglio1!$LI44+Foglio1!$LL44+Foglio1!$LO44+Foglio1!$LR44)</f>
        <v>11</v>
      </c>
      <c r="LU44" s="4">
        <f>(Foglio1!$KI44+Foglio1!$KF44+Foglio1!$KL44+Foglio1!$KO44+Foglio1!$KR44+Foglio1!$KU44+Foglio1!$KX44+Foglio1!$LA44+Foglio1!$LD44+Foglio1!$LG44+Foglio1!$LJ44+Foglio1!$LM44+Foglio1!$LP44+Foglio1!$LS44)</f>
        <v>25</v>
      </c>
      <c r="LV44" s="4">
        <v>32</v>
      </c>
      <c r="LW44" s="4">
        <v>36</v>
      </c>
      <c r="LX44" s="4">
        <v>19</v>
      </c>
      <c r="LY44" s="4">
        <v>31</v>
      </c>
      <c r="LZ44" s="3">
        <v>0</v>
      </c>
      <c r="MA44" s="3">
        <v>0</v>
      </c>
      <c r="MB44" s="3">
        <v>0</v>
      </c>
      <c r="MC44" s="3">
        <v>1</v>
      </c>
      <c r="MD44" s="3">
        <f t="shared" si="7"/>
        <v>1</v>
      </c>
      <c r="ME44" s="3">
        <v>0</v>
      </c>
      <c r="MF44" s="3">
        <v>1</v>
      </c>
      <c r="MG44" s="3">
        <v>1</v>
      </c>
      <c r="MH44" s="3">
        <v>0</v>
      </c>
      <c r="MI44" s="3">
        <f t="shared" si="8"/>
        <v>2</v>
      </c>
    </row>
    <row r="45" spans="1:347" ht="15.75" customHeight="1" x14ac:dyDescent="0.25">
      <c r="A45" s="4" t="s">
        <v>1437</v>
      </c>
      <c r="B45" s="4">
        <v>20</v>
      </c>
      <c r="C45" s="4" t="s">
        <v>349</v>
      </c>
      <c r="D45" s="4">
        <v>13</v>
      </c>
      <c r="E45" s="4">
        <v>0</v>
      </c>
      <c r="F45" s="4" t="s">
        <v>350</v>
      </c>
      <c r="G45" s="4" t="s">
        <v>356</v>
      </c>
      <c r="H45" s="4" t="s">
        <v>983</v>
      </c>
      <c r="I45" s="4" t="s">
        <v>989</v>
      </c>
      <c r="J45" s="4" t="s">
        <v>1272</v>
      </c>
      <c r="K45" s="4"/>
      <c r="L45" s="7" t="s">
        <v>1438</v>
      </c>
      <c r="M45" s="4" t="s">
        <v>449</v>
      </c>
      <c r="N45" s="4" t="s">
        <v>1439</v>
      </c>
      <c r="O45" s="9">
        <v>45678</v>
      </c>
      <c r="P45" s="9">
        <v>45717</v>
      </c>
      <c r="Q45" s="3" t="s">
        <v>1440</v>
      </c>
      <c r="R45" s="4"/>
      <c r="S45" s="4"/>
      <c r="T45" s="4"/>
      <c r="U45" s="4"/>
      <c r="V45" s="4"/>
      <c r="W45" s="4"/>
      <c r="X45" s="4"/>
      <c r="Y45" s="4"/>
      <c r="Z45" s="4"/>
      <c r="AA45" s="4"/>
      <c r="AB45" s="4"/>
      <c r="AC45" s="4"/>
      <c r="AD45" s="4"/>
      <c r="AE45" s="4"/>
      <c r="AF45" s="4"/>
      <c r="AG45" s="4"/>
      <c r="AH45" s="4" t="s">
        <v>1441</v>
      </c>
      <c r="AI45" s="4" t="s">
        <v>1442</v>
      </c>
      <c r="AJ45" s="4" t="s">
        <v>1443</v>
      </c>
      <c r="AK45" s="4" t="s">
        <v>1444</v>
      </c>
      <c r="AL45" s="4" t="s">
        <v>1208</v>
      </c>
      <c r="AM45" s="4" t="s">
        <v>830</v>
      </c>
      <c r="AN45" s="5" t="s">
        <v>356</v>
      </c>
      <c r="AO45" s="5" t="s">
        <v>356</v>
      </c>
      <c r="AP45" s="5" t="s">
        <v>356</v>
      </c>
      <c r="AQ45" s="5" t="s">
        <v>356</v>
      </c>
      <c r="AR45" s="5" t="s">
        <v>356</v>
      </c>
      <c r="AS45" s="5" t="s">
        <v>356</v>
      </c>
      <c r="AT45" s="5" t="s">
        <v>356</v>
      </c>
      <c r="AU45" s="5" t="s">
        <v>356</v>
      </c>
      <c r="AV45" s="5" t="s">
        <v>356</v>
      </c>
      <c r="AW45" s="5" t="s">
        <v>356</v>
      </c>
      <c r="AX45" s="4">
        <v>3</v>
      </c>
      <c r="AY45" s="4"/>
      <c r="AZ45" s="4" t="s">
        <v>360</v>
      </c>
      <c r="BA45" s="4">
        <f t="shared" ref="BA45:BA55" si="68">(P45-O45)</f>
        <v>39</v>
      </c>
      <c r="BB45" s="4"/>
      <c r="BC45" s="4"/>
      <c r="BD45" s="4"/>
      <c r="BE45" s="4"/>
      <c r="BF45" s="4"/>
      <c r="BG45" s="6">
        <v>45685</v>
      </c>
      <c r="BH45" s="4" t="s">
        <v>356</v>
      </c>
      <c r="BI45" s="4" t="s">
        <v>356</v>
      </c>
      <c r="BJ45" s="4" t="s">
        <v>356</v>
      </c>
      <c r="BK45" s="4" t="s">
        <v>356</v>
      </c>
      <c r="BL45" s="4" t="s">
        <v>356</v>
      </c>
      <c r="BM45" s="4" t="s">
        <v>356</v>
      </c>
      <c r="BN45" s="4" t="s">
        <v>356</v>
      </c>
      <c r="BO45" s="4" t="s">
        <v>356</v>
      </c>
      <c r="BP45" s="4">
        <v>4</v>
      </c>
      <c r="BQ45" s="4">
        <v>4</v>
      </c>
      <c r="BR45" s="4">
        <v>8</v>
      </c>
      <c r="BS45" s="4">
        <v>51</v>
      </c>
      <c r="BT45" s="4">
        <v>1</v>
      </c>
      <c r="BU45" s="4">
        <v>1</v>
      </c>
      <c r="BV45" s="4">
        <v>1</v>
      </c>
      <c r="BW45" s="4">
        <v>1</v>
      </c>
      <c r="BX45" s="4">
        <v>1</v>
      </c>
      <c r="BY45" s="4">
        <v>1</v>
      </c>
      <c r="BZ45" s="4">
        <v>1</v>
      </c>
      <c r="CA45" s="4">
        <v>4</v>
      </c>
      <c r="CB45" s="4">
        <v>4</v>
      </c>
      <c r="CC45" s="4">
        <v>1</v>
      </c>
      <c r="CD45" s="4">
        <v>3</v>
      </c>
      <c r="CE45" s="4">
        <v>1</v>
      </c>
      <c r="CF45" s="4">
        <v>1</v>
      </c>
      <c r="CG45" s="4">
        <v>1</v>
      </c>
      <c r="CH45" s="4">
        <v>1</v>
      </c>
      <c r="CI45" s="4">
        <v>1</v>
      </c>
      <c r="CJ45" s="4">
        <v>4</v>
      </c>
      <c r="CK45" s="4">
        <v>1</v>
      </c>
      <c r="CL45" s="4">
        <v>4</v>
      </c>
      <c r="CM45" s="4">
        <v>1</v>
      </c>
      <c r="CN45" s="4">
        <v>1</v>
      </c>
      <c r="CO45" s="4">
        <v>1</v>
      </c>
      <c r="CP45" s="4">
        <v>5</v>
      </c>
      <c r="CQ45" s="4">
        <v>1</v>
      </c>
      <c r="CR45" s="4">
        <v>1</v>
      </c>
      <c r="CS45" s="4">
        <v>1</v>
      </c>
      <c r="CT45" s="4">
        <v>1</v>
      </c>
      <c r="CU45" s="4">
        <v>1</v>
      </c>
      <c r="CV45" s="4">
        <v>4</v>
      </c>
      <c r="CW45" s="4">
        <v>1</v>
      </c>
      <c r="CX45" s="4">
        <f>SUM(Foglio1!$BT45:$CW45)</f>
        <v>51</v>
      </c>
      <c r="CY45" s="4">
        <f>SUM(Foglio1!$BT45+Foglio1!$BV45+Foglio1!$CP45+Foglio1!$BY45+Foglio1!$BX45+Foglio1!$CH45+Foglio1!$CS45+Foglio1!$CW45-Foglio1!$CE45)</f>
        <v>11</v>
      </c>
      <c r="CZ45" s="4">
        <f>SUM(Foglio1!$CF45+Foglio1!$CA45+Foglio1!$CB45+Foglio1!$CD45+Foglio1!$CN45+Foglio1!$CC45+Foglio1!$CW45+Foglio1!$CO45+Foglio1!$CT45-Foglio1!$BU45)</f>
        <v>16</v>
      </c>
      <c r="DA45" s="4">
        <f>SUM(Foglio1!$CG45+Foglio1!$CR45+Foglio1!$CQ45+Foglio1!$BU45+Foglio1!$CE45+Foglio1!$CL45+Foglio1!$CS45+Foglio1!$CT45+Foglio1!$CV45+Foglio1!$CP45)</f>
        <v>20</v>
      </c>
      <c r="DB45" s="4">
        <f>SUM(Foglio1!$CU45+Foglio1!$BW45+Foglio1!$BZ45+Foglio1!$CO45+Foglio1!$BX45+Foglio1!$CC45+Foglio1!$CK45+Foglio1!$CW45)</f>
        <v>8</v>
      </c>
      <c r="DC45" s="4">
        <f>SUM(Foglio1!$CI45+Foglio1!$CM45+Foglio1!$CJ45+Foglio1!$CK45+Foglio1!$BY45+Foglio1!$CH45+Foglio1!$CV45+Foglio1!$CW45)</f>
        <v>14</v>
      </c>
      <c r="DD45" s="4">
        <v>0</v>
      </c>
      <c r="DE45" s="4">
        <v>0</v>
      </c>
      <c r="DF45" s="4">
        <v>0</v>
      </c>
      <c r="DG45" s="4">
        <v>0</v>
      </c>
      <c r="DH45" s="4">
        <v>0</v>
      </c>
      <c r="DI45" s="4">
        <v>0</v>
      </c>
      <c r="DJ45" s="4">
        <v>0</v>
      </c>
      <c r="DK45" s="4">
        <v>0</v>
      </c>
      <c r="DL45" s="4">
        <v>0</v>
      </c>
      <c r="DM45" s="4">
        <v>0</v>
      </c>
      <c r="DN45" s="4">
        <v>0</v>
      </c>
      <c r="DO45" s="4">
        <v>0</v>
      </c>
      <c r="DP45" s="4">
        <v>0</v>
      </c>
      <c r="DQ45" s="4">
        <v>0</v>
      </c>
      <c r="DR45" s="4">
        <v>0</v>
      </c>
      <c r="DS45" s="4">
        <v>0</v>
      </c>
      <c r="DT45" s="4">
        <v>0</v>
      </c>
      <c r="DU45" s="4">
        <v>0</v>
      </c>
      <c r="DV45" s="4">
        <v>0</v>
      </c>
      <c r="DW45" s="4">
        <v>0</v>
      </c>
      <c r="DX45" s="4">
        <v>0</v>
      </c>
      <c r="DY45" s="4">
        <v>3</v>
      </c>
      <c r="DZ45" s="4">
        <v>4</v>
      </c>
      <c r="EA45" s="4">
        <v>3</v>
      </c>
      <c r="EB45" s="4">
        <v>3</v>
      </c>
      <c r="EC45" s="4">
        <v>0</v>
      </c>
      <c r="ED45" s="4">
        <v>0</v>
      </c>
      <c r="EE45" s="4">
        <v>3</v>
      </c>
      <c r="EF45" s="4">
        <v>2</v>
      </c>
      <c r="EG45" s="4">
        <v>0</v>
      </c>
      <c r="EH45" s="4">
        <f>(Foglio1!$DE45+Foglio1!$DH45+Foglio1!$DG45+Foglio1!$DF45+Foglio1!$DM45+Foglio1!$DD45+Foglio1!$DO45+Foglio1!$DL45+Foglio1!$DN45+Foglio1!$DQ45+Foglio1!$DP45+Foglio1!$DT45+Foglio1!$DI45+Foglio1!$DK45+Foglio1!$DU45)</f>
        <v>0</v>
      </c>
      <c r="EI45" s="4">
        <f>(Foglio1!$EA45+Foglio1!$EB45+Foglio1!$EE45+Foglio1!$EC45+Foglio1!$ED45+Foglio1!$DZ45+Foglio1!$DY45)</f>
        <v>16</v>
      </c>
      <c r="EJ45" s="4">
        <f>(Foglio1!$DW45+Foglio1!$DV45+Foglio1!$DX45)</f>
        <v>0</v>
      </c>
      <c r="EK45" s="4">
        <f>(Foglio1!$EG45+Foglio1!$EF45)</f>
        <v>2</v>
      </c>
      <c r="EL45" s="4">
        <v>1</v>
      </c>
      <c r="EM45" s="4">
        <v>1</v>
      </c>
      <c r="EN45" s="4">
        <v>1</v>
      </c>
      <c r="EO45" s="4">
        <v>1</v>
      </c>
      <c r="EP45" s="4">
        <f t="array" ref="EP45">SUM(EL45:EO45/4)</f>
        <v>1</v>
      </c>
      <c r="EQ45" s="4">
        <v>1</v>
      </c>
      <c r="ER45" s="4">
        <v>1</v>
      </c>
      <c r="ES45" s="4">
        <v>0</v>
      </c>
      <c r="ET45" s="4">
        <v>1</v>
      </c>
      <c r="EU45" s="4" t="s">
        <v>1445</v>
      </c>
      <c r="EV45" s="4">
        <v>1</v>
      </c>
      <c r="EW45" s="4" t="s">
        <v>1446</v>
      </c>
      <c r="EX45" s="4">
        <v>1</v>
      </c>
      <c r="EY45" s="4">
        <f>(Foglio1!$EQ45+Foglio1!$ER45+Foglio1!$ES45+Foglio1!$ET45+Foglio1!$EV45+Foglio1!$EX45)/6</f>
        <v>0.83333333333333337</v>
      </c>
      <c r="EZ45" s="4">
        <v>1</v>
      </c>
      <c r="FA45" s="4">
        <v>1</v>
      </c>
      <c r="FB45" s="4">
        <v>1</v>
      </c>
      <c r="FC45" s="4">
        <f>(Foglio1!$EZ45+Foglio1!$FA45+Foglio1!$FB45)/3</f>
        <v>1</v>
      </c>
      <c r="FD45" s="4">
        <v>1</v>
      </c>
      <c r="FE45" s="4">
        <v>1</v>
      </c>
      <c r="FF45" s="4">
        <f>(Foglio1!$FD45+Foglio1!$FE45)/2</f>
        <v>1</v>
      </c>
      <c r="FG45" s="4" t="s">
        <v>1447</v>
      </c>
      <c r="FH45" s="4">
        <v>1</v>
      </c>
      <c r="FI45" s="4" t="s">
        <v>1448</v>
      </c>
      <c r="FJ45" s="4">
        <v>0</v>
      </c>
      <c r="FK45" s="4" t="s">
        <v>1449</v>
      </c>
      <c r="FL45" s="4">
        <v>1</v>
      </c>
      <c r="FM45" s="4">
        <f>(Foglio1!$FH45+Foglio1!$FJ45+Foglio1!$FL45)/3</f>
        <v>0.66666666666666663</v>
      </c>
      <c r="FN45" s="4">
        <f>(Foglio1!$EP45)</f>
        <v>1</v>
      </c>
      <c r="FO45" s="4">
        <f>(Foglio1!$EY45+Foglio1!$FC45+Foglio1!$FF45+Foglio1!$FM45)/4</f>
        <v>0.875</v>
      </c>
      <c r="FP45" s="4">
        <f>(Foglio1!$EP45+Foglio1!$EY45+Foglio1!$FC45+Foglio1!$FF45+Foglio1!$FM45)/5</f>
        <v>0.9</v>
      </c>
      <c r="FQ45" s="6">
        <v>45701</v>
      </c>
      <c r="FR45" s="4" t="s">
        <v>356</v>
      </c>
      <c r="FS45" s="4" t="s">
        <v>356</v>
      </c>
      <c r="FT45" s="4" t="s">
        <v>356</v>
      </c>
      <c r="FU45" s="4" t="s">
        <v>356</v>
      </c>
      <c r="FV45" s="4" t="s">
        <v>356</v>
      </c>
      <c r="FW45" s="4" t="s">
        <v>356</v>
      </c>
      <c r="FX45" s="4" t="s">
        <v>356</v>
      </c>
      <c r="FY45" s="4">
        <v>2</v>
      </c>
      <c r="FZ45" s="4">
        <v>2</v>
      </c>
      <c r="GA45" s="4">
        <v>6</v>
      </c>
      <c r="GB45" s="4">
        <v>61</v>
      </c>
      <c r="GC45" s="4">
        <v>0</v>
      </c>
      <c r="GD45" s="4">
        <v>1</v>
      </c>
      <c r="GE45" s="4">
        <v>0</v>
      </c>
      <c r="GF45" s="4">
        <v>0</v>
      </c>
      <c r="GG45" s="4">
        <v>0</v>
      </c>
      <c r="GH45" s="4">
        <v>1</v>
      </c>
      <c r="GI45" s="4">
        <v>0</v>
      </c>
      <c r="GJ45" s="4">
        <v>1</v>
      </c>
      <c r="GK45" s="4">
        <v>1</v>
      </c>
      <c r="GL45" s="4">
        <v>2</v>
      </c>
      <c r="GM45" s="4">
        <v>2</v>
      </c>
      <c r="GN45" s="4">
        <v>2</v>
      </c>
      <c r="GO45" s="4">
        <v>1</v>
      </c>
      <c r="GP45" s="4">
        <v>0</v>
      </c>
      <c r="GQ45" s="4">
        <v>1</v>
      </c>
      <c r="GR45" s="4">
        <v>2</v>
      </c>
      <c r="GS45" s="4">
        <v>2</v>
      </c>
      <c r="GT45" s="4">
        <v>2</v>
      </c>
      <c r="GU45" s="4">
        <v>0</v>
      </c>
      <c r="GV45" s="4">
        <v>3</v>
      </c>
      <c r="GW45" s="4">
        <v>0</v>
      </c>
      <c r="GX45" s="4">
        <v>0</v>
      </c>
      <c r="GY45" s="4">
        <v>1</v>
      </c>
      <c r="GZ45" s="4">
        <v>0</v>
      </c>
      <c r="HA45" s="4">
        <v>0</v>
      </c>
      <c r="HB45" s="4">
        <v>1</v>
      </c>
      <c r="HC45" s="4">
        <v>2</v>
      </c>
      <c r="HD45" s="4">
        <v>2</v>
      </c>
      <c r="HE45" s="4">
        <v>2</v>
      </c>
      <c r="HF45" s="4">
        <v>2</v>
      </c>
      <c r="HG45" s="4">
        <f t="shared" si="58"/>
        <v>31</v>
      </c>
      <c r="HH45" s="4">
        <f t="shared" si="59"/>
        <v>4</v>
      </c>
      <c r="HI45" s="4">
        <f t="shared" si="60"/>
        <v>10</v>
      </c>
      <c r="HJ45" s="4">
        <f t="shared" si="61"/>
        <v>9</v>
      </c>
      <c r="HK45" s="4">
        <f t="shared" si="62"/>
        <v>8</v>
      </c>
      <c r="HL45" s="4">
        <f t="shared" si="63"/>
        <v>15</v>
      </c>
      <c r="HM45" s="4">
        <v>0</v>
      </c>
      <c r="HN45" s="4">
        <v>0</v>
      </c>
      <c r="HO45" s="4">
        <v>0</v>
      </c>
      <c r="HP45" s="4">
        <v>0</v>
      </c>
      <c r="HQ45" s="4">
        <v>0</v>
      </c>
      <c r="HR45" s="4">
        <v>0</v>
      </c>
      <c r="HS45" s="4">
        <v>0</v>
      </c>
      <c r="HT45" s="4">
        <v>0</v>
      </c>
      <c r="HU45" s="4">
        <v>0</v>
      </c>
      <c r="HV45" s="4">
        <v>0</v>
      </c>
      <c r="HW45" s="4">
        <v>0</v>
      </c>
      <c r="HX45" s="4">
        <v>0</v>
      </c>
      <c r="HY45" s="4">
        <v>0</v>
      </c>
      <c r="HZ45" s="4">
        <v>0</v>
      </c>
      <c r="IA45" s="4">
        <v>0</v>
      </c>
      <c r="IB45" s="4">
        <v>0</v>
      </c>
      <c r="IC45" s="4">
        <v>0</v>
      </c>
      <c r="ID45" s="4">
        <v>0</v>
      </c>
      <c r="IE45" s="4">
        <v>1</v>
      </c>
      <c r="IF45" s="4">
        <v>0</v>
      </c>
      <c r="IG45" s="4">
        <v>0</v>
      </c>
      <c r="IH45" s="4">
        <v>0</v>
      </c>
      <c r="II45" s="4">
        <v>4</v>
      </c>
      <c r="IJ45" s="4">
        <v>4</v>
      </c>
      <c r="IK45" s="4">
        <v>0</v>
      </c>
      <c r="IL45" s="4">
        <v>0</v>
      </c>
      <c r="IM45" s="4">
        <v>0</v>
      </c>
      <c r="IN45" s="4">
        <v>4</v>
      </c>
      <c r="IO45" s="4">
        <v>4</v>
      </c>
      <c r="IP45" s="4">
        <v>4</v>
      </c>
      <c r="IQ45" s="4">
        <f t="shared" si="64"/>
        <v>0</v>
      </c>
      <c r="IR45" s="4">
        <f t="shared" si="65"/>
        <v>12</v>
      </c>
      <c r="IS45" s="4">
        <f t="shared" si="66"/>
        <v>1</v>
      </c>
      <c r="IT45" s="4">
        <f t="shared" si="67"/>
        <v>8</v>
      </c>
      <c r="IU45" s="4" t="s">
        <v>383</v>
      </c>
      <c r="IV45" s="4" t="s">
        <v>383</v>
      </c>
      <c r="IW45" s="4" t="s">
        <v>383</v>
      </c>
      <c r="IX45" s="4" t="s">
        <v>383</v>
      </c>
      <c r="IY45" s="4">
        <v>1</v>
      </c>
      <c r="IZ45" s="4">
        <v>1</v>
      </c>
      <c r="JA45" s="4">
        <v>1</v>
      </c>
      <c r="JB45" s="4">
        <v>1</v>
      </c>
      <c r="JC45" s="4">
        <f>(Foglio1!$IY45+Foglio1!$IZ45+Foglio1!$JA45+Foglio1!$JB45)/4</f>
        <v>1</v>
      </c>
      <c r="JD45" s="4">
        <v>1</v>
      </c>
      <c r="JE45" s="4">
        <v>0</v>
      </c>
      <c r="JF45" s="4">
        <v>1</v>
      </c>
      <c r="JG45" s="4">
        <v>1</v>
      </c>
      <c r="JH45" s="4" t="s">
        <v>1450</v>
      </c>
      <c r="JI45" s="4">
        <v>1</v>
      </c>
      <c r="JJ45" s="4" t="s">
        <v>1451</v>
      </c>
      <c r="JK45" s="4">
        <v>0</v>
      </c>
      <c r="JL45" s="4">
        <f>(Foglio1!$JD45+Foglio1!$JE45+Foglio1!$JF45+Foglio1!$JG45+Foglio1!$JI45+Foglio1!$JK45)/6</f>
        <v>0.66666666666666663</v>
      </c>
      <c r="JM45" s="4">
        <v>1</v>
      </c>
      <c r="JN45" s="4">
        <v>1</v>
      </c>
      <c r="JO45" s="4">
        <v>1</v>
      </c>
      <c r="JP45" s="4">
        <f>(Foglio1!$JM45+Foglio1!$JN45+Foglio1!$JO45)/3</f>
        <v>1</v>
      </c>
      <c r="JQ45" s="4">
        <v>1</v>
      </c>
      <c r="JR45" s="4">
        <v>0</v>
      </c>
      <c r="JS45" s="4">
        <f>(Foglio1!$JQ45+Foglio1!$JR45)/2</f>
        <v>0.5</v>
      </c>
      <c r="JT45" s="4" t="s">
        <v>1452</v>
      </c>
      <c r="JU45" s="4">
        <v>0</v>
      </c>
      <c r="JV45" s="4" t="s">
        <v>1453</v>
      </c>
      <c r="JW45" s="4">
        <v>1</v>
      </c>
      <c r="JX45" s="4" t="s">
        <v>1454</v>
      </c>
      <c r="JY45" s="4">
        <v>1</v>
      </c>
      <c r="JZ45" s="4">
        <f>(Foglio1!$JU45+Foglio1!$JW45+Foglio1!$JY45)/3</f>
        <v>0.66666666666666663</v>
      </c>
      <c r="KA45" s="4">
        <f>(Foglio1!$JC45)</f>
        <v>1</v>
      </c>
      <c r="KB45" s="4">
        <f>(Foglio1!$JL45+Foglio1!$JP45+Foglio1!$JS45+Foglio1!$JZ45)/4</f>
        <v>0.70833333333333326</v>
      </c>
      <c r="KC45" s="4">
        <f>(Foglio1!$JC45+Foglio1!$JL45+Foglio1!$JP45+Foglio1!$JS45+Foglio1!$JZ45)/5</f>
        <v>0.76666666666666661</v>
      </c>
      <c r="KD45" s="4" t="s">
        <v>1455</v>
      </c>
      <c r="KE45" s="4">
        <v>1</v>
      </c>
      <c r="KF45" s="4">
        <v>1</v>
      </c>
      <c r="KG45" s="4" t="s">
        <v>1456</v>
      </c>
      <c r="KH45" s="4">
        <v>2</v>
      </c>
      <c r="KI45" s="4">
        <v>1</v>
      </c>
      <c r="KJ45" s="4" t="s">
        <v>1457</v>
      </c>
      <c r="KK45" s="4">
        <v>2</v>
      </c>
      <c r="KL45" s="4">
        <v>3</v>
      </c>
      <c r="KM45" s="4" t="s">
        <v>1458</v>
      </c>
      <c r="KN45" s="4">
        <v>2</v>
      </c>
      <c r="KO45" s="4">
        <v>1</v>
      </c>
      <c r="KP45" s="4" t="s">
        <v>1459</v>
      </c>
      <c r="KQ45" s="4">
        <v>1</v>
      </c>
      <c r="KR45" s="4">
        <v>2</v>
      </c>
      <c r="KS45" s="4" t="s">
        <v>1460</v>
      </c>
      <c r="KT45" s="4">
        <v>2</v>
      </c>
      <c r="KU45" s="4">
        <v>1</v>
      </c>
      <c r="KV45" s="4" t="s">
        <v>1461</v>
      </c>
      <c r="KW45" s="4">
        <v>1</v>
      </c>
      <c r="KX45" s="4">
        <v>1</v>
      </c>
      <c r="KY45" s="4" t="s">
        <v>1462</v>
      </c>
      <c r="KZ45" s="4">
        <v>0</v>
      </c>
      <c r="LA45" s="4">
        <v>2</v>
      </c>
      <c r="LB45" s="4" t="s">
        <v>1463</v>
      </c>
      <c r="LC45" s="4">
        <v>2</v>
      </c>
      <c r="LD45" s="4">
        <v>1</v>
      </c>
      <c r="LE45" s="4" t="s">
        <v>1464</v>
      </c>
      <c r="LF45" s="4">
        <v>0</v>
      </c>
      <c r="LG45" s="4">
        <v>2</v>
      </c>
      <c r="LH45" s="4" t="s">
        <v>1465</v>
      </c>
      <c r="LI45" s="4">
        <v>0</v>
      </c>
      <c r="LJ45" s="4">
        <v>1</v>
      </c>
      <c r="LK45" s="4" t="s">
        <v>1466</v>
      </c>
      <c r="LL45" s="4">
        <v>2</v>
      </c>
      <c r="LM45" s="4">
        <v>3</v>
      </c>
      <c r="LN45" s="4" t="s">
        <v>1467</v>
      </c>
      <c r="LO45" s="4">
        <v>1</v>
      </c>
      <c r="LP45" s="4">
        <v>1</v>
      </c>
      <c r="LQ45" s="4" t="s">
        <v>1468</v>
      </c>
      <c r="LR45" s="4">
        <v>0</v>
      </c>
      <c r="LS45" s="4">
        <v>2</v>
      </c>
      <c r="LT45" s="4">
        <f>(Foglio1!$KE45+Foglio1!$KH45+Foglio1!$KK45+Foglio1!$KN45+Foglio1!$KQ45+Foglio1!$KT45+Foglio1!$KW45+Foglio1!$KZ45+Foglio1!$LC45+Foglio1!$LF45+Foglio1!$LI45+Foglio1!$LL45+Foglio1!$LO45+Foglio1!$LR45)</f>
        <v>16</v>
      </c>
      <c r="LU45" s="4">
        <f>(Foglio1!$KI45+Foglio1!$KF45+Foglio1!$KL45+Foglio1!$KO45+Foglio1!$KR45+Foglio1!$KU45+Foglio1!$KX45+Foglio1!$LA45+Foglio1!$LD45+Foglio1!$LG45+Foglio1!$LJ45+Foglio1!$LM45+Foglio1!$LP45+Foglio1!$LS45)</f>
        <v>22</v>
      </c>
      <c r="LV45" s="4">
        <v>41</v>
      </c>
      <c r="LW45" s="4">
        <v>47</v>
      </c>
      <c r="LX45" s="4">
        <v>22</v>
      </c>
      <c r="LY45" s="4">
        <v>31</v>
      </c>
      <c r="LZ45" s="3">
        <v>0</v>
      </c>
      <c r="MA45" s="3">
        <v>6</v>
      </c>
      <c r="MB45" s="3">
        <v>1</v>
      </c>
      <c r="MC45" s="3">
        <v>3</v>
      </c>
      <c r="MD45" s="3">
        <f t="shared" si="7"/>
        <v>10</v>
      </c>
      <c r="ME45" s="3">
        <v>0</v>
      </c>
      <c r="MF45" s="3">
        <v>2</v>
      </c>
      <c r="MG45" s="3">
        <v>0</v>
      </c>
      <c r="MH45" s="3">
        <v>1</v>
      </c>
      <c r="MI45" s="3">
        <f t="shared" si="8"/>
        <v>3</v>
      </c>
    </row>
    <row r="46" spans="1:347" ht="15.75" customHeight="1" x14ac:dyDescent="0.25">
      <c r="A46" s="4" t="s">
        <v>1469</v>
      </c>
      <c r="B46" s="4">
        <v>60</v>
      </c>
      <c r="C46" s="4" t="s">
        <v>349</v>
      </c>
      <c r="D46" s="4">
        <v>13</v>
      </c>
      <c r="E46" s="4">
        <v>0</v>
      </c>
      <c r="F46" s="4" t="s">
        <v>350</v>
      </c>
      <c r="G46" s="4" t="s">
        <v>356</v>
      </c>
      <c r="H46" s="4" t="s">
        <v>1470</v>
      </c>
      <c r="I46" s="4" t="s">
        <v>1471</v>
      </c>
      <c r="J46" s="4"/>
      <c r="K46" s="4"/>
      <c r="L46" s="5" t="s">
        <v>356</v>
      </c>
      <c r="M46" s="4" t="s">
        <v>449</v>
      </c>
      <c r="N46" s="4" t="s">
        <v>1472</v>
      </c>
      <c r="O46" s="9">
        <v>45875</v>
      </c>
      <c r="P46" s="9">
        <v>45910</v>
      </c>
      <c r="Q46" s="4" t="s">
        <v>359</v>
      </c>
      <c r="R46" s="4"/>
      <c r="S46" s="4"/>
      <c r="T46" s="4" t="s">
        <v>360</v>
      </c>
      <c r="U46" s="4"/>
      <c r="V46" s="4" t="s">
        <v>408</v>
      </c>
      <c r="W46" s="4" t="s">
        <v>1473</v>
      </c>
      <c r="X46" s="4" t="s">
        <v>362</v>
      </c>
      <c r="Y46" s="4" t="s">
        <v>454</v>
      </c>
      <c r="Z46" s="4" t="s">
        <v>365</v>
      </c>
      <c r="AA46" s="4"/>
      <c r="AB46" s="4"/>
      <c r="AC46" s="4"/>
      <c r="AD46" s="4"/>
      <c r="AE46" s="4"/>
      <c r="AF46" s="4"/>
      <c r="AG46" s="4"/>
      <c r="AH46" s="4" t="s">
        <v>489</v>
      </c>
      <c r="AI46" s="4" t="s">
        <v>1474</v>
      </c>
      <c r="AJ46" s="4" t="s">
        <v>915</v>
      </c>
      <c r="AK46" s="4" t="s">
        <v>1475</v>
      </c>
      <c r="AL46" s="4" t="s">
        <v>365</v>
      </c>
      <c r="AM46" s="4" t="s">
        <v>1476</v>
      </c>
      <c r="AN46" s="5" t="s">
        <v>356</v>
      </c>
      <c r="AO46" s="5" t="s">
        <v>356</v>
      </c>
      <c r="AP46" s="5" t="s">
        <v>356</v>
      </c>
      <c r="AQ46" s="5" t="s">
        <v>356</v>
      </c>
      <c r="AR46" s="5" t="s">
        <v>356</v>
      </c>
      <c r="AS46" s="5" t="s">
        <v>356</v>
      </c>
      <c r="AT46" s="5" t="s">
        <v>356</v>
      </c>
      <c r="AU46" s="5" t="s">
        <v>356</v>
      </c>
      <c r="AV46" s="5" t="s">
        <v>356</v>
      </c>
      <c r="AW46" s="5" t="s">
        <v>356</v>
      </c>
      <c r="AX46" s="4">
        <v>3</v>
      </c>
      <c r="AY46" s="4"/>
      <c r="AZ46" s="5" t="s">
        <v>383</v>
      </c>
      <c r="BA46" s="4">
        <f t="shared" si="68"/>
        <v>35</v>
      </c>
      <c r="BB46" s="4"/>
      <c r="BC46" s="4" t="s">
        <v>360</v>
      </c>
      <c r="BD46" s="4"/>
      <c r="BE46" s="4"/>
      <c r="BF46" s="4"/>
      <c r="BG46" s="4" t="s">
        <v>383</v>
      </c>
      <c r="BH46" s="4" t="s">
        <v>356</v>
      </c>
      <c r="BI46" s="4" t="s">
        <v>356</v>
      </c>
      <c r="BJ46" s="4" t="s">
        <v>356</v>
      </c>
      <c r="BK46" s="4" t="s">
        <v>356</v>
      </c>
      <c r="BL46" s="4" t="s">
        <v>356</v>
      </c>
      <c r="BM46" s="4" t="s">
        <v>356</v>
      </c>
      <c r="BN46" s="4" t="s">
        <v>356</v>
      </c>
      <c r="BO46" s="4" t="s">
        <v>356</v>
      </c>
      <c r="BP46" s="4">
        <v>4</v>
      </c>
      <c r="BQ46" s="4">
        <v>4</v>
      </c>
      <c r="BR46" s="4">
        <v>9</v>
      </c>
      <c r="BS46" s="4">
        <v>50</v>
      </c>
      <c r="BT46" s="4">
        <v>3</v>
      </c>
      <c r="BU46" s="4">
        <v>3</v>
      </c>
      <c r="BV46" s="4">
        <v>2</v>
      </c>
      <c r="BW46" s="4">
        <v>1</v>
      </c>
      <c r="BX46" s="4">
        <v>1</v>
      </c>
      <c r="BY46" s="4">
        <v>6</v>
      </c>
      <c r="BZ46" s="4">
        <v>5</v>
      </c>
      <c r="CA46" s="4">
        <v>6</v>
      </c>
      <c r="CB46" s="4">
        <v>6</v>
      </c>
      <c r="CC46" s="4">
        <v>6</v>
      </c>
      <c r="CD46" s="4">
        <v>6</v>
      </c>
      <c r="CE46" s="4">
        <v>4</v>
      </c>
      <c r="CF46" s="4">
        <v>4</v>
      </c>
      <c r="CG46" s="4">
        <v>2</v>
      </c>
      <c r="CH46" s="4">
        <v>2</v>
      </c>
      <c r="CI46" s="4">
        <v>2</v>
      </c>
      <c r="CJ46" s="4">
        <v>3</v>
      </c>
      <c r="CK46" s="4">
        <v>2</v>
      </c>
      <c r="CL46" s="4">
        <v>2</v>
      </c>
      <c r="CM46" s="4">
        <v>5</v>
      </c>
      <c r="CN46" s="4">
        <v>4</v>
      </c>
      <c r="CO46" s="4">
        <v>4</v>
      </c>
      <c r="CP46" s="4">
        <v>3</v>
      </c>
      <c r="CQ46" s="4">
        <v>2</v>
      </c>
      <c r="CR46" s="4">
        <v>2</v>
      </c>
      <c r="CS46" s="4">
        <v>2</v>
      </c>
      <c r="CT46" s="4">
        <v>2</v>
      </c>
      <c r="CU46" s="4">
        <v>2</v>
      </c>
      <c r="CV46" s="4">
        <v>3</v>
      </c>
      <c r="CW46" s="4">
        <v>6</v>
      </c>
      <c r="CX46" s="4">
        <f>SUM(Foglio1!$BT46:$CW46)</f>
        <v>101</v>
      </c>
      <c r="CY46" s="4">
        <f>SUM(Foglio1!$BT46+Foglio1!$BV46+Foglio1!$CP46+Foglio1!$BY46+Foglio1!$BX46+Foglio1!$CH46+Foglio1!$CS46+Foglio1!$CW46-Foglio1!$CE46)</f>
        <v>21</v>
      </c>
      <c r="CZ46" s="4">
        <f>SUM(Foglio1!$CF46+Foglio1!$CA46+Foglio1!$CB46+Foglio1!$CD46+Foglio1!$CN46+Foglio1!$CC46+Foglio1!$CW46+Foglio1!$CO46+Foglio1!$CT46-Foglio1!$BU46)</f>
        <v>41</v>
      </c>
      <c r="DA46" s="4">
        <f>SUM(Foglio1!$CG46+Foglio1!$CR46+Foglio1!$CQ46+Foglio1!$BU46+Foglio1!$CE46+Foglio1!$CL46+Foglio1!$CS46+Foglio1!$CT46+Foglio1!$CV46+Foglio1!$CP46)</f>
        <v>25</v>
      </c>
      <c r="DB46" s="4">
        <f>SUM(Foglio1!$CU46+Foglio1!$BW46+Foglio1!$BZ46+Foglio1!$CO46+Foglio1!$BX46+Foglio1!$CC46+Foglio1!$CK46+Foglio1!$CW46)</f>
        <v>27</v>
      </c>
      <c r="DC46" s="4">
        <f>SUM(Foglio1!$CI46+Foglio1!$CM46+Foglio1!$CJ46+Foglio1!$CK46+Foglio1!$BY46+Foglio1!$CH46+Foglio1!$CV46+Foglio1!$CW46)</f>
        <v>29</v>
      </c>
      <c r="DD46" s="4">
        <v>0</v>
      </c>
      <c r="DE46" s="4">
        <v>0</v>
      </c>
      <c r="DF46" s="4">
        <v>0</v>
      </c>
      <c r="DG46" s="4">
        <v>0</v>
      </c>
      <c r="DH46" s="4">
        <v>0</v>
      </c>
      <c r="DI46" s="4">
        <v>0</v>
      </c>
      <c r="DJ46" s="4">
        <v>0</v>
      </c>
      <c r="DK46" s="4">
        <v>0</v>
      </c>
      <c r="DL46" s="4">
        <v>0</v>
      </c>
      <c r="DM46" s="4">
        <v>0</v>
      </c>
      <c r="DN46" s="4">
        <v>0</v>
      </c>
      <c r="DO46" s="4">
        <v>0</v>
      </c>
      <c r="DP46" s="4">
        <v>0</v>
      </c>
      <c r="DQ46" s="4">
        <v>0</v>
      </c>
      <c r="DR46" s="4">
        <v>0</v>
      </c>
      <c r="DS46" s="4">
        <v>0</v>
      </c>
      <c r="DT46" s="4">
        <v>2</v>
      </c>
      <c r="DU46" s="4">
        <v>0</v>
      </c>
      <c r="DV46" s="4">
        <v>0</v>
      </c>
      <c r="DW46" s="4">
        <v>2</v>
      </c>
      <c r="DX46" s="4">
        <v>1</v>
      </c>
      <c r="DY46" s="4">
        <v>0</v>
      </c>
      <c r="DZ46" s="4">
        <v>1</v>
      </c>
      <c r="EA46" s="4">
        <v>0</v>
      </c>
      <c r="EB46" s="4">
        <v>0</v>
      </c>
      <c r="EC46" s="4">
        <v>0</v>
      </c>
      <c r="ED46" s="4">
        <v>0</v>
      </c>
      <c r="EE46" s="4">
        <v>0</v>
      </c>
      <c r="EF46" s="4">
        <v>0</v>
      </c>
      <c r="EG46" s="4">
        <v>0</v>
      </c>
      <c r="EH46" s="4">
        <f>(Foglio1!$DE46+Foglio1!$DH46+Foglio1!$DG46+Foglio1!$DF46+Foglio1!$DM46+Foglio1!$DD46+Foglio1!$DO46+Foglio1!$DL46+Foglio1!$DN46+Foglio1!$DQ46+Foglio1!$DP46+Foglio1!$DT46+Foglio1!$DI46+Foglio1!$DK46+Foglio1!$DU46)</f>
        <v>2</v>
      </c>
      <c r="EI46" s="4">
        <f>(Foglio1!$EA46+Foglio1!$EB46+Foglio1!$EE46+Foglio1!$EC46+Foglio1!$ED46+Foglio1!$DZ46+Foglio1!$DY46)</f>
        <v>1</v>
      </c>
      <c r="EJ46" s="4">
        <f>(Foglio1!$DW46+Foglio1!$DV46+Foglio1!$DX46)</f>
        <v>3</v>
      </c>
      <c r="EK46" s="4">
        <f>(Foglio1!$EG46+Foglio1!$EF46)</f>
        <v>0</v>
      </c>
      <c r="EL46" s="4">
        <v>0</v>
      </c>
      <c r="EM46" s="4">
        <v>1</v>
      </c>
      <c r="EN46" s="4">
        <v>1</v>
      </c>
      <c r="EO46" s="4">
        <v>1</v>
      </c>
      <c r="EP46" s="4">
        <f t="array" ref="EP46">SUM(EL46:EO46/4)</f>
        <v>0.75</v>
      </c>
      <c r="EQ46" s="4">
        <v>1</v>
      </c>
      <c r="ER46" s="4">
        <v>0</v>
      </c>
      <c r="ES46" s="4">
        <v>1</v>
      </c>
      <c r="ET46" s="4">
        <v>1</v>
      </c>
      <c r="EU46" s="4" t="s">
        <v>383</v>
      </c>
      <c r="EV46" s="4">
        <v>0</v>
      </c>
      <c r="EW46" s="4" t="s">
        <v>383</v>
      </c>
      <c r="EX46" s="4">
        <v>0</v>
      </c>
      <c r="EY46" s="4">
        <f>(Foglio1!$EQ46+Foglio1!$ER46+Foglio1!$ES46+Foglio1!$ET46+Foglio1!$EV46+Foglio1!$EX46)/6</f>
        <v>0.5</v>
      </c>
      <c r="EZ46" s="4">
        <v>1</v>
      </c>
      <c r="FA46" s="4">
        <v>1</v>
      </c>
      <c r="FB46" s="4">
        <v>1</v>
      </c>
      <c r="FC46" s="4">
        <f>(Foglio1!$EZ46+Foglio1!$FA46+Foglio1!$FB46)/3</f>
        <v>1</v>
      </c>
      <c r="FD46" s="4">
        <v>1</v>
      </c>
      <c r="FE46" s="4">
        <v>1</v>
      </c>
      <c r="FF46" s="4">
        <f>(Foglio1!$FD46+Foglio1!$FE46)/2</f>
        <v>1</v>
      </c>
      <c r="FG46" s="4" t="s">
        <v>383</v>
      </c>
      <c r="FH46" s="4">
        <v>0</v>
      </c>
      <c r="FI46" s="4" t="s">
        <v>383</v>
      </c>
      <c r="FJ46" s="4">
        <v>0</v>
      </c>
      <c r="FK46" s="4" t="s">
        <v>383</v>
      </c>
      <c r="FL46" s="4">
        <v>0</v>
      </c>
      <c r="FM46" s="4">
        <f>(Foglio1!$FH46+Foglio1!$FJ46+Foglio1!$FL46)/3</f>
        <v>0</v>
      </c>
      <c r="FN46" s="4">
        <f>(Foglio1!$EP46)</f>
        <v>0.75</v>
      </c>
      <c r="FO46" s="4">
        <f>(Foglio1!$EY46+Foglio1!$FC46+Foglio1!$FF46+Foglio1!$FM46)/4</f>
        <v>0.625</v>
      </c>
      <c r="FP46" s="4">
        <f>(Foglio1!$EP46+Foglio1!$EY46+Foglio1!$FC46+Foglio1!$FF46+Foglio1!$FM46)/5</f>
        <v>0.65</v>
      </c>
      <c r="FQ46" s="4"/>
      <c r="FR46" s="4" t="s">
        <v>356</v>
      </c>
      <c r="FS46" s="4" t="s">
        <v>356</v>
      </c>
      <c r="FT46" s="4" t="s">
        <v>356</v>
      </c>
      <c r="FU46" s="4" t="s">
        <v>356</v>
      </c>
      <c r="FV46" s="4" t="s">
        <v>356</v>
      </c>
      <c r="FW46" s="4" t="s">
        <v>356</v>
      </c>
      <c r="FX46" s="4" t="s">
        <v>356</v>
      </c>
      <c r="FY46" s="4">
        <v>2</v>
      </c>
      <c r="FZ46" s="4">
        <v>2</v>
      </c>
      <c r="GA46" s="4">
        <v>6</v>
      </c>
      <c r="GB46" s="4">
        <v>60</v>
      </c>
      <c r="GC46" s="4">
        <v>2</v>
      </c>
      <c r="GD46" s="4">
        <v>2</v>
      </c>
      <c r="GE46" s="4">
        <v>2</v>
      </c>
      <c r="GF46" s="4">
        <v>1</v>
      </c>
      <c r="GG46" s="4">
        <v>1</v>
      </c>
      <c r="GH46" s="4">
        <v>3</v>
      </c>
      <c r="GI46" s="4">
        <v>3</v>
      </c>
      <c r="GJ46" s="4">
        <v>3</v>
      </c>
      <c r="GK46" s="4">
        <v>3</v>
      </c>
      <c r="GL46" s="4">
        <v>3</v>
      </c>
      <c r="GM46" s="4">
        <v>3</v>
      </c>
      <c r="GN46" s="4">
        <v>1</v>
      </c>
      <c r="GO46" s="4">
        <v>2</v>
      </c>
      <c r="GP46" s="4">
        <v>1</v>
      </c>
      <c r="GQ46" s="4">
        <v>1</v>
      </c>
      <c r="GR46" s="4">
        <v>1</v>
      </c>
      <c r="GS46" s="4">
        <v>2</v>
      </c>
      <c r="GT46" s="4">
        <v>1</v>
      </c>
      <c r="GU46" s="4">
        <v>1</v>
      </c>
      <c r="GV46" s="4">
        <v>4</v>
      </c>
      <c r="GW46" s="4">
        <v>3</v>
      </c>
      <c r="GX46" s="4">
        <v>3</v>
      </c>
      <c r="GY46" s="4">
        <v>2</v>
      </c>
      <c r="GZ46" s="4">
        <v>1</v>
      </c>
      <c r="HA46" s="4">
        <v>1</v>
      </c>
      <c r="HB46" s="4">
        <v>1</v>
      </c>
      <c r="HC46" s="4">
        <v>1</v>
      </c>
      <c r="HD46" s="4">
        <v>1</v>
      </c>
      <c r="HE46" s="4">
        <v>1</v>
      </c>
      <c r="HF46" s="4">
        <v>4</v>
      </c>
      <c r="HG46" s="4">
        <f t="shared" si="58"/>
        <v>58</v>
      </c>
      <c r="HH46" s="4">
        <f t="shared" si="59"/>
        <v>15</v>
      </c>
      <c r="HI46" s="4">
        <f t="shared" si="60"/>
        <v>23</v>
      </c>
      <c r="HJ46" s="4">
        <f t="shared" si="61"/>
        <v>12</v>
      </c>
      <c r="HK46" s="4">
        <f t="shared" si="62"/>
        <v>17</v>
      </c>
      <c r="HL46" s="4">
        <f t="shared" si="63"/>
        <v>17</v>
      </c>
      <c r="HM46" s="4">
        <v>0</v>
      </c>
      <c r="HN46" s="4">
        <v>0</v>
      </c>
      <c r="HO46" s="4">
        <v>0</v>
      </c>
      <c r="HP46" s="4">
        <v>0</v>
      </c>
      <c r="HQ46" s="4">
        <v>0</v>
      </c>
      <c r="HR46" s="4">
        <v>0</v>
      </c>
      <c r="HS46" s="4">
        <v>0</v>
      </c>
      <c r="HT46" s="4">
        <v>0</v>
      </c>
      <c r="HU46" s="4">
        <v>0</v>
      </c>
      <c r="HV46" s="4">
        <v>0</v>
      </c>
      <c r="HW46" s="4">
        <v>0</v>
      </c>
      <c r="HX46" s="4">
        <v>0</v>
      </c>
      <c r="HY46" s="4">
        <v>0</v>
      </c>
      <c r="HZ46" s="4">
        <v>0</v>
      </c>
      <c r="IA46" s="4">
        <v>0</v>
      </c>
      <c r="IB46" s="4">
        <v>0</v>
      </c>
      <c r="IC46" s="4">
        <v>2</v>
      </c>
      <c r="ID46" s="4">
        <v>0</v>
      </c>
      <c r="IE46" s="4">
        <v>1</v>
      </c>
      <c r="IF46" s="4">
        <v>0</v>
      </c>
      <c r="IG46" s="4">
        <v>0</v>
      </c>
      <c r="IH46" s="4">
        <v>0</v>
      </c>
      <c r="II46" s="4">
        <v>0</v>
      </c>
      <c r="IJ46" s="4">
        <v>0</v>
      </c>
      <c r="IK46" s="4">
        <v>0</v>
      </c>
      <c r="IL46" s="4">
        <v>0</v>
      </c>
      <c r="IM46" s="4">
        <v>0</v>
      </c>
      <c r="IN46" s="4">
        <v>0</v>
      </c>
      <c r="IO46" s="4">
        <v>0</v>
      </c>
      <c r="IP46" s="4">
        <v>0</v>
      </c>
      <c r="IQ46" s="4">
        <f t="shared" si="64"/>
        <v>2</v>
      </c>
      <c r="IR46" s="4">
        <f t="shared" si="65"/>
        <v>0</v>
      </c>
      <c r="IS46" s="4">
        <f t="shared" si="66"/>
        <v>1</v>
      </c>
      <c r="IT46" s="4">
        <f t="shared" si="67"/>
        <v>0</v>
      </c>
      <c r="IU46" s="4" t="s">
        <v>383</v>
      </c>
      <c r="IV46" s="4" t="s">
        <v>383</v>
      </c>
      <c r="IW46" s="4" t="s">
        <v>383</v>
      </c>
      <c r="IX46" s="4" t="s">
        <v>383</v>
      </c>
      <c r="IY46" s="4">
        <v>0</v>
      </c>
      <c r="IZ46" s="4">
        <v>0</v>
      </c>
      <c r="JA46" s="4">
        <v>0</v>
      </c>
      <c r="JB46" s="4">
        <v>0</v>
      </c>
      <c r="JC46" s="4">
        <f>(Foglio1!$IY46+Foglio1!$IZ46+Foglio1!$JA46+Foglio1!$JB46)/4</f>
        <v>0</v>
      </c>
      <c r="JD46" s="4">
        <v>1</v>
      </c>
      <c r="JE46" s="4">
        <v>0</v>
      </c>
      <c r="JF46" s="4">
        <v>1</v>
      </c>
      <c r="JG46" s="4">
        <v>0</v>
      </c>
      <c r="JH46" s="4"/>
      <c r="JI46" s="4">
        <v>0</v>
      </c>
      <c r="JJ46" s="4"/>
      <c r="JK46" s="4">
        <v>0</v>
      </c>
      <c r="JL46" s="4">
        <f>(Foglio1!$JD46+Foglio1!$JE46+Foglio1!$JF46+Foglio1!$JG46+Foglio1!$JI46+Foglio1!$JK46)/6</f>
        <v>0.33333333333333331</v>
      </c>
      <c r="JM46" s="4">
        <v>1</v>
      </c>
      <c r="JN46" s="4">
        <v>1</v>
      </c>
      <c r="JO46" s="4">
        <v>1</v>
      </c>
      <c r="JP46" s="4">
        <f>(Foglio1!$JM46+Foglio1!$JN46+Foglio1!$JO46)/3</f>
        <v>1</v>
      </c>
      <c r="JQ46" s="4">
        <v>1</v>
      </c>
      <c r="JR46" s="4">
        <v>1</v>
      </c>
      <c r="JS46" s="4">
        <f>(Foglio1!$JQ46+Foglio1!$JR46)/2</f>
        <v>1</v>
      </c>
      <c r="JT46" s="4"/>
      <c r="JU46" s="4">
        <v>0</v>
      </c>
      <c r="JV46" s="4"/>
      <c r="JW46" s="4">
        <v>1</v>
      </c>
      <c r="JX46" s="4"/>
      <c r="JY46" s="4">
        <v>1</v>
      </c>
      <c r="JZ46" s="4">
        <f>(Foglio1!$JU46+Foglio1!$JW46+Foglio1!$JY46)/3</f>
        <v>0.66666666666666663</v>
      </c>
      <c r="KA46" s="4">
        <f>(Foglio1!$JC46)</f>
        <v>0</v>
      </c>
      <c r="KB46" s="4">
        <f>(Foglio1!$JL46+Foglio1!$JP46+Foglio1!$JS46+Foglio1!$JZ46)/4</f>
        <v>0.74999999999999989</v>
      </c>
      <c r="KC46" s="4">
        <f>(Foglio1!$JC46+Foglio1!$JL46+Foglio1!$JP46+Foglio1!$JS46+Foglio1!$JZ46)/5</f>
        <v>0.59999999999999987</v>
      </c>
      <c r="KD46" s="4"/>
      <c r="KE46" s="4">
        <v>0</v>
      </c>
      <c r="KF46" s="4">
        <v>1</v>
      </c>
      <c r="KG46" s="4"/>
      <c r="KH46" s="4">
        <v>0</v>
      </c>
      <c r="KI46" s="4">
        <v>0</v>
      </c>
      <c r="KJ46" s="4"/>
      <c r="KK46" s="4">
        <v>0</v>
      </c>
      <c r="KL46" s="4">
        <v>1</v>
      </c>
      <c r="KM46" s="4"/>
      <c r="KN46" s="4">
        <v>0</v>
      </c>
      <c r="KO46" s="4">
        <v>1</v>
      </c>
      <c r="KP46" s="4"/>
      <c r="KQ46" s="4">
        <v>0</v>
      </c>
      <c r="KR46" s="4">
        <v>1</v>
      </c>
      <c r="KS46" s="4"/>
      <c r="KT46" s="4">
        <v>2</v>
      </c>
      <c r="KU46" s="4">
        <v>1</v>
      </c>
      <c r="KV46" s="4"/>
      <c r="KW46" s="4">
        <v>0</v>
      </c>
      <c r="KX46" s="4">
        <v>1</v>
      </c>
      <c r="KY46" s="4"/>
      <c r="KZ46" s="4">
        <v>0</v>
      </c>
      <c r="LA46" s="4">
        <v>0</v>
      </c>
      <c r="LB46" s="4"/>
      <c r="LC46" s="4">
        <v>2</v>
      </c>
      <c r="LD46" s="4">
        <v>1</v>
      </c>
      <c r="LE46" s="4"/>
      <c r="LF46" s="4">
        <v>0</v>
      </c>
      <c r="LG46" s="4">
        <v>2</v>
      </c>
      <c r="LH46" s="4"/>
      <c r="LI46" s="4">
        <v>2</v>
      </c>
      <c r="LJ46" s="4">
        <v>1</v>
      </c>
      <c r="LK46" s="4"/>
      <c r="LL46" s="4">
        <v>2</v>
      </c>
      <c r="LM46" s="4">
        <v>2</v>
      </c>
      <c r="LN46" s="4"/>
      <c r="LO46" s="4">
        <v>2</v>
      </c>
      <c r="LP46" s="4">
        <v>1</v>
      </c>
      <c r="LQ46" s="4"/>
      <c r="LR46" s="4">
        <v>2</v>
      </c>
      <c r="LS46" s="4">
        <v>2</v>
      </c>
      <c r="LT46" s="4">
        <f>(Foglio1!$KE46+Foglio1!$KH46+Foglio1!$KK46+Foglio1!$KN46+Foglio1!$KQ46+Foglio1!$KT46+Foglio1!$KW46+Foglio1!$KZ46+Foglio1!$LC46+Foglio1!$LF46+Foglio1!$LI46+Foglio1!$LL46+Foglio1!$LO46+Foglio1!$LR46)</f>
        <v>12</v>
      </c>
      <c r="LU46" s="4">
        <f>(Foglio1!$KI46+Foglio1!$KF46+Foglio1!$KL46+Foglio1!$KO46+Foglio1!$KR46+Foglio1!$KU46+Foglio1!$KX46+Foglio1!$LA46+Foglio1!$LD46+Foglio1!$LG46+Foglio1!$LJ46+Foglio1!$LM46+Foglio1!$LP46+Foglio1!$LS46)</f>
        <v>15</v>
      </c>
      <c r="LV46" s="4">
        <v>42</v>
      </c>
      <c r="LW46" s="4">
        <v>49</v>
      </c>
      <c r="LX46" s="4">
        <v>20</v>
      </c>
      <c r="LY46" s="4">
        <v>25</v>
      </c>
      <c r="LZ46" s="3">
        <v>0</v>
      </c>
      <c r="MA46" s="3">
        <v>3</v>
      </c>
      <c r="MB46" s="3">
        <v>2</v>
      </c>
      <c r="MC46" s="3">
        <v>2</v>
      </c>
      <c r="MD46" s="3">
        <f t="shared" si="7"/>
        <v>7</v>
      </c>
      <c r="ME46" s="3">
        <v>0</v>
      </c>
      <c r="MF46" s="3">
        <v>0</v>
      </c>
      <c r="MG46" s="3">
        <v>0</v>
      </c>
      <c r="MH46" s="3">
        <v>0</v>
      </c>
      <c r="MI46" s="3">
        <f t="shared" si="8"/>
        <v>0</v>
      </c>
    </row>
    <row r="47" spans="1:347" ht="15.75" customHeight="1" x14ac:dyDescent="0.25">
      <c r="A47" s="4" t="s">
        <v>1477</v>
      </c>
      <c r="B47" s="4">
        <v>22</v>
      </c>
      <c r="C47" s="4" t="s">
        <v>403</v>
      </c>
      <c r="D47" s="4">
        <v>13</v>
      </c>
      <c r="E47" s="4">
        <v>0</v>
      </c>
      <c r="F47" s="4" t="s">
        <v>360</v>
      </c>
      <c r="G47" s="4" t="s">
        <v>356</v>
      </c>
      <c r="H47" s="4" t="s">
        <v>1478</v>
      </c>
      <c r="I47" s="4" t="s">
        <v>1479</v>
      </c>
      <c r="J47" s="7" t="s">
        <v>1272</v>
      </c>
      <c r="K47" s="4"/>
      <c r="L47" s="4" t="s">
        <v>907</v>
      </c>
      <c r="M47" s="4" t="s">
        <v>449</v>
      </c>
      <c r="N47" s="4" t="s">
        <v>1350</v>
      </c>
      <c r="O47" s="6">
        <v>45527</v>
      </c>
      <c r="P47" s="6">
        <v>45545</v>
      </c>
      <c r="Q47" s="4" t="s">
        <v>1480</v>
      </c>
      <c r="R47" s="4"/>
      <c r="S47" s="4"/>
      <c r="T47" s="4"/>
      <c r="U47" s="4"/>
      <c r="V47" s="4"/>
      <c r="W47" s="4"/>
      <c r="X47" s="4"/>
      <c r="Y47" s="4"/>
      <c r="Z47" s="4"/>
      <c r="AA47" s="4"/>
      <c r="AB47" s="4"/>
      <c r="AC47" s="4"/>
      <c r="AD47" s="4"/>
      <c r="AE47" s="4"/>
      <c r="AF47" s="4"/>
      <c r="AG47" s="4"/>
      <c r="AH47" s="4" t="s">
        <v>846</v>
      </c>
      <c r="AI47" s="4" t="s">
        <v>1481</v>
      </c>
      <c r="AJ47" s="4" t="s">
        <v>1482</v>
      </c>
      <c r="AK47" s="4" t="s">
        <v>1483</v>
      </c>
      <c r="AL47" s="4" t="s">
        <v>574</v>
      </c>
      <c r="AM47" s="4" t="s">
        <v>1484</v>
      </c>
      <c r="AN47" s="5" t="s">
        <v>356</v>
      </c>
      <c r="AO47" s="5" t="s">
        <v>356</v>
      </c>
      <c r="AP47" s="5" t="s">
        <v>356</v>
      </c>
      <c r="AQ47" s="5" t="s">
        <v>356</v>
      </c>
      <c r="AR47" s="5" t="s">
        <v>356</v>
      </c>
      <c r="AS47" s="5" t="s">
        <v>356</v>
      </c>
      <c r="AT47" s="5" t="s">
        <v>356</v>
      </c>
      <c r="AU47" s="5" t="s">
        <v>356</v>
      </c>
      <c r="AV47" s="5" t="s">
        <v>356</v>
      </c>
      <c r="AW47" s="5" t="s">
        <v>356</v>
      </c>
      <c r="AX47" s="4">
        <v>3</v>
      </c>
      <c r="AY47" s="4"/>
      <c r="AZ47" s="5" t="s">
        <v>383</v>
      </c>
      <c r="BA47" s="4">
        <f t="shared" si="68"/>
        <v>18</v>
      </c>
      <c r="BB47" s="4"/>
      <c r="BC47" s="4"/>
      <c r="BD47" s="4"/>
      <c r="BE47" s="4"/>
      <c r="BF47" s="4"/>
      <c r="BG47" s="6">
        <v>45531</v>
      </c>
      <c r="BH47" s="4" t="s">
        <v>356</v>
      </c>
      <c r="BI47" s="4" t="s">
        <v>356</v>
      </c>
      <c r="BJ47" s="4" t="s">
        <v>356</v>
      </c>
      <c r="BK47" s="4" t="s">
        <v>356</v>
      </c>
      <c r="BL47" s="4" t="s">
        <v>356</v>
      </c>
      <c r="BM47" s="4" t="s">
        <v>356</v>
      </c>
      <c r="BN47" s="4" t="s">
        <v>356</v>
      </c>
      <c r="BO47" s="4" t="s">
        <v>356</v>
      </c>
      <c r="BP47" s="4">
        <v>4</v>
      </c>
      <c r="BQ47" s="4">
        <v>0</v>
      </c>
      <c r="BR47" s="4">
        <v>0</v>
      </c>
      <c r="BS47" s="4">
        <v>41</v>
      </c>
      <c r="BT47" s="4">
        <v>1</v>
      </c>
      <c r="BU47" s="4">
        <v>1</v>
      </c>
      <c r="BV47" s="4">
        <v>1</v>
      </c>
      <c r="BW47" s="4">
        <v>1</v>
      </c>
      <c r="BX47" s="4">
        <v>1</v>
      </c>
      <c r="BY47" s="4">
        <v>1</v>
      </c>
      <c r="BZ47" s="4">
        <v>4</v>
      </c>
      <c r="CA47" s="4">
        <v>2</v>
      </c>
      <c r="CB47" s="4">
        <v>3</v>
      </c>
      <c r="CC47" s="4">
        <v>3</v>
      </c>
      <c r="CD47" s="4">
        <v>5</v>
      </c>
      <c r="CE47" s="4">
        <v>1</v>
      </c>
      <c r="CF47" s="4">
        <v>1</v>
      </c>
      <c r="CG47" s="4">
        <v>1</v>
      </c>
      <c r="CH47" s="4">
        <v>4</v>
      </c>
      <c r="CI47" s="4">
        <v>4</v>
      </c>
      <c r="CJ47" s="4">
        <v>1</v>
      </c>
      <c r="CK47" s="4">
        <v>1</v>
      </c>
      <c r="CL47" s="4">
        <v>1</v>
      </c>
      <c r="CM47" s="4">
        <v>4</v>
      </c>
      <c r="CN47" s="4">
        <v>1</v>
      </c>
      <c r="CO47" s="4">
        <v>3</v>
      </c>
      <c r="CP47" s="4">
        <v>3</v>
      </c>
      <c r="CQ47" s="4">
        <v>1</v>
      </c>
      <c r="CR47" s="4">
        <v>1</v>
      </c>
      <c r="CS47" s="4">
        <v>1</v>
      </c>
      <c r="CT47" s="4">
        <v>1</v>
      </c>
      <c r="CU47" s="4">
        <v>4</v>
      </c>
      <c r="CV47" s="4">
        <v>1</v>
      </c>
      <c r="CW47" s="4">
        <v>5</v>
      </c>
      <c r="CX47" s="4">
        <f>SUM(Foglio1!$BT47:$CW47)</f>
        <v>62</v>
      </c>
      <c r="CY47" s="4">
        <f>SUM(Foglio1!$BT47+Foglio1!$BV47+Foglio1!$CP47+Foglio1!$BY47+Foglio1!$BX47+Foglio1!$CH47+Foglio1!$CS47+Foglio1!$CW47-Foglio1!$CE47)</f>
        <v>16</v>
      </c>
      <c r="CZ47" s="4">
        <f>SUM(Foglio1!$CF47+Foglio1!$CA47+Foglio1!$CB47+Foglio1!$CD47+Foglio1!$CN47+Foglio1!$CC47+Foglio1!$CW47+Foglio1!$CO47+Foglio1!$CT47-Foglio1!$BU47)</f>
        <v>23</v>
      </c>
      <c r="DA47" s="4">
        <f>SUM(Foglio1!$CG47+Foglio1!$CR47+Foglio1!$CQ47+Foglio1!$BU47+Foglio1!$CE47+Foglio1!$CL47+Foglio1!$CS47+Foglio1!$CT47+Foglio1!$CV47+Foglio1!$CP47)</f>
        <v>12</v>
      </c>
      <c r="DB47" s="4">
        <f>SUM(Foglio1!$CU47+Foglio1!$BW47+Foglio1!$BZ47+Foglio1!$CO47+Foglio1!$BX47+Foglio1!$CC47+Foglio1!$CK47+Foglio1!$CW47)</f>
        <v>22</v>
      </c>
      <c r="DC47" s="4">
        <f>SUM(Foglio1!$CI47+Foglio1!$CM47+Foglio1!$CJ47+Foglio1!$CK47+Foglio1!$BY47+Foglio1!$CH47+Foglio1!$CV47+Foglio1!$CW47)</f>
        <v>21</v>
      </c>
      <c r="DD47" s="4">
        <v>0</v>
      </c>
      <c r="DE47" s="4">
        <v>0</v>
      </c>
      <c r="DF47" s="4">
        <v>0</v>
      </c>
      <c r="DG47" s="4">
        <v>0</v>
      </c>
      <c r="DH47" s="4">
        <v>0</v>
      </c>
      <c r="DI47" s="4">
        <v>0</v>
      </c>
      <c r="DJ47" s="4">
        <v>0</v>
      </c>
      <c r="DK47" s="4">
        <v>0</v>
      </c>
      <c r="DL47" s="4">
        <v>0</v>
      </c>
      <c r="DM47" s="4">
        <v>0</v>
      </c>
      <c r="DN47" s="4">
        <v>0</v>
      </c>
      <c r="DO47" s="4">
        <v>0</v>
      </c>
      <c r="DP47" s="4">
        <v>0</v>
      </c>
      <c r="DQ47" s="4">
        <v>0</v>
      </c>
      <c r="DR47" s="4">
        <v>0</v>
      </c>
      <c r="DS47" s="4">
        <v>0</v>
      </c>
      <c r="DT47" s="4">
        <v>1</v>
      </c>
      <c r="DU47" s="4">
        <v>0</v>
      </c>
      <c r="DV47" s="4">
        <v>0</v>
      </c>
      <c r="DW47" s="4">
        <v>1</v>
      </c>
      <c r="DX47" s="4">
        <v>1</v>
      </c>
      <c r="DY47" s="4">
        <v>0</v>
      </c>
      <c r="DZ47" s="4">
        <v>3</v>
      </c>
      <c r="EA47" s="4">
        <v>3</v>
      </c>
      <c r="EB47" s="4">
        <v>0</v>
      </c>
      <c r="EC47" s="4">
        <v>2</v>
      </c>
      <c r="ED47" s="4">
        <v>2</v>
      </c>
      <c r="EE47" s="4">
        <v>3</v>
      </c>
      <c r="EF47" s="4">
        <v>2</v>
      </c>
      <c r="EG47" s="4">
        <v>2</v>
      </c>
      <c r="EH47" s="4">
        <f>(Foglio1!$DE47+Foglio1!$DH47+Foglio1!$DG47+Foglio1!$DF47+Foglio1!$DM47+Foglio1!$DD47+Foglio1!$DO47+Foglio1!$DL47+Foglio1!$DN47+Foglio1!$DQ47+Foglio1!$DP47+Foglio1!$DT47+Foglio1!$DI47+Foglio1!$DK47+Foglio1!$DU47)</f>
        <v>1</v>
      </c>
      <c r="EI47" s="4">
        <f>(Foglio1!$EA47+Foglio1!$EB47+Foglio1!$EE47+Foglio1!$EC47+Foglio1!$ED47+Foglio1!$DZ47+Foglio1!$DY47)</f>
        <v>13</v>
      </c>
      <c r="EJ47" s="4">
        <f>(Foglio1!$DW47+Foglio1!$DV47+Foglio1!$DX47)</f>
        <v>2</v>
      </c>
      <c r="EK47" s="4">
        <f>(Foglio1!$EG47+Foglio1!$EF47)</f>
        <v>4</v>
      </c>
      <c r="EL47" s="4">
        <v>1</v>
      </c>
      <c r="EM47" s="4">
        <v>0</v>
      </c>
      <c r="EN47" s="4">
        <v>1</v>
      </c>
      <c r="EO47" s="4">
        <v>1</v>
      </c>
      <c r="EP47" s="4">
        <f t="array" ref="EP47">SUM(EL47:EO47/4)</f>
        <v>0.75</v>
      </c>
      <c r="EQ47" s="4">
        <v>1</v>
      </c>
      <c r="ER47" s="4">
        <v>1</v>
      </c>
      <c r="ES47" s="4">
        <v>1</v>
      </c>
      <c r="ET47" s="4">
        <v>1</v>
      </c>
      <c r="EU47" s="4" t="s">
        <v>1485</v>
      </c>
      <c r="EV47" s="4">
        <v>0</v>
      </c>
      <c r="EW47" s="4" t="s">
        <v>1486</v>
      </c>
      <c r="EX47" s="4">
        <v>0</v>
      </c>
      <c r="EY47" s="4">
        <f>(Foglio1!$EQ47+Foglio1!$ER47+Foglio1!$ES47+Foglio1!$ET47+Foglio1!$EV47+Foglio1!$EX47)/6</f>
        <v>0.66666666666666663</v>
      </c>
      <c r="EZ47" s="4">
        <v>1</v>
      </c>
      <c r="FA47" s="4">
        <v>1</v>
      </c>
      <c r="FB47" s="4">
        <v>1</v>
      </c>
      <c r="FC47" s="4">
        <f>(Foglio1!$EZ47+Foglio1!$FA47+Foglio1!$FB47)/3</f>
        <v>1</v>
      </c>
      <c r="FD47" s="4">
        <v>1</v>
      </c>
      <c r="FE47" s="4">
        <v>1</v>
      </c>
      <c r="FF47" s="4">
        <f>(Foglio1!$FD47+Foglio1!$FE47)/2</f>
        <v>1</v>
      </c>
      <c r="FG47" s="4" t="s">
        <v>1487</v>
      </c>
      <c r="FH47" s="4">
        <v>0</v>
      </c>
      <c r="FI47" s="4" t="s">
        <v>1488</v>
      </c>
      <c r="FJ47" s="4">
        <v>0</v>
      </c>
      <c r="FK47" s="4" t="s">
        <v>1489</v>
      </c>
      <c r="FL47" s="4">
        <v>0</v>
      </c>
      <c r="FM47" s="4">
        <f>(Foglio1!$FH47+Foglio1!$FJ47+Foglio1!$FL47)/3</f>
        <v>0</v>
      </c>
      <c r="FN47" s="4">
        <f>(Foglio1!$EP47)</f>
        <v>0.75</v>
      </c>
      <c r="FO47" s="4">
        <f>(Foglio1!$EY47+Foglio1!$FC47+Foglio1!$FF47+Foglio1!$FM47)/4</f>
        <v>0.66666666666666663</v>
      </c>
      <c r="FP47" s="4">
        <f>(Foglio1!$EP47+Foglio1!$EY47+Foglio1!$FC47+Foglio1!$FF47+Foglio1!$FM47)/5</f>
        <v>0.68333333333333335</v>
      </c>
      <c r="FQ47" s="4" t="s">
        <v>359</v>
      </c>
      <c r="FR47" s="4" t="s">
        <v>356</v>
      </c>
      <c r="FS47" s="4" t="s">
        <v>356</v>
      </c>
      <c r="FT47" s="4" t="s">
        <v>356</v>
      </c>
      <c r="FU47" s="4" t="s">
        <v>356</v>
      </c>
      <c r="FV47" s="4" t="s">
        <v>356</v>
      </c>
      <c r="FW47" s="4" t="s">
        <v>356</v>
      </c>
      <c r="FX47" s="4" t="s">
        <v>356</v>
      </c>
      <c r="FY47" s="4" t="s">
        <v>356</v>
      </c>
      <c r="FZ47" s="4" t="s">
        <v>356</v>
      </c>
      <c r="GA47" s="4" t="s">
        <v>356</v>
      </c>
      <c r="GB47" s="4" t="s">
        <v>356</v>
      </c>
      <c r="GC47" s="4" t="s">
        <v>356</v>
      </c>
      <c r="GD47" s="4" t="s">
        <v>356</v>
      </c>
      <c r="GE47" s="4" t="s">
        <v>356</v>
      </c>
      <c r="GF47" s="4" t="s">
        <v>356</v>
      </c>
      <c r="GG47" s="4" t="s">
        <v>356</v>
      </c>
      <c r="GH47" s="4" t="s">
        <v>356</v>
      </c>
      <c r="GI47" s="4" t="s">
        <v>356</v>
      </c>
      <c r="GJ47" s="4" t="s">
        <v>356</v>
      </c>
      <c r="GK47" s="4" t="s">
        <v>356</v>
      </c>
      <c r="GL47" s="4" t="s">
        <v>356</v>
      </c>
      <c r="GM47" s="4" t="s">
        <v>356</v>
      </c>
      <c r="GN47" s="4" t="s">
        <v>356</v>
      </c>
      <c r="GO47" s="4" t="s">
        <v>356</v>
      </c>
      <c r="GP47" s="4" t="s">
        <v>356</v>
      </c>
      <c r="GQ47" s="4" t="s">
        <v>356</v>
      </c>
      <c r="GR47" s="4" t="s">
        <v>356</v>
      </c>
      <c r="GS47" s="4" t="s">
        <v>356</v>
      </c>
      <c r="GT47" s="4" t="s">
        <v>356</v>
      </c>
      <c r="GU47" s="4" t="s">
        <v>356</v>
      </c>
      <c r="GV47" s="4" t="s">
        <v>356</v>
      </c>
      <c r="GW47" s="4" t="s">
        <v>356</v>
      </c>
      <c r="GX47" s="4" t="s">
        <v>356</v>
      </c>
      <c r="GY47" s="4" t="s">
        <v>356</v>
      </c>
      <c r="GZ47" s="4" t="s">
        <v>356</v>
      </c>
      <c r="HA47" s="4" t="s">
        <v>356</v>
      </c>
      <c r="HB47" s="4" t="s">
        <v>356</v>
      </c>
      <c r="HC47" s="4" t="s">
        <v>356</v>
      </c>
      <c r="HD47" s="4" t="s">
        <v>356</v>
      </c>
      <c r="HE47" s="4" t="s">
        <v>356</v>
      </c>
      <c r="HF47" s="4" t="s">
        <v>356</v>
      </c>
      <c r="HG47" s="4" t="s">
        <v>356</v>
      </c>
      <c r="HH47" s="4" t="s">
        <v>356</v>
      </c>
      <c r="HI47" s="4" t="s">
        <v>356</v>
      </c>
      <c r="HJ47" s="4" t="s">
        <v>356</v>
      </c>
      <c r="HK47" s="4" t="s">
        <v>356</v>
      </c>
      <c r="HL47" s="4" t="s">
        <v>356</v>
      </c>
      <c r="HM47" s="4" t="s">
        <v>356</v>
      </c>
      <c r="HN47" s="4" t="s">
        <v>356</v>
      </c>
      <c r="HO47" s="4" t="s">
        <v>356</v>
      </c>
      <c r="HP47" s="4" t="s">
        <v>355</v>
      </c>
      <c r="HQ47" s="4" t="s">
        <v>355</v>
      </c>
      <c r="HR47" s="4" t="s">
        <v>355</v>
      </c>
      <c r="HS47" s="4" t="s">
        <v>355</v>
      </c>
      <c r="HT47" s="4" t="s">
        <v>355</v>
      </c>
      <c r="HU47" s="4" t="s">
        <v>355</v>
      </c>
      <c r="HV47" s="4" t="s">
        <v>355</v>
      </c>
      <c r="HW47" s="4" t="s">
        <v>355</v>
      </c>
      <c r="HX47" s="4" t="s">
        <v>355</v>
      </c>
      <c r="HY47" s="4" t="s">
        <v>355</v>
      </c>
      <c r="HZ47" s="4" t="s">
        <v>355</v>
      </c>
      <c r="IA47" s="4" t="s">
        <v>355</v>
      </c>
      <c r="IB47" s="4" t="s">
        <v>355</v>
      </c>
      <c r="IC47" s="4" t="s">
        <v>355</v>
      </c>
      <c r="ID47" s="4" t="s">
        <v>355</v>
      </c>
      <c r="IE47" s="4" t="s">
        <v>355</v>
      </c>
      <c r="IF47" s="4" t="s">
        <v>355</v>
      </c>
      <c r="IG47" s="4" t="s">
        <v>355</v>
      </c>
      <c r="IH47" s="4" t="s">
        <v>355</v>
      </c>
      <c r="II47" s="4" t="s">
        <v>355</v>
      </c>
      <c r="IJ47" s="4" t="s">
        <v>355</v>
      </c>
      <c r="IK47" s="4" t="s">
        <v>355</v>
      </c>
      <c r="IL47" s="4" t="s">
        <v>355</v>
      </c>
      <c r="IM47" s="4" t="s">
        <v>355</v>
      </c>
      <c r="IN47" s="4" t="s">
        <v>355</v>
      </c>
      <c r="IO47" s="4" t="s">
        <v>355</v>
      </c>
      <c r="IP47" s="4" t="s">
        <v>355</v>
      </c>
      <c r="IQ47" s="4" t="s">
        <v>356</v>
      </c>
      <c r="IR47" s="4" t="s">
        <v>356</v>
      </c>
      <c r="IS47" s="4" t="s">
        <v>356</v>
      </c>
      <c r="IT47" s="4" t="s">
        <v>356</v>
      </c>
      <c r="IU47" s="4" t="s">
        <v>356</v>
      </c>
      <c r="IV47" s="4" t="s">
        <v>356</v>
      </c>
      <c r="IW47" s="4" t="s">
        <v>356</v>
      </c>
      <c r="IX47" s="4" t="s">
        <v>356</v>
      </c>
      <c r="IY47" s="4" t="s">
        <v>356</v>
      </c>
      <c r="IZ47" s="4" t="s">
        <v>356</v>
      </c>
      <c r="JA47" s="4" t="s">
        <v>356</v>
      </c>
      <c r="JB47" s="4" t="s">
        <v>356</v>
      </c>
      <c r="JC47" s="4" t="s">
        <v>356</v>
      </c>
      <c r="JD47" s="4" t="s">
        <v>356</v>
      </c>
      <c r="JE47" s="4" t="s">
        <v>356</v>
      </c>
      <c r="JF47" s="4" t="s">
        <v>356</v>
      </c>
      <c r="JG47" s="4" t="s">
        <v>356</v>
      </c>
      <c r="JH47" s="4" t="s">
        <v>356</v>
      </c>
      <c r="JI47" s="4" t="s">
        <v>356</v>
      </c>
      <c r="JJ47" s="4" t="s">
        <v>356</v>
      </c>
      <c r="JK47" s="4" t="s">
        <v>356</v>
      </c>
      <c r="JL47" s="4" t="s">
        <v>356</v>
      </c>
      <c r="JM47" s="4" t="s">
        <v>356</v>
      </c>
      <c r="JN47" s="4" t="s">
        <v>356</v>
      </c>
      <c r="JO47" s="4" t="s">
        <v>356</v>
      </c>
      <c r="JP47" s="4" t="s">
        <v>356</v>
      </c>
      <c r="JQ47" s="4" t="s">
        <v>356</v>
      </c>
      <c r="JR47" s="4" t="s">
        <v>356</v>
      </c>
      <c r="JS47" s="4" t="s">
        <v>356</v>
      </c>
      <c r="JT47" s="4" t="s">
        <v>356</v>
      </c>
      <c r="JU47" s="4" t="s">
        <v>356</v>
      </c>
      <c r="JV47" s="4" t="s">
        <v>356</v>
      </c>
      <c r="JW47" s="4" t="s">
        <v>356</v>
      </c>
      <c r="JX47" s="4" t="s">
        <v>356</v>
      </c>
      <c r="JY47" s="4" t="s">
        <v>356</v>
      </c>
      <c r="JZ47" s="4" t="s">
        <v>356</v>
      </c>
      <c r="KA47" s="4" t="s">
        <v>356</v>
      </c>
      <c r="KB47" s="4" t="s">
        <v>356</v>
      </c>
      <c r="KC47" s="4" t="s">
        <v>356</v>
      </c>
      <c r="KD47" s="4" t="s">
        <v>356</v>
      </c>
      <c r="KE47" s="4" t="s">
        <v>356</v>
      </c>
      <c r="KF47" s="4" t="s">
        <v>356</v>
      </c>
      <c r="KG47" s="4" t="s">
        <v>356</v>
      </c>
      <c r="KH47" s="4" t="s">
        <v>356</v>
      </c>
      <c r="KI47" s="4" t="s">
        <v>356</v>
      </c>
      <c r="KJ47" s="4" t="s">
        <v>356</v>
      </c>
      <c r="KK47" s="4" t="s">
        <v>356</v>
      </c>
      <c r="KL47" s="4" t="s">
        <v>356</v>
      </c>
      <c r="KM47" s="4" t="s">
        <v>356</v>
      </c>
      <c r="KN47" s="4" t="s">
        <v>356</v>
      </c>
      <c r="KO47" s="4" t="s">
        <v>356</v>
      </c>
      <c r="KP47" s="4" t="s">
        <v>356</v>
      </c>
      <c r="KQ47" s="4" t="s">
        <v>356</v>
      </c>
      <c r="KR47" s="4" t="s">
        <v>356</v>
      </c>
      <c r="KS47" s="4" t="s">
        <v>356</v>
      </c>
      <c r="KT47" s="4" t="s">
        <v>356</v>
      </c>
      <c r="KU47" s="4" t="s">
        <v>356</v>
      </c>
      <c r="KV47" s="4" t="s">
        <v>356</v>
      </c>
      <c r="KW47" s="4" t="s">
        <v>356</v>
      </c>
      <c r="KX47" s="4" t="s">
        <v>356</v>
      </c>
      <c r="KY47" s="4" t="s">
        <v>356</v>
      </c>
      <c r="KZ47" s="4" t="s">
        <v>356</v>
      </c>
      <c r="LA47" s="4" t="s">
        <v>356</v>
      </c>
      <c r="LB47" s="4" t="s">
        <v>356</v>
      </c>
      <c r="LC47" s="4" t="s">
        <v>356</v>
      </c>
      <c r="LD47" s="4" t="s">
        <v>356</v>
      </c>
      <c r="LE47" s="4" t="s">
        <v>356</v>
      </c>
      <c r="LF47" s="4" t="s">
        <v>356</v>
      </c>
      <c r="LG47" s="4" t="s">
        <v>356</v>
      </c>
      <c r="LH47" s="4" t="s">
        <v>356</v>
      </c>
      <c r="LI47" s="4" t="s">
        <v>356</v>
      </c>
      <c r="LJ47" s="4" t="s">
        <v>356</v>
      </c>
      <c r="LK47" s="4" t="s">
        <v>356</v>
      </c>
      <c r="LL47" s="4" t="s">
        <v>356</v>
      </c>
      <c r="LM47" s="4" t="s">
        <v>356</v>
      </c>
      <c r="LN47" s="4" t="s">
        <v>356</v>
      </c>
      <c r="LO47" s="4" t="s">
        <v>356</v>
      </c>
      <c r="LP47" s="4" t="s">
        <v>356</v>
      </c>
      <c r="LQ47" s="4" t="s">
        <v>356</v>
      </c>
      <c r="LR47" s="4" t="s">
        <v>356</v>
      </c>
      <c r="LS47" s="4" t="s">
        <v>356</v>
      </c>
      <c r="LT47" s="4" t="s">
        <v>356</v>
      </c>
      <c r="LU47" s="4" t="s">
        <v>356</v>
      </c>
      <c r="LV47" s="4" t="s">
        <v>356</v>
      </c>
      <c r="LW47" s="4" t="s">
        <v>356</v>
      </c>
      <c r="LX47" s="4" t="s">
        <v>356</v>
      </c>
      <c r="LY47" s="4" t="s">
        <v>356</v>
      </c>
      <c r="LZ47" s="3">
        <v>0</v>
      </c>
      <c r="MA47" s="3">
        <v>2</v>
      </c>
      <c r="MB47" s="3">
        <v>0</v>
      </c>
      <c r="MC47" s="3">
        <v>0</v>
      </c>
      <c r="MD47" s="3">
        <f t="shared" si="7"/>
        <v>2</v>
      </c>
      <c r="ME47" s="3">
        <v>0</v>
      </c>
      <c r="MF47" s="3">
        <v>0</v>
      </c>
      <c r="MG47" s="3">
        <v>0</v>
      </c>
      <c r="MH47" s="3">
        <v>0</v>
      </c>
      <c r="MI47" s="3">
        <f t="shared" si="8"/>
        <v>0</v>
      </c>
    </row>
    <row r="48" spans="1:347" ht="15.75" customHeight="1" x14ac:dyDescent="0.25">
      <c r="A48" s="8" t="s">
        <v>1490</v>
      </c>
      <c r="B48" s="4">
        <v>60</v>
      </c>
      <c r="C48" s="4" t="s">
        <v>349</v>
      </c>
      <c r="D48" s="4">
        <v>13</v>
      </c>
      <c r="E48" s="4">
        <v>0</v>
      </c>
      <c r="F48" s="4" t="s">
        <v>350</v>
      </c>
      <c r="G48" s="4" t="s">
        <v>356</v>
      </c>
      <c r="H48" s="4" t="s">
        <v>763</v>
      </c>
      <c r="I48" s="4" t="s">
        <v>1491</v>
      </c>
      <c r="J48" s="4"/>
      <c r="K48" s="4"/>
      <c r="L48" s="5" t="s">
        <v>356</v>
      </c>
      <c r="M48" s="4" t="s">
        <v>449</v>
      </c>
      <c r="N48" s="4" t="s">
        <v>1350</v>
      </c>
      <c r="O48" s="9">
        <v>45547</v>
      </c>
      <c r="P48" s="9">
        <v>45553</v>
      </c>
      <c r="Q48" s="4" t="s">
        <v>359</v>
      </c>
      <c r="R48" s="4"/>
      <c r="S48" s="4"/>
      <c r="T48" s="4"/>
      <c r="U48" s="4"/>
      <c r="V48" s="4"/>
      <c r="W48" s="4"/>
      <c r="X48" s="4"/>
      <c r="Y48" s="4"/>
      <c r="Z48" s="4"/>
      <c r="AA48" s="4"/>
      <c r="AB48" s="4"/>
      <c r="AC48" s="4"/>
      <c r="AD48" s="4"/>
      <c r="AE48" s="4"/>
      <c r="AF48" s="4"/>
      <c r="AG48" s="4"/>
      <c r="AH48" s="4" t="s">
        <v>1492</v>
      </c>
      <c r="AI48" s="4" t="s">
        <v>1444</v>
      </c>
      <c r="AJ48" s="4" t="s">
        <v>413</v>
      </c>
      <c r="AK48" s="4" t="s">
        <v>694</v>
      </c>
      <c r="AL48" s="5" t="s">
        <v>356</v>
      </c>
      <c r="AM48" s="5" t="s">
        <v>356</v>
      </c>
      <c r="AN48" s="5" t="s">
        <v>356</v>
      </c>
      <c r="AO48" s="5" t="s">
        <v>356</v>
      </c>
      <c r="AP48" s="5" t="s">
        <v>356</v>
      </c>
      <c r="AQ48" s="5" t="s">
        <v>356</v>
      </c>
      <c r="AR48" s="5" t="s">
        <v>356</v>
      </c>
      <c r="AS48" s="5" t="s">
        <v>356</v>
      </c>
      <c r="AT48" s="5" t="s">
        <v>356</v>
      </c>
      <c r="AU48" s="5" t="s">
        <v>356</v>
      </c>
      <c r="AV48" s="5" t="s">
        <v>356</v>
      </c>
      <c r="AW48" s="5" t="s">
        <v>356</v>
      </c>
      <c r="AX48" s="4">
        <v>2</v>
      </c>
      <c r="AY48" s="4"/>
      <c r="AZ48" s="5" t="s">
        <v>383</v>
      </c>
      <c r="BA48" s="4">
        <f t="shared" si="68"/>
        <v>6</v>
      </c>
      <c r="BB48" s="4"/>
      <c r="BC48" s="4"/>
      <c r="BD48" s="4"/>
      <c r="BE48" s="4"/>
      <c r="BF48" s="4"/>
      <c r="BG48" s="6">
        <v>45548</v>
      </c>
      <c r="BH48" s="4" t="s">
        <v>356</v>
      </c>
      <c r="BI48" s="4" t="s">
        <v>356</v>
      </c>
      <c r="BJ48" s="4" t="s">
        <v>356</v>
      </c>
      <c r="BK48" s="4" t="s">
        <v>356</v>
      </c>
      <c r="BL48" s="4" t="s">
        <v>356</v>
      </c>
      <c r="BM48" s="4" t="s">
        <v>356</v>
      </c>
      <c r="BN48" s="4" t="s">
        <v>356</v>
      </c>
      <c r="BO48" s="4" t="s">
        <v>356</v>
      </c>
      <c r="BP48" s="4">
        <v>1</v>
      </c>
      <c r="BQ48" s="4">
        <v>4</v>
      </c>
      <c r="BR48" s="4">
        <v>13</v>
      </c>
      <c r="BS48" s="4">
        <v>65</v>
      </c>
      <c r="BT48" s="4">
        <v>1</v>
      </c>
      <c r="BU48" s="4">
        <v>1</v>
      </c>
      <c r="BV48" s="4">
        <v>1</v>
      </c>
      <c r="BW48" s="4">
        <v>1</v>
      </c>
      <c r="BX48" s="4">
        <v>1</v>
      </c>
      <c r="BY48" s="4">
        <v>1</v>
      </c>
      <c r="BZ48" s="4">
        <v>1</v>
      </c>
      <c r="CA48" s="4">
        <v>1</v>
      </c>
      <c r="CB48" s="4">
        <v>1</v>
      </c>
      <c r="CC48" s="4">
        <v>1</v>
      </c>
      <c r="CD48" s="4">
        <v>1</v>
      </c>
      <c r="CE48" s="4">
        <v>1</v>
      </c>
      <c r="CF48" s="4">
        <v>1</v>
      </c>
      <c r="CG48" s="4">
        <v>1</v>
      </c>
      <c r="CH48" s="4">
        <v>2</v>
      </c>
      <c r="CI48" s="4">
        <v>3</v>
      </c>
      <c r="CJ48" s="4">
        <v>1</v>
      </c>
      <c r="CK48" s="4">
        <v>3</v>
      </c>
      <c r="CL48" s="4">
        <v>1</v>
      </c>
      <c r="CM48" s="4">
        <v>3</v>
      </c>
      <c r="CN48" s="4">
        <v>1</v>
      </c>
      <c r="CO48" s="4">
        <v>1</v>
      </c>
      <c r="CP48" s="4">
        <v>1</v>
      </c>
      <c r="CQ48" s="4">
        <v>1</v>
      </c>
      <c r="CR48" s="4">
        <v>1</v>
      </c>
      <c r="CS48" s="4">
        <v>1</v>
      </c>
      <c r="CT48" s="4">
        <v>1</v>
      </c>
      <c r="CU48" s="4">
        <v>3</v>
      </c>
      <c r="CV48" s="4">
        <v>3</v>
      </c>
      <c r="CW48" s="4">
        <v>1</v>
      </c>
      <c r="CX48" s="4">
        <f>SUM(Foglio1!$BT48:$CW48)</f>
        <v>41</v>
      </c>
      <c r="CY48" s="4">
        <f>SUM(Foglio1!$BT48+Foglio1!$BV48+Foglio1!$CP48+Foglio1!$BY48+Foglio1!$BX48+Foglio1!$CH48+Foglio1!$CS48+Foglio1!$CW48-Foglio1!$CE48)</f>
        <v>8</v>
      </c>
      <c r="CZ48" s="4">
        <f>SUM(Foglio1!$CF48+Foglio1!$CA48+Foglio1!$CB48+Foglio1!$CD48+Foglio1!$CN48+Foglio1!$CC48+Foglio1!$CW48+Foglio1!$CO48+Foglio1!$CT48-Foglio1!$BU48)</f>
        <v>8</v>
      </c>
      <c r="DA48" s="4">
        <f>SUM(Foglio1!$CG48+Foglio1!$CR48+Foglio1!$CQ48+Foglio1!$BU48+Foglio1!$CE48+Foglio1!$CL48+Foglio1!$CS48+Foglio1!$CT48+Foglio1!$CV48+Foglio1!$CP48)</f>
        <v>12</v>
      </c>
      <c r="DB48" s="4">
        <f>SUM(Foglio1!$CU48+Foglio1!$BW48+Foglio1!$BZ48+Foglio1!$CO48+Foglio1!$BX48+Foglio1!$CC48+Foglio1!$CK48+Foglio1!$CW48)</f>
        <v>12</v>
      </c>
      <c r="DC48" s="4">
        <f>SUM(Foglio1!$CI48+Foglio1!$CM48+Foglio1!$CJ48+Foglio1!$CK48+Foglio1!$BY48+Foglio1!$CH48+Foglio1!$CV48+Foglio1!$CW48)</f>
        <v>17</v>
      </c>
      <c r="DD48" s="4">
        <v>1</v>
      </c>
      <c r="DE48" s="4">
        <v>0</v>
      </c>
      <c r="DF48" s="4">
        <v>0</v>
      </c>
      <c r="DG48" s="4">
        <v>0</v>
      </c>
      <c r="DH48" s="4">
        <v>0</v>
      </c>
      <c r="DI48" s="4">
        <v>0</v>
      </c>
      <c r="DJ48" s="4">
        <v>0</v>
      </c>
      <c r="DK48" s="4">
        <v>0</v>
      </c>
      <c r="DL48" s="4">
        <v>0</v>
      </c>
      <c r="DM48" s="4">
        <v>0</v>
      </c>
      <c r="DN48" s="4">
        <v>0</v>
      </c>
      <c r="DO48" s="4">
        <v>0</v>
      </c>
      <c r="DP48" s="4">
        <v>0</v>
      </c>
      <c r="DQ48" s="4">
        <v>0</v>
      </c>
      <c r="DR48" s="4">
        <v>0</v>
      </c>
      <c r="DS48" s="4">
        <v>0</v>
      </c>
      <c r="DT48" s="4">
        <v>1</v>
      </c>
      <c r="DU48" s="4">
        <v>0</v>
      </c>
      <c r="DV48" s="4">
        <v>0</v>
      </c>
      <c r="DW48" s="4">
        <v>1</v>
      </c>
      <c r="DX48" s="4">
        <v>0</v>
      </c>
      <c r="DY48" s="4">
        <v>0</v>
      </c>
      <c r="DZ48" s="4">
        <v>1</v>
      </c>
      <c r="EA48" s="4">
        <v>0</v>
      </c>
      <c r="EB48" s="4">
        <v>1</v>
      </c>
      <c r="EC48" s="4">
        <v>0</v>
      </c>
      <c r="ED48" s="4">
        <v>1</v>
      </c>
      <c r="EE48" s="4">
        <v>0</v>
      </c>
      <c r="EF48" s="4">
        <v>0</v>
      </c>
      <c r="EG48" s="4">
        <v>0</v>
      </c>
      <c r="EH48" s="4">
        <f>(Foglio1!$DE48+Foglio1!$DH48+Foglio1!$DG48+Foglio1!$DF48+Foglio1!$DM48+Foglio1!$DD48+Foglio1!$DO48+Foglio1!$DL48+Foglio1!$DN48+Foglio1!$DQ48+Foglio1!$DP48+Foglio1!$DT48+Foglio1!$DI48+Foglio1!$DK48+Foglio1!$DU48)</f>
        <v>2</v>
      </c>
      <c r="EI48" s="4">
        <f>(Foglio1!$EA48+Foglio1!$EB48+Foglio1!$EE48+Foglio1!$EC48+Foglio1!$ED48+Foglio1!$DZ48+Foglio1!$DY48)</f>
        <v>3</v>
      </c>
      <c r="EJ48" s="4">
        <f>(Foglio1!$DW48+Foglio1!$DV48+Foglio1!$DX48)</f>
        <v>1</v>
      </c>
      <c r="EK48" s="4">
        <f>(Foglio1!$EG48+Foglio1!$EF48)</f>
        <v>0</v>
      </c>
      <c r="EL48" s="4">
        <v>1</v>
      </c>
      <c r="EM48" s="4">
        <v>1</v>
      </c>
      <c r="EN48" s="4">
        <v>1</v>
      </c>
      <c r="EO48" s="4">
        <v>1</v>
      </c>
      <c r="EP48" s="4">
        <f t="array" ref="EP48">SUM(EL48:EO48/4)</f>
        <v>1</v>
      </c>
      <c r="EQ48" s="4">
        <v>1</v>
      </c>
      <c r="ER48" s="4">
        <v>0</v>
      </c>
      <c r="ES48" s="4">
        <v>1</v>
      </c>
      <c r="ET48" s="4">
        <v>0</v>
      </c>
      <c r="EU48" s="4" t="s">
        <v>1493</v>
      </c>
      <c r="EV48" s="4">
        <v>1</v>
      </c>
      <c r="EW48" s="4" t="s">
        <v>1494</v>
      </c>
      <c r="EX48" s="4">
        <v>1</v>
      </c>
      <c r="EY48" s="4">
        <f>(Foglio1!$EQ48+Foglio1!$ER48+Foglio1!$ES48+Foglio1!$ET48+Foglio1!$EV48+Foglio1!$EX48)/6</f>
        <v>0.66666666666666663</v>
      </c>
      <c r="EZ48" s="4">
        <v>1</v>
      </c>
      <c r="FA48" s="4">
        <v>0</v>
      </c>
      <c r="FB48" s="4">
        <v>1</v>
      </c>
      <c r="FC48" s="4">
        <f>(Foglio1!$EZ48+Foglio1!$FA48+Foglio1!$FB48)/3</f>
        <v>0.66666666666666663</v>
      </c>
      <c r="FD48" s="4">
        <v>1</v>
      </c>
      <c r="FE48" s="4">
        <v>1</v>
      </c>
      <c r="FF48" s="4">
        <f>(Foglio1!$FD48+Foglio1!$FE48)/2</f>
        <v>1</v>
      </c>
      <c r="FG48" s="4" t="s">
        <v>1495</v>
      </c>
      <c r="FH48" s="4">
        <v>1</v>
      </c>
      <c r="FI48" s="4" t="s">
        <v>1496</v>
      </c>
      <c r="FJ48" s="4">
        <v>1</v>
      </c>
      <c r="FK48" s="4" t="s">
        <v>1497</v>
      </c>
      <c r="FL48" s="4">
        <v>1</v>
      </c>
      <c r="FM48" s="4">
        <f>(Foglio1!$FH48+Foglio1!$FJ48+Foglio1!$FL48)/3</f>
        <v>1</v>
      </c>
      <c r="FN48" s="4">
        <f>(Foglio1!$EP48)</f>
        <v>1</v>
      </c>
      <c r="FO48" s="4">
        <f>(Foglio1!$EY48+Foglio1!$FC48+Foglio1!$FF48+Foglio1!$FM48)/4</f>
        <v>0.83333333333333326</v>
      </c>
      <c r="FP48" s="4">
        <f>(Foglio1!$EP48+Foglio1!$EY48+Foglio1!$FC48+Foglio1!$FF48+Foglio1!$FM48)/5</f>
        <v>0.86666666666666659</v>
      </c>
      <c r="FQ48" s="6">
        <v>45551</v>
      </c>
      <c r="FR48" s="4" t="s">
        <v>356</v>
      </c>
      <c r="FS48" s="4" t="s">
        <v>356</v>
      </c>
      <c r="FT48" s="4" t="s">
        <v>356</v>
      </c>
      <c r="FU48" s="4" t="s">
        <v>356</v>
      </c>
      <c r="FV48" s="4" t="s">
        <v>356</v>
      </c>
      <c r="FW48" s="4" t="s">
        <v>356</v>
      </c>
      <c r="FX48" s="4" t="s">
        <v>356</v>
      </c>
      <c r="FY48" s="4">
        <v>2</v>
      </c>
      <c r="FZ48" s="4">
        <v>2</v>
      </c>
      <c r="GA48" s="4">
        <v>5</v>
      </c>
      <c r="GB48" s="4">
        <v>80</v>
      </c>
      <c r="GC48" s="4">
        <v>0</v>
      </c>
      <c r="GD48" s="4">
        <v>0</v>
      </c>
      <c r="GE48" s="4">
        <v>0</v>
      </c>
      <c r="GF48" s="4">
        <v>0</v>
      </c>
      <c r="GG48" s="4">
        <v>0</v>
      </c>
      <c r="GH48" s="4">
        <v>0</v>
      </c>
      <c r="GI48" s="4">
        <v>0</v>
      </c>
      <c r="GJ48" s="4">
        <v>1</v>
      </c>
      <c r="GK48" s="4">
        <v>0</v>
      </c>
      <c r="GL48" s="4">
        <v>0</v>
      </c>
      <c r="GM48" s="4">
        <v>1</v>
      </c>
      <c r="GN48" s="4">
        <v>0</v>
      </c>
      <c r="GO48" s="4">
        <v>0</v>
      </c>
      <c r="GP48" s="4">
        <v>0</v>
      </c>
      <c r="GQ48" s="4">
        <v>1</v>
      </c>
      <c r="GR48" s="4">
        <v>2</v>
      </c>
      <c r="GS48" s="4">
        <v>1</v>
      </c>
      <c r="GT48" s="4">
        <v>1</v>
      </c>
      <c r="GU48" s="4">
        <v>0</v>
      </c>
      <c r="GV48" s="4">
        <v>1</v>
      </c>
      <c r="GW48" s="4">
        <v>0</v>
      </c>
      <c r="GX48" s="4">
        <v>0</v>
      </c>
      <c r="GY48" s="4">
        <v>0</v>
      </c>
      <c r="GZ48" s="4">
        <v>0</v>
      </c>
      <c r="HA48" s="4">
        <v>0</v>
      </c>
      <c r="HB48" s="4">
        <v>0</v>
      </c>
      <c r="HC48" s="4">
        <v>0</v>
      </c>
      <c r="HD48" s="4">
        <v>0</v>
      </c>
      <c r="HE48" s="4">
        <v>2</v>
      </c>
      <c r="HF48" s="4">
        <v>0</v>
      </c>
      <c r="HG48" s="4">
        <f>SUM(GC48:HF48)</f>
        <v>10</v>
      </c>
      <c r="HH48" s="4">
        <f>SUM(GC48+GE48+GY48+GH48+GG48+GQ48+HB48+HF48-GN48)</f>
        <v>1</v>
      </c>
      <c r="HI48" s="4">
        <f>SUM(GO48+GJ48+GK48+GM48+GW48+GL48+HF48+GX48+HC48-GD48)</f>
        <v>2</v>
      </c>
      <c r="HJ48" s="4">
        <f>SUM(GP48+HA48+GZ48+GD48+GN48+GU48+HB48+HC48+HE48+GY48)</f>
        <v>2</v>
      </c>
      <c r="HK48" s="4">
        <f>SUM(HD48+GF48+GI48+GX48+GG48+GL48+GT48+HF48)</f>
        <v>1</v>
      </c>
      <c r="HL48" s="4">
        <f>SUM(GR48+GV48+GS48+GT48+GH48+GQ48+HE48+HF48)</f>
        <v>8</v>
      </c>
      <c r="HM48" s="4">
        <v>0</v>
      </c>
      <c r="HN48" s="4">
        <v>0</v>
      </c>
      <c r="HO48" s="4">
        <v>0</v>
      </c>
      <c r="HP48" s="4">
        <v>0</v>
      </c>
      <c r="HQ48" s="4">
        <v>0</v>
      </c>
      <c r="HR48" s="4">
        <v>0</v>
      </c>
      <c r="HS48" s="4">
        <v>0</v>
      </c>
      <c r="HT48" s="4">
        <v>0</v>
      </c>
      <c r="HU48" s="4">
        <v>0</v>
      </c>
      <c r="HV48" s="4">
        <v>0</v>
      </c>
      <c r="HW48" s="4">
        <v>0</v>
      </c>
      <c r="HX48" s="4">
        <v>0</v>
      </c>
      <c r="HY48" s="4">
        <v>0</v>
      </c>
      <c r="HZ48" s="4">
        <v>0</v>
      </c>
      <c r="IA48" s="4">
        <v>0</v>
      </c>
      <c r="IB48" s="4">
        <v>0</v>
      </c>
      <c r="IC48" s="4">
        <v>2</v>
      </c>
      <c r="ID48" s="4">
        <v>0</v>
      </c>
      <c r="IE48" s="4">
        <v>0</v>
      </c>
      <c r="IF48" s="4">
        <v>1</v>
      </c>
      <c r="IG48" s="4">
        <v>0</v>
      </c>
      <c r="IH48" s="4">
        <v>0</v>
      </c>
      <c r="II48" s="4">
        <v>1</v>
      </c>
      <c r="IJ48" s="4">
        <v>0</v>
      </c>
      <c r="IK48" s="4">
        <v>2</v>
      </c>
      <c r="IL48" s="4">
        <v>0</v>
      </c>
      <c r="IM48" s="4">
        <v>0</v>
      </c>
      <c r="IN48" s="4">
        <v>1</v>
      </c>
      <c r="IO48" s="4">
        <v>2</v>
      </c>
      <c r="IP48" s="4">
        <v>0</v>
      </c>
      <c r="IQ48" s="4">
        <f>SUM(HN48+HQ48+HP48+HO48+HV48+HM48+HX48+HU48+HW48+HZ48+HY48+IC48+HR48+HT48+ID48)</f>
        <v>2</v>
      </c>
      <c r="IR48" s="4">
        <f>SUM(IJ48+IK48+IN48+IL48+IM48+II48+IH48)</f>
        <v>4</v>
      </c>
      <c r="IS48" s="4">
        <f>SUM(IF48+IE48+IG48)</f>
        <v>1</v>
      </c>
      <c r="IT48" s="4">
        <f>SUM(IP48+IO48)</f>
        <v>2</v>
      </c>
      <c r="IU48" s="4" t="s">
        <v>383</v>
      </c>
      <c r="IV48" s="4" t="s">
        <v>383</v>
      </c>
      <c r="IW48" s="4" t="s">
        <v>383</v>
      </c>
      <c r="IX48" s="4" t="s">
        <v>383</v>
      </c>
      <c r="IY48" s="4">
        <v>1</v>
      </c>
      <c r="IZ48" s="4">
        <v>1</v>
      </c>
      <c r="JA48" s="4">
        <v>1</v>
      </c>
      <c r="JB48" s="4">
        <v>1</v>
      </c>
      <c r="JC48" s="4">
        <f>(Foglio1!$IY48+Foglio1!$IZ48+Foglio1!$JA48+Foglio1!$JB48)/4</f>
        <v>1</v>
      </c>
      <c r="JD48" s="4">
        <v>1</v>
      </c>
      <c r="JE48" s="4">
        <v>0</v>
      </c>
      <c r="JF48" s="4">
        <v>1</v>
      </c>
      <c r="JG48" s="4">
        <v>1</v>
      </c>
      <c r="JH48" s="4" t="s">
        <v>1498</v>
      </c>
      <c r="JI48" s="4">
        <v>1</v>
      </c>
      <c r="JJ48" s="4" t="s">
        <v>1499</v>
      </c>
      <c r="JK48" s="4">
        <v>0</v>
      </c>
      <c r="JL48" s="4">
        <f>(Foglio1!$JD48+Foglio1!$JE48+Foglio1!$JF48+Foglio1!$JG48+Foglio1!$JI48+Foglio1!$JK48)/6</f>
        <v>0.66666666666666663</v>
      </c>
      <c r="JM48" s="4">
        <v>1</v>
      </c>
      <c r="JN48" s="4">
        <v>0</v>
      </c>
      <c r="JO48" s="4">
        <v>1</v>
      </c>
      <c r="JP48" s="4">
        <f>(Foglio1!$JM48+Foglio1!$JN48+Foglio1!$JO48)/3</f>
        <v>0.66666666666666663</v>
      </c>
      <c r="JQ48" s="4">
        <v>1</v>
      </c>
      <c r="JR48" s="4">
        <v>0</v>
      </c>
      <c r="JS48" s="4">
        <f>(Foglio1!$JQ48+Foglio1!$JR48)/2</f>
        <v>0.5</v>
      </c>
      <c r="JT48" s="4" t="s">
        <v>1500</v>
      </c>
      <c r="JU48" s="4">
        <v>1</v>
      </c>
      <c r="JV48" s="4" t="s">
        <v>1501</v>
      </c>
      <c r="JW48" s="4">
        <v>0</v>
      </c>
      <c r="JX48" s="4" t="s">
        <v>1502</v>
      </c>
      <c r="JY48" s="4">
        <v>1</v>
      </c>
      <c r="JZ48" s="4">
        <f>(Foglio1!$JU48+Foglio1!$JW48+Foglio1!$JY48)/3</f>
        <v>0.66666666666666663</v>
      </c>
      <c r="KA48" s="4">
        <f>(Foglio1!$JC48)</f>
        <v>1</v>
      </c>
      <c r="KB48" s="4">
        <f>(Foglio1!$JL48+Foglio1!$JP48+Foglio1!$JS48+Foglio1!$JZ48)/4</f>
        <v>0.625</v>
      </c>
      <c r="KC48" s="4">
        <f>(Foglio1!$JC48+Foglio1!$JL48+Foglio1!$JP48+Foglio1!$JS48+Foglio1!$JZ48)/5</f>
        <v>0.7</v>
      </c>
      <c r="KD48" s="4" t="s">
        <v>1503</v>
      </c>
      <c r="KE48" s="4">
        <v>2</v>
      </c>
      <c r="KF48" s="4">
        <v>3</v>
      </c>
      <c r="KG48" s="4" t="s">
        <v>1504</v>
      </c>
      <c r="KH48" s="4">
        <v>0</v>
      </c>
      <c r="KI48" s="4">
        <v>2</v>
      </c>
      <c r="KJ48" s="4" t="s">
        <v>1505</v>
      </c>
      <c r="KK48" s="4">
        <v>2</v>
      </c>
      <c r="KL48" s="4">
        <v>3</v>
      </c>
      <c r="KM48" s="4" t="s">
        <v>1506</v>
      </c>
      <c r="KN48" s="4">
        <v>0</v>
      </c>
      <c r="KO48" s="4">
        <v>1</v>
      </c>
      <c r="KP48" s="4" t="s">
        <v>1507</v>
      </c>
      <c r="KQ48" s="4">
        <v>2</v>
      </c>
      <c r="KR48" s="4">
        <v>2</v>
      </c>
      <c r="KS48" s="4" t="s">
        <v>1508</v>
      </c>
      <c r="KT48" s="4">
        <v>2</v>
      </c>
      <c r="KU48" s="4">
        <v>1</v>
      </c>
      <c r="KV48" s="4" t="s">
        <v>1509</v>
      </c>
      <c r="KW48" s="4">
        <v>1</v>
      </c>
      <c r="KX48" s="4">
        <v>1</v>
      </c>
      <c r="KY48" s="4" t="s">
        <v>1510</v>
      </c>
      <c r="KZ48" s="4">
        <v>1</v>
      </c>
      <c r="LA48" s="4">
        <v>3</v>
      </c>
      <c r="LB48" s="4" t="s">
        <v>1511</v>
      </c>
      <c r="LC48" s="4">
        <v>2</v>
      </c>
      <c r="LD48" s="4">
        <v>1</v>
      </c>
      <c r="LE48" s="4" t="s">
        <v>1512</v>
      </c>
      <c r="LF48" s="4">
        <v>2</v>
      </c>
      <c r="LG48" s="4">
        <v>2</v>
      </c>
      <c r="LH48" s="4" t="s">
        <v>1513</v>
      </c>
      <c r="LI48" s="4">
        <v>2</v>
      </c>
      <c r="LJ48" s="4">
        <v>1</v>
      </c>
      <c r="LK48" s="4" t="s">
        <v>1514</v>
      </c>
      <c r="LL48" s="4">
        <v>2</v>
      </c>
      <c r="LM48" s="4">
        <v>2</v>
      </c>
      <c r="LN48" s="4" t="s">
        <v>1515</v>
      </c>
      <c r="LO48" s="4">
        <v>1</v>
      </c>
      <c r="LP48" s="4">
        <v>1</v>
      </c>
      <c r="LQ48" s="4" t="s">
        <v>1516</v>
      </c>
      <c r="LR48" s="4">
        <v>2</v>
      </c>
      <c r="LS48" s="4">
        <v>2</v>
      </c>
      <c r="LT48" s="4">
        <f>(Foglio1!$KE48+Foglio1!$KH48+Foglio1!$KK48+Foglio1!$KN48+Foglio1!$KQ48+Foglio1!$KT48+Foglio1!$KW48+Foglio1!$KZ48+Foglio1!$LC48+Foglio1!$LF48+Foglio1!$LI48+Foglio1!$LL48+Foglio1!$LO48+Foglio1!$LR48)</f>
        <v>21</v>
      </c>
      <c r="LU48" s="4">
        <f>(Foglio1!$KI48+Foglio1!$KF48+Foglio1!$KL48+Foglio1!$KO48+Foglio1!$KR48+Foglio1!$KU48+Foglio1!$KX48+Foglio1!$LA48+Foglio1!$LD48+Foglio1!$LG48+Foglio1!$LJ48+Foglio1!$LM48+Foglio1!$LP48+Foglio1!$LS48)</f>
        <v>25</v>
      </c>
      <c r="LV48" s="4">
        <v>18</v>
      </c>
      <c r="LW48" s="4">
        <v>50</v>
      </c>
      <c r="LX48" s="4">
        <v>11</v>
      </c>
      <c r="LY48" s="4">
        <v>34</v>
      </c>
      <c r="LZ48" s="3">
        <v>0</v>
      </c>
      <c r="MA48" s="3">
        <v>0</v>
      </c>
      <c r="MB48" s="3">
        <v>0</v>
      </c>
      <c r="MC48" s="3">
        <v>2</v>
      </c>
      <c r="MD48" s="3">
        <f t="shared" si="7"/>
        <v>2</v>
      </c>
      <c r="ME48" s="3">
        <v>0</v>
      </c>
      <c r="MF48" s="3">
        <v>0</v>
      </c>
      <c r="MG48" s="3">
        <v>0</v>
      </c>
      <c r="MH48" s="3">
        <v>0</v>
      </c>
      <c r="MI48" s="3">
        <f t="shared" si="8"/>
        <v>0</v>
      </c>
    </row>
    <row r="49" spans="1:347" ht="15.75" customHeight="1" x14ac:dyDescent="0.25">
      <c r="A49" s="4" t="s">
        <v>1517</v>
      </c>
      <c r="B49" s="4">
        <v>36</v>
      </c>
      <c r="C49" s="4" t="s">
        <v>403</v>
      </c>
      <c r="D49" s="15" t="s">
        <v>383</v>
      </c>
      <c r="E49" s="4">
        <v>1</v>
      </c>
      <c r="F49" s="4" t="s">
        <v>360</v>
      </c>
      <c r="G49" s="5" t="s">
        <v>383</v>
      </c>
      <c r="H49" s="4" t="s">
        <v>1470</v>
      </c>
      <c r="I49" s="4" t="s">
        <v>1470</v>
      </c>
      <c r="J49" s="4"/>
      <c r="K49" s="4"/>
      <c r="L49" s="5" t="s">
        <v>356</v>
      </c>
      <c r="M49" s="4" t="s">
        <v>449</v>
      </c>
      <c r="N49" s="4" t="s">
        <v>1518</v>
      </c>
      <c r="O49" s="9">
        <v>45930</v>
      </c>
      <c r="P49" s="6">
        <v>45954</v>
      </c>
      <c r="Q49" s="3" t="s">
        <v>359</v>
      </c>
      <c r="R49" s="4"/>
      <c r="S49" s="4" t="s">
        <v>355</v>
      </c>
      <c r="T49" s="4" t="s">
        <v>360</v>
      </c>
      <c r="U49" s="4"/>
      <c r="V49" s="4" t="s">
        <v>408</v>
      </c>
      <c r="W49" s="4" t="s">
        <v>412</v>
      </c>
      <c r="X49" s="4" t="s">
        <v>798</v>
      </c>
      <c r="Y49" s="4" t="s">
        <v>364</v>
      </c>
      <c r="Z49" s="4" t="s">
        <v>365</v>
      </c>
      <c r="AA49" s="4"/>
      <c r="AB49" s="4"/>
      <c r="AC49" s="4"/>
      <c r="AD49" s="4"/>
      <c r="AE49" s="4"/>
      <c r="AF49" s="4"/>
      <c r="AG49" s="4"/>
      <c r="AH49" s="4" t="s">
        <v>798</v>
      </c>
      <c r="AI49" s="4" t="s">
        <v>1483</v>
      </c>
      <c r="AJ49" s="4" t="s">
        <v>412</v>
      </c>
      <c r="AK49" s="4" t="s">
        <v>1519</v>
      </c>
      <c r="AL49" s="4" t="s">
        <v>408</v>
      </c>
      <c r="AM49" s="4" t="s">
        <v>994</v>
      </c>
      <c r="AN49" s="4" t="s">
        <v>363</v>
      </c>
      <c r="AO49" s="4" t="s">
        <v>692</v>
      </c>
      <c r="AP49" s="5" t="s">
        <v>356</v>
      </c>
      <c r="AQ49" s="5" t="s">
        <v>356</v>
      </c>
      <c r="AR49" s="5" t="s">
        <v>356</v>
      </c>
      <c r="AS49" s="5" t="s">
        <v>356</v>
      </c>
      <c r="AT49" s="5" t="s">
        <v>356</v>
      </c>
      <c r="AU49" s="5" t="s">
        <v>356</v>
      </c>
      <c r="AV49" s="5" t="s">
        <v>356</v>
      </c>
      <c r="AW49" s="5" t="s">
        <v>356</v>
      </c>
      <c r="AX49" s="4">
        <v>4</v>
      </c>
      <c r="AY49" s="4"/>
      <c r="AZ49" s="5" t="s">
        <v>383</v>
      </c>
      <c r="BA49" s="4">
        <f t="shared" si="68"/>
        <v>24</v>
      </c>
      <c r="BB49" s="4"/>
      <c r="BC49" s="4" t="s">
        <v>360</v>
      </c>
      <c r="BD49" s="4"/>
      <c r="BE49" s="4"/>
      <c r="BF49" s="4"/>
      <c r="BG49" s="4"/>
      <c r="BH49" s="4">
        <v>4</v>
      </c>
      <c r="BI49" s="4">
        <v>4</v>
      </c>
      <c r="BJ49" s="4">
        <v>3</v>
      </c>
      <c r="BK49" s="4">
        <v>4</v>
      </c>
      <c r="BL49" s="4">
        <v>4</v>
      </c>
      <c r="BM49" s="4">
        <v>4</v>
      </c>
      <c r="BN49" s="4">
        <v>4</v>
      </c>
      <c r="BO49" s="4">
        <f>SUM(Foglio1!$BH49:$BM49)</f>
        <v>23</v>
      </c>
      <c r="BP49" s="4">
        <v>6</v>
      </c>
      <c r="BQ49" s="4">
        <v>4</v>
      </c>
      <c r="BR49" s="4">
        <v>11</v>
      </c>
      <c r="BS49" s="4">
        <v>50</v>
      </c>
      <c r="BT49" s="4">
        <v>5</v>
      </c>
      <c r="BU49" s="4">
        <v>5</v>
      </c>
      <c r="BV49" s="4">
        <v>5</v>
      </c>
      <c r="BW49" s="4">
        <v>4</v>
      </c>
      <c r="BX49" s="4">
        <v>4</v>
      </c>
      <c r="BY49" s="4">
        <v>4</v>
      </c>
      <c r="BZ49" s="4">
        <v>4</v>
      </c>
      <c r="CA49" s="4">
        <v>3</v>
      </c>
      <c r="CB49" s="4">
        <v>3</v>
      </c>
      <c r="CC49" s="4">
        <v>3</v>
      </c>
      <c r="CD49" s="4">
        <v>4</v>
      </c>
      <c r="CE49" s="4">
        <v>4</v>
      </c>
      <c r="CF49" s="4">
        <v>4</v>
      </c>
      <c r="CG49" s="4">
        <v>3</v>
      </c>
      <c r="CH49" s="4">
        <v>2</v>
      </c>
      <c r="CI49" s="4">
        <v>2</v>
      </c>
      <c r="CJ49" s="4">
        <v>3</v>
      </c>
      <c r="CK49" s="4">
        <v>4</v>
      </c>
      <c r="CL49" s="4">
        <v>2</v>
      </c>
      <c r="CM49" s="4">
        <v>4</v>
      </c>
      <c r="CN49" s="4">
        <v>4</v>
      </c>
      <c r="CO49" s="4">
        <v>5</v>
      </c>
      <c r="CP49" s="4">
        <v>5</v>
      </c>
      <c r="CQ49" s="4">
        <v>3</v>
      </c>
      <c r="CR49" s="4">
        <v>3</v>
      </c>
      <c r="CS49" s="4">
        <v>4</v>
      </c>
      <c r="CT49" s="4">
        <v>4</v>
      </c>
      <c r="CU49" s="4">
        <v>4</v>
      </c>
      <c r="CV49" s="4">
        <v>3</v>
      </c>
      <c r="CW49" s="4">
        <v>3</v>
      </c>
      <c r="CX49" s="4">
        <f>SUM(Foglio1!$BT49:$CW49)</f>
        <v>110</v>
      </c>
      <c r="CY49" s="4">
        <f>SUM(Foglio1!$BT49+Foglio1!$BV49+Foglio1!$CP49+Foglio1!$BY49+Foglio1!$BX49+Foglio1!$CH49+Foglio1!$CS49+Foglio1!$CW49-Foglio1!$CE49)</f>
        <v>28</v>
      </c>
      <c r="CZ49" s="4">
        <f>SUM(Foglio1!$CF49+Foglio1!$CA49+Foglio1!$CB49+Foglio1!$CD49+Foglio1!$CN49+Foglio1!$CC49+Foglio1!$CW49+Foglio1!$CO49+Foglio1!$CT49-Foglio1!$BU49)</f>
        <v>28</v>
      </c>
      <c r="DA49" s="4">
        <f>SUM(Foglio1!$CG49+Foglio1!$CR49+Foglio1!$CQ49+Foglio1!$BU49+Foglio1!$CE49+Foglio1!$CL49+Foglio1!$CS49+Foglio1!$CT49+Foglio1!$CV49+Foglio1!$CP49)</f>
        <v>36</v>
      </c>
      <c r="DB49" s="4">
        <f>SUM(Foglio1!$CU49+Foglio1!$BW49+Foglio1!$BZ49+Foglio1!$CO49+Foglio1!$BX49+Foglio1!$CC49+Foglio1!$CK49+Foglio1!$CW49)</f>
        <v>31</v>
      </c>
      <c r="DC49" s="4">
        <f>SUM(Foglio1!$CI49+Foglio1!$CM49+Foglio1!$CJ49+Foglio1!$CK49+Foglio1!$BY49+Foglio1!$CH49+Foglio1!$CV49+Foglio1!$CW49)</f>
        <v>25</v>
      </c>
      <c r="DD49" s="4">
        <v>0</v>
      </c>
      <c r="DE49" s="4">
        <v>3</v>
      </c>
      <c r="DF49" s="4">
        <v>0</v>
      </c>
      <c r="DG49" s="4">
        <v>1</v>
      </c>
      <c r="DH49" s="4">
        <v>0</v>
      </c>
      <c r="DI49" s="4">
        <v>0</v>
      </c>
      <c r="DJ49" s="4">
        <v>0</v>
      </c>
      <c r="DK49" s="4">
        <v>2</v>
      </c>
      <c r="DL49" s="4">
        <v>0</v>
      </c>
      <c r="DM49" s="4">
        <v>0</v>
      </c>
      <c r="DN49" s="4">
        <v>0</v>
      </c>
      <c r="DO49" s="4">
        <v>0</v>
      </c>
      <c r="DP49" s="4">
        <v>0</v>
      </c>
      <c r="DQ49" s="4">
        <v>0</v>
      </c>
      <c r="DR49" s="4">
        <v>0</v>
      </c>
      <c r="DS49" s="4">
        <v>0</v>
      </c>
      <c r="DT49" s="4">
        <v>3</v>
      </c>
      <c r="DU49" s="4">
        <v>0</v>
      </c>
      <c r="DV49" s="4">
        <v>0</v>
      </c>
      <c r="DW49" s="4">
        <v>2</v>
      </c>
      <c r="DX49" s="4">
        <v>2</v>
      </c>
      <c r="DY49" s="4">
        <v>1</v>
      </c>
      <c r="DZ49" s="4">
        <v>3</v>
      </c>
      <c r="EA49" s="4">
        <v>4</v>
      </c>
      <c r="EB49" s="4">
        <v>3</v>
      </c>
      <c r="EC49" s="4">
        <v>1</v>
      </c>
      <c r="ED49" s="4">
        <v>1</v>
      </c>
      <c r="EE49" s="4">
        <v>4</v>
      </c>
      <c r="EF49" s="4">
        <v>1</v>
      </c>
      <c r="EG49" s="4">
        <v>2</v>
      </c>
      <c r="EH49" s="4">
        <f>(Foglio1!$DE49+Foglio1!$DH49+Foglio1!$DG49+Foglio1!$DF49+Foglio1!$DM49+Foglio1!$DD49+Foglio1!$DO49+Foglio1!$DL49+Foglio1!$DN49+Foglio1!$DQ49+Foglio1!$DP49+Foglio1!$DT49+Foglio1!$DI49+Foglio1!$DK49+Foglio1!$DU49)</f>
        <v>9</v>
      </c>
      <c r="EI49" s="4">
        <f>(Foglio1!$EA49+Foglio1!$EB49+Foglio1!$EE49+Foglio1!$EC49+Foglio1!$ED49+Foglio1!$DZ49+Foglio1!$DY49)</f>
        <v>17</v>
      </c>
      <c r="EJ49" s="4">
        <f>(Foglio1!$DW49+Foglio1!$DV49+Foglio1!$DX49)</f>
        <v>4</v>
      </c>
      <c r="EK49" s="4">
        <f>(Foglio1!$EG49+Foglio1!$EF49)</f>
        <v>3</v>
      </c>
      <c r="EL49" s="4">
        <v>1</v>
      </c>
      <c r="EM49" s="4">
        <v>0</v>
      </c>
      <c r="EN49" s="4">
        <v>1</v>
      </c>
      <c r="EO49" s="4">
        <v>1</v>
      </c>
      <c r="EP49" s="4">
        <f t="array" ref="EP49">SUM(EL49:EO49/4)</f>
        <v>0.75</v>
      </c>
      <c r="EQ49" s="4">
        <v>1</v>
      </c>
      <c r="ER49" s="4">
        <v>1</v>
      </c>
      <c r="ES49" s="4">
        <v>0</v>
      </c>
      <c r="ET49" s="4">
        <v>0</v>
      </c>
      <c r="EU49" s="4" t="s">
        <v>383</v>
      </c>
      <c r="EV49" s="4">
        <v>0</v>
      </c>
      <c r="EW49" s="4" t="s">
        <v>383</v>
      </c>
      <c r="EX49" s="4">
        <v>0</v>
      </c>
      <c r="EY49" s="4">
        <f>(Foglio1!$EQ49+Foglio1!$ER49+Foglio1!$ES49+Foglio1!$ET49+Foglio1!$EV49+Foglio1!$EX49)/6</f>
        <v>0.33333333333333331</v>
      </c>
      <c r="EZ49" s="4">
        <v>1</v>
      </c>
      <c r="FA49" s="4">
        <v>1</v>
      </c>
      <c r="FB49" s="4">
        <v>1</v>
      </c>
      <c r="FC49" s="4">
        <f>(Foglio1!$EZ49+Foglio1!$FA49+Foglio1!$FB49)/3</f>
        <v>1</v>
      </c>
      <c r="FD49" s="4">
        <v>0</v>
      </c>
      <c r="FE49" s="4">
        <v>0</v>
      </c>
      <c r="FF49" s="4">
        <f>(Foglio1!$FD49+Foglio1!$FE49)/2</f>
        <v>0</v>
      </c>
      <c r="FG49" s="4" t="s">
        <v>383</v>
      </c>
      <c r="FH49" s="4">
        <v>0</v>
      </c>
      <c r="FI49" s="4" t="s">
        <v>383</v>
      </c>
      <c r="FJ49" s="4">
        <v>0</v>
      </c>
      <c r="FK49" s="4" t="s">
        <v>383</v>
      </c>
      <c r="FL49" s="4">
        <v>0</v>
      </c>
      <c r="FM49" s="4">
        <f>(Foglio1!$FH49+Foglio1!$FJ49+Foglio1!$FL49)/3</f>
        <v>0</v>
      </c>
      <c r="FN49" s="4">
        <f>(Foglio1!$EP49)</f>
        <v>0.75</v>
      </c>
      <c r="FO49" s="4">
        <f>(Foglio1!$EY49+Foglio1!$FC49+Foglio1!$FF49+Foglio1!$FM49)/4</f>
        <v>0.33333333333333331</v>
      </c>
      <c r="FP49" s="4">
        <f>(Foglio1!$EP49+Foglio1!$EY49+Foglio1!$FC49+Foglio1!$FF49+Foglio1!$FM49)/5</f>
        <v>0.41666666666666663</v>
      </c>
      <c r="FQ49" s="4"/>
      <c r="FR49" s="4" t="s">
        <v>356</v>
      </c>
      <c r="FS49" s="4" t="s">
        <v>356</v>
      </c>
      <c r="FT49" s="4" t="s">
        <v>356</v>
      </c>
      <c r="FU49" s="4" t="s">
        <v>356</v>
      </c>
      <c r="FV49" s="4" t="s">
        <v>356</v>
      </c>
      <c r="FW49" s="4" t="s">
        <v>356</v>
      </c>
      <c r="FX49" s="4" t="s">
        <v>356</v>
      </c>
      <c r="FY49" s="4" t="s">
        <v>356</v>
      </c>
      <c r="FZ49" s="4" t="s">
        <v>356</v>
      </c>
      <c r="GA49" s="4" t="s">
        <v>356</v>
      </c>
      <c r="GB49" s="4" t="s">
        <v>356</v>
      </c>
      <c r="GC49" s="4" t="s">
        <v>356</v>
      </c>
      <c r="GD49" s="4" t="s">
        <v>356</v>
      </c>
      <c r="GE49" s="4" t="s">
        <v>356</v>
      </c>
      <c r="GF49" s="4" t="s">
        <v>356</v>
      </c>
      <c r="GG49" s="4" t="s">
        <v>356</v>
      </c>
      <c r="GH49" s="4" t="s">
        <v>356</v>
      </c>
      <c r="GI49" s="4" t="s">
        <v>356</v>
      </c>
      <c r="GJ49" s="4" t="s">
        <v>356</v>
      </c>
      <c r="GK49" s="4" t="s">
        <v>356</v>
      </c>
      <c r="GL49" s="4" t="s">
        <v>356</v>
      </c>
      <c r="GM49" s="4" t="s">
        <v>356</v>
      </c>
      <c r="GN49" s="4" t="s">
        <v>356</v>
      </c>
      <c r="GO49" s="4" t="s">
        <v>356</v>
      </c>
      <c r="GP49" s="4" t="s">
        <v>356</v>
      </c>
      <c r="GQ49" s="4" t="s">
        <v>356</v>
      </c>
      <c r="GR49" s="4" t="s">
        <v>356</v>
      </c>
      <c r="GS49" s="4" t="s">
        <v>356</v>
      </c>
      <c r="GT49" s="4" t="s">
        <v>356</v>
      </c>
      <c r="GU49" s="4" t="s">
        <v>356</v>
      </c>
      <c r="GV49" s="4" t="s">
        <v>356</v>
      </c>
      <c r="GW49" s="4" t="s">
        <v>356</v>
      </c>
      <c r="GX49" s="4" t="s">
        <v>356</v>
      </c>
      <c r="GY49" s="4" t="s">
        <v>356</v>
      </c>
      <c r="GZ49" s="4" t="s">
        <v>356</v>
      </c>
      <c r="HA49" s="4" t="s">
        <v>356</v>
      </c>
      <c r="HB49" s="4" t="s">
        <v>356</v>
      </c>
      <c r="HC49" s="4" t="s">
        <v>356</v>
      </c>
      <c r="HD49" s="4" t="s">
        <v>356</v>
      </c>
      <c r="HE49" s="4" t="s">
        <v>356</v>
      </c>
      <c r="HF49" s="4" t="s">
        <v>356</v>
      </c>
      <c r="HG49" s="4" t="s">
        <v>356</v>
      </c>
      <c r="HH49" s="4" t="s">
        <v>356</v>
      </c>
      <c r="HI49" s="4" t="s">
        <v>356</v>
      </c>
      <c r="HJ49" s="4" t="s">
        <v>356</v>
      </c>
      <c r="HK49" s="4" t="s">
        <v>356</v>
      </c>
      <c r="HL49" s="4" t="s">
        <v>356</v>
      </c>
      <c r="HM49" s="4" t="s">
        <v>356</v>
      </c>
      <c r="HN49" s="4" t="s">
        <v>356</v>
      </c>
      <c r="HO49" s="4" t="s">
        <v>356</v>
      </c>
      <c r="HP49" s="4" t="s">
        <v>356</v>
      </c>
      <c r="HQ49" s="4" t="s">
        <v>356</v>
      </c>
      <c r="HR49" s="4" t="s">
        <v>356</v>
      </c>
      <c r="HS49" s="4" t="s">
        <v>356</v>
      </c>
      <c r="HT49" s="4" t="s">
        <v>356</v>
      </c>
      <c r="HU49" s="4" t="s">
        <v>356</v>
      </c>
      <c r="HV49" s="4" t="s">
        <v>356</v>
      </c>
      <c r="HW49" s="4" t="s">
        <v>356</v>
      </c>
      <c r="HX49" s="4" t="s">
        <v>356</v>
      </c>
      <c r="HY49" s="4" t="s">
        <v>356</v>
      </c>
      <c r="HZ49" s="4" t="s">
        <v>356</v>
      </c>
      <c r="IA49" s="4" t="s">
        <v>356</v>
      </c>
      <c r="IB49" s="4" t="s">
        <v>356</v>
      </c>
      <c r="IC49" s="4" t="s">
        <v>356</v>
      </c>
      <c r="ID49" s="4" t="s">
        <v>356</v>
      </c>
      <c r="IE49" s="4" t="s">
        <v>356</v>
      </c>
      <c r="IF49" s="4" t="s">
        <v>356</v>
      </c>
      <c r="IG49" s="4" t="s">
        <v>356</v>
      </c>
      <c r="IH49" s="4" t="s">
        <v>356</v>
      </c>
      <c r="II49" s="4" t="s">
        <v>356</v>
      </c>
      <c r="IJ49" s="4" t="s">
        <v>356</v>
      </c>
      <c r="IK49" s="4" t="s">
        <v>356</v>
      </c>
      <c r="IL49" s="4" t="s">
        <v>356</v>
      </c>
      <c r="IM49" s="4" t="s">
        <v>356</v>
      </c>
      <c r="IN49" s="4" t="s">
        <v>356</v>
      </c>
      <c r="IO49" s="4" t="s">
        <v>356</v>
      </c>
      <c r="IP49" s="4" t="s">
        <v>356</v>
      </c>
      <c r="IQ49" s="4" t="s">
        <v>356</v>
      </c>
      <c r="IR49" s="4" t="s">
        <v>356</v>
      </c>
      <c r="IS49" s="4" t="s">
        <v>356</v>
      </c>
      <c r="IT49" s="4" t="s">
        <v>356</v>
      </c>
      <c r="IU49" s="4" t="s">
        <v>356</v>
      </c>
      <c r="IV49" s="4" t="s">
        <v>356</v>
      </c>
      <c r="IW49" s="4" t="s">
        <v>356</v>
      </c>
      <c r="IX49" s="4" t="s">
        <v>356</v>
      </c>
      <c r="IY49" s="4" t="s">
        <v>356</v>
      </c>
      <c r="IZ49" s="4" t="s">
        <v>356</v>
      </c>
      <c r="JA49" s="4" t="s">
        <v>356</v>
      </c>
      <c r="JB49" s="4" t="s">
        <v>356</v>
      </c>
      <c r="JC49" s="4" t="s">
        <v>356</v>
      </c>
      <c r="JD49" s="4" t="s">
        <v>356</v>
      </c>
      <c r="JE49" s="4" t="s">
        <v>356</v>
      </c>
      <c r="JF49" s="4" t="s">
        <v>356</v>
      </c>
      <c r="JG49" s="4" t="s">
        <v>356</v>
      </c>
      <c r="JH49" s="4" t="s">
        <v>356</v>
      </c>
      <c r="JI49" s="4" t="s">
        <v>356</v>
      </c>
      <c r="JJ49" s="4" t="s">
        <v>356</v>
      </c>
      <c r="JK49" s="4" t="s">
        <v>356</v>
      </c>
      <c r="JL49" s="4" t="s">
        <v>356</v>
      </c>
      <c r="JM49" s="4" t="s">
        <v>356</v>
      </c>
      <c r="JN49" s="4" t="s">
        <v>356</v>
      </c>
      <c r="JO49" s="4" t="s">
        <v>356</v>
      </c>
      <c r="JP49" s="4" t="s">
        <v>356</v>
      </c>
      <c r="JQ49" s="4" t="s">
        <v>356</v>
      </c>
      <c r="JR49" s="4" t="s">
        <v>356</v>
      </c>
      <c r="JS49" s="4" t="s">
        <v>356</v>
      </c>
      <c r="JT49" s="4" t="s">
        <v>356</v>
      </c>
      <c r="JU49" s="4" t="s">
        <v>356</v>
      </c>
      <c r="JV49" s="4" t="s">
        <v>356</v>
      </c>
      <c r="JW49" s="4" t="s">
        <v>356</v>
      </c>
      <c r="JX49" s="4" t="s">
        <v>356</v>
      </c>
      <c r="JY49" s="4" t="s">
        <v>356</v>
      </c>
      <c r="JZ49" s="4" t="s">
        <v>356</v>
      </c>
      <c r="KA49" s="4" t="str">
        <f>(Foglio1!$JC49)</f>
        <v>BBB</v>
      </c>
      <c r="KB49" s="4" t="s">
        <v>356</v>
      </c>
      <c r="KC49" s="4" t="s">
        <v>356</v>
      </c>
      <c r="KD49" s="4" t="s">
        <v>356</v>
      </c>
      <c r="KE49" s="4" t="s">
        <v>356</v>
      </c>
      <c r="KF49" s="4" t="s">
        <v>356</v>
      </c>
      <c r="KG49" s="4" t="s">
        <v>356</v>
      </c>
      <c r="KH49" s="4" t="s">
        <v>356</v>
      </c>
      <c r="KI49" s="4" t="s">
        <v>356</v>
      </c>
      <c r="KJ49" s="4" t="s">
        <v>356</v>
      </c>
      <c r="KK49" s="4" t="s">
        <v>356</v>
      </c>
      <c r="KL49" s="4" t="s">
        <v>356</v>
      </c>
      <c r="KM49" s="4" t="s">
        <v>356</v>
      </c>
      <c r="KN49" s="4" t="s">
        <v>356</v>
      </c>
      <c r="KO49" s="4" t="s">
        <v>356</v>
      </c>
      <c r="KP49" s="4" t="s">
        <v>356</v>
      </c>
      <c r="KQ49" s="4" t="s">
        <v>356</v>
      </c>
      <c r="KR49" s="4" t="s">
        <v>356</v>
      </c>
      <c r="KS49" s="4" t="s">
        <v>356</v>
      </c>
      <c r="KT49" s="4" t="s">
        <v>356</v>
      </c>
      <c r="KU49" s="4" t="s">
        <v>356</v>
      </c>
      <c r="KV49" s="4" t="s">
        <v>356</v>
      </c>
      <c r="KW49" s="4" t="s">
        <v>356</v>
      </c>
      <c r="KX49" s="4" t="s">
        <v>356</v>
      </c>
      <c r="KY49" s="4" t="s">
        <v>356</v>
      </c>
      <c r="KZ49" s="4" t="s">
        <v>356</v>
      </c>
      <c r="LA49" s="4" t="s">
        <v>356</v>
      </c>
      <c r="LB49" s="4" t="s">
        <v>356</v>
      </c>
      <c r="LC49" s="4" t="s">
        <v>356</v>
      </c>
      <c r="LD49" s="4" t="s">
        <v>356</v>
      </c>
      <c r="LE49" s="4" t="s">
        <v>356</v>
      </c>
      <c r="LF49" s="4" t="s">
        <v>356</v>
      </c>
      <c r="LG49" s="4" t="s">
        <v>356</v>
      </c>
      <c r="LH49" s="4" t="s">
        <v>356</v>
      </c>
      <c r="LI49" s="4" t="s">
        <v>356</v>
      </c>
      <c r="LJ49" s="4" t="s">
        <v>356</v>
      </c>
      <c r="LK49" s="4" t="s">
        <v>356</v>
      </c>
      <c r="LL49" s="4" t="s">
        <v>356</v>
      </c>
      <c r="LM49" s="4" t="s">
        <v>356</v>
      </c>
      <c r="LN49" s="4" t="s">
        <v>356</v>
      </c>
      <c r="LO49" s="4" t="s">
        <v>356</v>
      </c>
      <c r="LP49" s="4" t="s">
        <v>356</v>
      </c>
      <c r="LQ49" s="4" t="s">
        <v>356</v>
      </c>
      <c r="LR49" s="4" t="s">
        <v>356</v>
      </c>
      <c r="LS49" s="4" t="s">
        <v>356</v>
      </c>
      <c r="LT49" s="4" t="s">
        <v>356</v>
      </c>
      <c r="LU49" s="4" t="s">
        <v>356</v>
      </c>
      <c r="LV49" s="4" t="s">
        <v>356</v>
      </c>
      <c r="LW49" s="4" t="s">
        <v>356</v>
      </c>
      <c r="LX49" s="4" t="s">
        <v>356</v>
      </c>
      <c r="LY49" s="4" t="s">
        <v>356</v>
      </c>
      <c r="LZ49" s="3">
        <v>0</v>
      </c>
      <c r="MA49" s="3">
        <v>4</v>
      </c>
      <c r="MB49" s="3">
        <v>1</v>
      </c>
      <c r="MC49" s="3">
        <v>0</v>
      </c>
      <c r="MD49" s="3">
        <f t="shared" si="7"/>
        <v>5</v>
      </c>
      <c r="ME49" s="3">
        <v>0</v>
      </c>
      <c r="MF49" s="3">
        <v>2</v>
      </c>
      <c r="MG49" s="3">
        <v>1</v>
      </c>
      <c r="MH49" s="3">
        <v>0</v>
      </c>
      <c r="MI49" s="3">
        <f t="shared" si="8"/>
        <v>3</v>
      </c>
    </row>
    <row r="50" spans="1:347" ht="15.75" customHeight="1" x14ac:dyDescent="0.25">
      <c r="A50" s="4" t="s">
        <v>1520</v>
      </c>
      <c r="B50" s="5" t="s">
        <v>383</v>
      </c>
      <c r="C50" s="5" t="s">
        <v>383</v>
      </c>
      <c r="D50" s="5" t="s">
        <v>383</v>
      </c>
      <c r="E50" s="4">
        <v>1</v>
      </c>
      <c r="F50" s="4" t="s">
        <v>360</v>
      </c>
      <c r="G50" s="5" t="s">
        <v>383</v>
      </c>
      <c r="H50" s="4" t="s">
        <v>1521</v>
      </c>
      <c r="I50" s="4" t="s">
        <v>1521</v>
      </c>
      <c r="J50" s="4"/>
      <c r="K50" s="4"/>
      <c r="L50" s="5" t="s">
        <v>356</v>
      </c>
      <c r="M50" s="4" t="s">
        <v>357</v>
      </c>
      <c r="N50" s="4" t="s">
        <v>406</v>
      </c>
      <c r="O50" s="6">
        <v>45649</v>
      </c>
      <c r="P50" s="9">
        <v>45667</v>
      </c>
      <c r="Q50" s="4" t="s">
        <v>1522</v>
      </c>
      <c r="R50" s="4"/>
      <c r="S50" s="4"/>
      <c r="T50" s="4" t="s">
        <v>360</v>
      </c>
      <c r="U50" s="4"/>
      <c r="V50" s="4" t="s">
        <v>654</v>
      </c>
      <c r="W50" s="4" t="s">
        <v>361</v>
      </c>
      <c r="X50" s="4" t="s">
        <v>980</v>
      </c>
      <c r="Y50" s="4" t="s">
        <v>688</v>
      </c>
      <c r="Z50" s="4" t="s">
        <v>413</v>
      </c>
      <c r="AA50" s="4" t="s">
        <v>1246</v>
      </c>
      <c r="AB50" s="4" t="s">
        <v>364</v>
      </c>
      <c r="AC50" s="4" t="s">
        <v>976</v>
      </c>
      <c r="AD50" s="4"/>
      <c r="AE50" s="4"/>
      <c r="AF50" s="4"/>
      <c r="AG50" s="4"/>
      <c r="AH50" s="4" t="s">
        <v>654</v>
      </c>
      <c r="AI50" s="4" t="s">
        <v>1523</v>
      </c>
      <c r="AJ50" s="4" t="s">
        <v>980</v>
      </c>
      <c r="AK50" s="4" t="s">
        <v>981</v>
      </c>
      <c r="AL50" s="4" t="s">
        <v>976</v>
      </c>
      <c r="AM50" s="4" t="s">
        <v>1524</v>
      </c>
      <c r="AN50" s="5" t="s">
        <v>356</v>
      </c>
      <c r="AO50" s="5" t="s">
        <v>356</v>
      </c>
      <c r="AP50" s="5" t="s">
        <v>356</v>
      </c>
      <c r="AQ50" s="5" t="s">
        <v>356</v>
      </c>
      <c r="AR50" s="5" t="s">
        <v>356</v>
      </c>
      <c r="AS50" s="5" t="s">
        <v>356</v>
      </c>
      <c r="AT50" s="5" t="s">
        <v>356</v>
      </c>
      <c r="AU50" s="5" t="s">
        <v>356</v>
      </c>
      <c r="AV50" s="5" t="s">
        <v>356</v>
      </c>
      <c r="AW50" s="5" t="s">
        <v>356</v>
      </c>
      <c r="AX50" s="4">
        <v>3</v>
      </c>
      <c r="AY50" s="4"/>
      <c r="AZ50" s="5" t="s">
        <v>383</v>
      </c>
      <c r="BA50" s="4">
        <f t="shared" si="68"/>
        <v>18</v>
      </c>
      <c r="BB50" s="4"/>
      <c r="BC50" s="4" t="s">
        <v>360</v>
      </c>
      <c r="BD50" s="4"/>
      <c r="BE50" s="4"/>
      <c r="BF50" s="4"/>
      <c r="BG50" s="4"/>
      <c r="BH50" s="5" t="s">
        <v>383</v>
      </c>
      <c r="BI50" s="5" t="s">
        <v>383</v>
      </c>
      <c r="BJ50" s="5" t="s">
        <v>383</v>
      </c>
      <c r="BK50" s="5" t="s">
        <v>383</v>
      </c>
      <c r="BL50" s="5" t="s">
        <v>383</v>
      </c>
      <c r="BM50" s="5" t="s">
        <v>383</v>
      </c>
      <c r="BN50" s="5" t="s">
        <v>383</v>
      </c>
      <c r="BO50" s="5" t="s">
        <v>383</v>
      </c>
      <c r="BP50" s="4">
        <v>0</v>
      </c>
      <c r="BQ50" s="4">
        <v>0</v>
      </c>
      <c r="BR50" s="4">
        <v>0</v>
      </c>
      <c r="BS50" s="5" t="s">
        <v>383</v>
      </c>
      <c r="BT50" s="5" t="s">
        <v>383</v>
      </c>
      <c r="BU50" s="5" t="s">
        <v>383</v>
      </c>
      <c r="BV50" s="5" t="s">
        <v>383</v>
      </c>
      <c r="BW50" s="5" t="s">
        <v>383</v>
      </c>
      <c r="BX50" s="5" t="s">
        <v>383</v>
      </c>
      <c r="BY50" s="5" t="s">
        <v>383</v>
      </c>
      <c r="BZ50" s="5" t="s">
        <v>383</v>
      </c>
      <c r="CA50" s="5" t="s">
        <v>383</v>
      </c>
      <c r="CB50" s="5" t="s">
        <v>383</v>
      </c>
      <c r="CC50" s="5" t="s">
        <v>383</v>
      </c>
      <c r="CD50" s="5" t="s">
        <v>383</v>
      </c>
      <c r="CE50" s="5" t="s">
        <v>383</v>
      </c>
      <c r="CF50" s="5" t="s">
        <v>383</v>
      </c>
      <c r="CG50" s="5" t="s">
        <v>383</v>
      </c>
      <c r="CH50" s="5" t="s">
        <v>383</v>
      </c>
      <c r="CI50" s="5" t="s">
        <v>383</v>
      </c>
      <c r="CJ50" s="5" t="s">
        <v>383</v>
      </c>
      <c r="CK50" s="5" t="s">
        <v>383</v>
      </c>
      <c r="CL50" s="5" t="s">
        <v>383</v>
      </c>
      <c r="CM50" s="5" t="s">
        <v>383</v>
      </c>
      <c r="CN50" s="5" t="s">
        <v>383</v>
      </c>
      <c r="CO50" s="5" t="s">
        <v>383</v>
      </c>
      <c r="CP50" s="5" t="s">
        <v>383</v>
      </c>
      <c r="CQ50" s="5" t="s">
        <v>383</v>
      </c>
      <c r="CR50" s="5" t="s">
        <v>383</v>
      </c>
      <c r="CS50" s="5" t="s">
        <v>383</v>
      </c>
      <c r="CT50" s="5" t="s">
        <v>383</v>
      </c>
      <c r="CU50" s="5" t="s">
        <v>383</v>
      </c>
      <c r="CV50" s="5" t="s">
        <v>383</v>
      </c>
      <c r="CW50" s="5" t="s">
        <v>383</v>
      </c>
      <c r="CX50" s="4">
        <f>SUM(Foglio1!$BT50:$CW50)</f>
        <v>0</v>
      </c>
      <c r="CY50" s="4" t="e">
        <f>SUM(Foglio1!$BT50+Foglio1!$BV50+Foglio1!$CP50+Foglio1!$BY50+Foglio1!$BX50+Foglio1!$CH50+Foglio1!$CS50+Foglio1!$CW50-Foglio1!$CE50)</f>
        <v>#VALUE!</v>
      </c>
      <c r="CZ50" s="4" t="e">
        <f>SUM(Foglio1!$CF50+Foglio1!$CA50+Foglio1!$CB50+Foglio1!$CD50+Foglio1!$CN50+Foglio1!$CC50+Foglio1!$CW50+Foglio1!$CO50+Foglio1!$CT50-Foglio1!$BU50)</f>
        <v>#VALUE!</v>
      </c>
      <c r="DA50" s="4" t="e">
        <f>SUM(Foglio1!$CG50+Foglio1!$CR50+Foglio1!$CQ50+Foglio1!$BU50+Foglio1!$CE50+Foglio1!$CL50+Foglio1!$CS50+Foglio1!$CT50+Foglio1!$CV50+Foglio1!$CP50)</f>
        <v>#VALUE!</v>
      </c>
      <c r="DB50" s="4" t="e">
        <f>SUM(Foglio1!$CU50+Foglio1!$BW50+Foglio1!$BZ50+Foglio1!$CO50+Foglio1!$BX50+Foglio1!$CC50+Foglio1!$CK50+Foglio1!$CW50)</f>
        <v>#VALUE!</v>
      </c>
      <c r="DC50" s="4" t="e">
        <f>SUM(Foglio1!$CI50+Foglio1!$CM50+Foglio1!$CJ50+Foglio1!$CK50+Foglio1!$BY50+Foglio1!$CH50+Foglio1!$CV50+Foglio1!$CW50)</f>
        <v>#VALUE!</v>
      </c>
      <c r="DD50" s="4">
        <v>0</v>
      </c>
      <c r="DE50" s="4">
        <v>0</v>
      </c>
      <c r="DF50" s="4">
        <v>0</v>
      </c>
      <c r="DG50" s="4">
        <v>0</v>
      </c>
      <c r="DH50" s="4">
        <v>0</v>
      </c>
      <c r="DI50" s="4">
        <v>0</v>
      </c>
      <c r="DJ50" s="4">
        <v>0</v>
      </c>
      <c r="DK50" s="4">
        <v>0</v>
      </c>
      <c r="DL50" s="4">
        <v>0</v>
      </c>
      <c r="DM50" s="4">
        <v>0</v>
      </c>
      <c r="DN50" s="4">
        <v>0</v>
      </c>
      <c r="DO50" s="4">
        <v>0</v>
      </c>
      <c r="DP50" s="4">
        <v>0</v>
      </c>
      <c r="DQ50" s="4">
        <v>0</v>
      </c>
      <c r="DR50" s="4">
        <v>0</v>
      </c>
      <c r="DS50" s="4">
        <v>0</v>
      </c>
      <c r="DT50" s="4">
        <v>0</v>
      </c>
      <c r="DU50" s="4">
        <v>0</v>
      </c>
      <c r="DV50" s="4">
        <v>2</v>
      </c>
      <c r="DW50" s="4">
        <v>0</v>
      </c>
      <c r="DX50" s="4">
        <v>3</v>
      </c>
      <c r="DY50" s="4">
        <v>2</v>
      </c>
      <c r="DZ50" s="4">
        <v>0</v>
      </c>
      <c r="EA50" s="4">
        <v>4</v>
      </c>
      <c r="EB50" s="4">
        <v>4</v>
      </c>
      <c r="EC50" s="4">
        <v>2</v>
      </c>
      <c r="ED50" s="4">
        <v>4</v>
      </c>
      <c r="EE50" s="4">
        <v>3</v>
      </c>
      <c r="EF50" s="4">
        <v>2</v>
      </c>
      <c r="EG50" s="4">
        <v>0</v>
      </c>
      <c r="EH50" s="4">
        <f>(Foglio1!$DE50+Foglio1!$DH50+Foglio1!$DG50+Foglio1!$DF50+Foglio1!$DM50+Foglio1!$DD50+Foglio1!$DO50+Foglio1!$DL50+Foglio1!$DN50+Foglio1!$DQ50+Foglio1!$DP50+Foglio1!$DT50+Foglio1!$DI50+Foglio1!$DK50+Foglio1!$DU50)</f>
        <v>0</v>
      </c>
      <c r="EI50" s="4">
        <f>(Foglio1!$EA50+Foglio1!$EB50+Foglio1!$EE50+Foglio1!$EC50+Foglio1!$ED50+Foglio1!$DZ50+Foglio1!$DY50)</f>
        <v>19</v>
      </c>
      <c r="EJ50" s="4">
        <f>(Foglio1!$DW50+Foglio1!$DV50+Foglio1!$DX50)</f>
        <v>5</v>
      </c>
      <c r="EK50" s="4">
        <f>(Foglio1!$EG50+Foglio1!$EF50)</f>
        <v>2</v>
      </c>
      <c r="EL50" s="4">
        <v>1</v>
      </c>
      <c r="EM50" s="4">
        <v>1</v>
      </c>
      <c r="EN50" s="4">
        <v>1</v>
      </c>
      <c r="EO50" s="4">
        <v>1</v>
      </c>
      <c r="EP50" s="4">
        <f t="array" ref="EP50">SUM(EL50:EO50/4)</f>
        <v>1</v>
      </c>
      <c r="EQ50" s="4">
        <v>1</v>
      </c>
      <c r="ER50" s="4">
        <v>0</v>
      </c>
      <c r="ES50" s="4">
        <v>0</v>
      </c>
      <c r="ET50" s="4">
        <v>1</v>
      </c>
      <c r="EU50" s="4" t="s">
        <v>1525</v>
      </c>
      <c r="EV50" s="4">
        <v>0</v>
      </c>
      <c r="EW50" s="4" t="s">
        <v>1526</v>
      </c>
      <c r="EX50" s="4">
        <v>0</v>
      </c>
      <c r="EY50" s="4">
        <f>(Foglio1!$EQ50+Foglio1!$ER50+Foglio1!$ES50+Foglio1!$ET50+Foglio1!$EV50+Foglio1!$EX50)/6</f>
        <v>0.33333333333333331</v>
      </c>
      <c r="EZ50" s="4">
        <v>1</v>
      </c>
      <c r="FA50" s="4">
        <v>1</v>
      </c>
      <c r="FB50" s="4">
        <v>1</v>
      </c>
      <c r="FC50" s="4">
        <f>(Foglio1!$EZ50+Foglio1!$FA50+Foglio1!$FB50)/3</f>
        <v>1</v>
      </c>
      <c r="FD50" s="4">
        <v>1</v>
      </c>
      <c r="FE50" s="4">
        <v>0</v>
      </c>
      <c r="FF50" s="4">
        <f>(Foglio1!$FD50+Foglio1!$FE50)/2</f>
        <v>0.5</v>
      </c>
      <c r="FG50" s="4" t="s">
        <v>1527</v>
      </c>
      <c r="FH50" s="4">
        <v>0</v>
      </c>
      <c r="FI50" s="4" t="s">
        <v>1528</v>
      </c>
      <c r="FJ50" s="4">
        <v>0</v>
      </c>
      <c r="FK50" s="4" t="s">
        <v>1529</v>
      </c>
      <c r="FL50" s="4">
        <v>0</v>
      </c>
      <c r="FM50" s="4">
        <f>(Foglio1!$FH50+Foglio1!$FJ50+Foglio1!$FL50)/3</f>
        <v>0</v>
      </c>
      <c r="FN50" s="4">
        <f>(Foglio1!$EP50)</f>
        <v>1</v>
      </c>
      <c r="FO50" s="4">
        <f>(Foglio1!$EY50+Foglio1!$FC50+Foglio1!$FF50+Foglio1!$FM50)/4</f>
        <v>0.45833333333333331</v>
      </c>
      <c r="FP50" s="4">
        <f>(Foglio1!$EP50+Foglio1!$EY50+Foglio1!$FC50+Foglio1!$FF50+Foglio1!$FM50)/5</f>
        <v>0.56666666666666665</v>
      </c>
      <c r="FQ50" s="4"/>
      <c r="FR50" s="4" t="s">
        <v>356</v>
      </c>
      <c r="FS50" s="4" t="s">
        <v>356</v>
      </c>
      <c r="FT50" s="4" t="s">
        <v>356</v>
      </c>
      <c r="FU50" s="4" t="s">
        <v>356</v>
      </c>
      <c r="FV50" s="4" t="s">
        <v>356</v>
      </c>
      <c r="FW50" s="4" t="s">
        <v>356</v>
      </c>
      <c r="FX50" s="4" t="s">
        <v>356</v>
      </c>
      <c r="FY50" s="4" t="s">
        <v>356</v>
      </c>
      <c r="FZ50" s="4" t="s">
        <v>356</v>
      </c>
      <c r="GA50" s="4" t="s">
        <v>356</v>
      </c>
      <c r="GB50" s="4" t="s">
        <v>356</v>
      </c>
      <c r="GC50" s="4" t="s">
        <v>356</v>
      </c>
      <c r="GD50" s="4" t="s">
        <v>356</v>
      </c>
      <c r="GE50" s="4" t="s">
        <v>356</v>
      </c>
      <c r="GF50" s="4" t="s">
        <v>356</v>
      </c>
      <c r="GG50" s="4" t="s">
        <v>356</v>
      </c>
      <c r="GH50" s="4" t="s">
        <v>356</v>
      </c>
      <c r="GI50" s="4" t="s">
        <v>356</v>
      </c>
      <c r="GJ50" s="4" t="s">
        <v>356</v>
      </c>
      <c r="GK50" s="4" t="s">
        <v>356</v>
      </c>
      <c r="GL50" s="4" t="s">
        <v>356</v>
      </c>
      <c r="GM50" s="4" t="s">
        <v>356</v>
      </c>
      <c r="GN50" s="4" t="s">
        <v>356</v>
      </c>
      <c r="GO50" s="4" t="s">
        <v>356</v>
      </c>
      <c r="GP50" s="4" t="s">
        <v>356</v>
      </c>
      <c r="GQ50" s="4" t="s">
        <v>356</v>
      </c>
      <c r="GR50" s="4" t="s">
        <v>356</v>
      </c>
      <c r="GS50" s="4" t="s">
        <v>356</v>
      </c>
      <c r="GT50" s="4" t="s">
        <v>356</v>
      </c>
      <c r="GU50" s="4" t="s">
        <v>356</v>
      </c>
      <c r="GV50" s="4" t="s">
        <v>356</v>
      </c>
      <c r="GW50" s="4" t="s">
        <v>356</v>
      </c>
      <c r="GX50" s="4" t="s">
        <v>356</v>
      </c>
      <c r="GY50" s="4" t="s">
        <v>356</v>
      </c>
      <c r="GZ50" s="4" t="s">
        <v>356</v>
      </c>
      <c r="HA50" s="4" t="s">
        <v>356</v>
      </c>
      <c r="HB50" s="4" t="s">
        <v>356</v>
      </c>
      <c r="HC50" s="4" t="s">
        <v>356</v>
      </c>
      <c r="HD50" s="4" t="s">
        <v>356</v>
      </c>
      <c r="HE50" s="4" t="s">
        <v>356</v>
      </c>
      <c r="HF50" s="4" t="s">
        <v>356</v>
      </c>
      <c r="HG50" s="4" t="s">
        <v>356</v>
      </c>
      <c r="HH50" s="4" t="s">
        <v>356</v>
      </c>
      <c r="HI50" s="4" t="s">
        <v>356</v>
      </c>
      <c r="HJ50" s="4" t="s">
        <v>356</v>
      </c>
      <c r="HK50" s="4" t="s">
        <v>356</v>
      </c>
      <c r="HL50" s="4" t="s">
        <v>356</v>
      </c>
      <c r="HM50" s="4" t="s">
        <v>356</v>
      </c>
      <c r="HN50" s="4" t="s">
        <v>356</v>
      </c>
      <c r="HO50" s="4" t="s">
        <v>356</v>
      </c>
      <c r="HP50" s="4" t="s">
        <v>356</v>
      </c>
      <c r="HQ50" s="4" t="s">
        <v>356</v>
      </c>
      <c r="HR50" s="4" t="s">
        <v>356</v>
      </c>
      <c r="HS50" s="4" t="s">
        <v>356</v>
      </c>
      <c r="HT50" s="4" t="s">
        <v>356</v>
      </c>
      <c r="HU50" s="4" t="s">
        <v>356</v>
      </c>
      <c r="HV50" s="4" t="s">
        <v>356</v>
      </c>
      <c r="HW50" s="4" t="s">
        <v>356</v>
      </c>
      <c r="HX50" s="4" t="s">
        <v>356</v>
      </c>
      <c r="HY50" s="4" t="s">
        <v>356</v>
      </c>
      <c r="HZ50" s="4" t="s">
        <v>356</v>
      </c>
      <c r="IA50" s="4" t="s">
        <v>356</v>
      </c>
      <c r="IB50" s="4" t="s">
        <v>356</v>
      </c>
      <c r="IC50" s="4" t="s">
        <v>356</v>
      </c>
      <c r="ID50" s="4" t="s">
        <v>356</v>
      </c>
      <c r="IE50" s="4" t="s">
        <v>356</v>
      </c>
      <c r="IF50" s="4" t="s">
        <v>356</v>
      </c>
      <c r="IG50" s="4" t="s">
        <v>356</v>
      </c>
      <c r="IH50" s="4" t="s">
        <v>356</v>
      </c>
      <c r="II50" s="4" t="s">
        <v>356</v>
      </c>
      <c r="IJ50" s="4" t="s">
        <v>356</v>
      </c>
      <c r="IK50" s="4" t="s">
        <v>356</v>
      </c>
      <c r="IL50" s="4" t="s">
        <v>356</v>
      </c>
      <c r="IM50" s="4" t="s">
        <v>356</v>
      </c>
      <c r="IN50" s="4" t="s">
        <v>356</v>
      </c>
      <c r="IO50" s="4" t="s">
        <v>356</v>
      </c>
      <c r="IP50" s="4" t="s">
        <v>356</v>
      </c>
      <c r="IQ50" s="4" t="s">
        <v>356</v>
      </c>
      <c r="IR50" s="4" t="s">
        <v>356</v>
      </c>
      <c r="IS50" s="4" t="s">
        <v>356</v>
      </c>
      <c r="IT50" s="4" t="s">
        <v>356</v>
      </c>
      <c r="IU50" s="4" t="s">
        <v>356</v>
      </c>
      <c r="IV50" s="4" t="s">
        <v>356</v>
      </c>
      <c r="IW50" s="4" t="s">
        <v>356</v>
      </c>
      <c r="IX50" s="4" t="s">
        <v>356</v>
      </c>
      <c r="IY50" s="4" t="s">
        <v>356</v>
      </c>
      <c r="IZ50" s="4" t="s">
        <v>356</v>
      </c>
      <c r="JA50" s="4" t="s">
        <v>356</v>
      </c>
      <c r="JB50" s="4" t="s">
        <v>356</v>
      </c>
      <c r="JC50" s="4" t="s">
        <v>356</v>
      </c>
      <c r="JD50" s="4" t="s">
        <v>356</v>
      </c>
      <c r="JE50" s="4" t="s">
        <v>356</v>
      </c>
      <c r="JF50" s="4" t="s">
        <v>356</v>
      </c>
      <c r="JG50" s="4" t="s">
        <v>356</v>
      </c>
      <c r="JH50" s="4" t="s">
        <v>356</v>
      </c>
      <c r="JI50" s="4" t="s">
        <v>356</v>
      </c>
      <c r="JJ50" s="4" t="s">
        <v>356</v>
      </c>
      <c r="JK50" s="4" t="s">
        <v>356</v>
      </c>
      <c r="JL50" s="4" t="s">
        <v>356</v>
      </c>
      <c r="JM50" s="4" t="s">
        <v>356</v>
      </c>
      <c r="JN50" s="4" t="s">
        <v>356</v>
      </c>
      <c r="JO50" s="4" t="s">
        <v>356</v>
      </c>
      <c r="JP50" s="4" t="s">
        <v>356</v>
      </c>
      <c r="JQ50" s="4" t="s">
        <v>356</v>
      </c>
      <c r="JR50" s="4" t="s">
        <v>356</v>
      </c>
      <c r="JS50" s="4" t="s">
        <v>356</v>
      </c>
      <c r="JT50" s="4" t="s">
        <v>356</v>
      </c>
      <c r="JU50" s="4" t="s">
        <v>356</v>
      </c>
      <c r="JV50" s="4" t="s">
        <v>356</v>
      </c>
      <c r="JW50" s="4" t="s">
        <v>356</v>
      </c>
      <c r="JX50" s="4" t="s">
        <v>356</v>
      </c>
      <c r="JY50" s="4" t="s">
        <v>356</v>
      </c>
      <c r="JZ50" s="4" t="s">
        <v>356</v>
      </c>
      <c r="KA50" s="4" t="str">
        <f>(Foglio1!$JC50)</f>
        <v>BBB</v>
      </c>
      <c r="KB50" s="4" t="s">
        <v>356</v>
      </c>
      <c r="KC50" s="4" t="s">
        <v>356</v>
      </c>
      <c r="KD50" s="4" t="s">
        <v>356</v>
      </c>
      <c r="KE50" s="4" t="s">
        <v>356</v>
      </c>
      <c r="KF50" s="4" t="s">
        <v>356</v>
      </c>
      <c r="KG50" s="4" t="s">
        <v>356</v>
      </c>
      <c r="KH50" s="4" t="s">
        <v>356</v>
      </c>
      <c r="KI50" s="4" t="s">
        <v>356</v>
      </c>
      <c r="KJ50" s="4" t="s">
        <v>356</v>
      </c>
      <c r="KK50" s="4" t="s">
        <v>356</v>
      </c>
      <c r="KL50" s="4" t="s">
        <v>356</v>
      </c>
      <c r="KM50" s="4" t="s">
        <v>356</v>
      </c>
      <c r="KN50" s="4" t="s">
        <v>356</v>
      </c>
      <c r="KO50" s="4" t="s">
        <v>356</v>
      </c>
      <c r="KP50" s="4" t="s">
        <v>356</v>
      </c>
      <c r="KQ50" s="4" t="s">
        <v>356</v>
      </c>
      <c r="KR50" s="4" t="s">
        <v>356</v>
      </c>
      <c r="KS50" s="4" t="s">
        <v>356</v>
      </c>
      <c r="KT50" s="4" t="s">
        <v>356</v>
      </c>
      <c r="KU50" s="4" t="s">
        <v>356</v>
      </c>
      <c r="KV50" s="4" t="s">
        <v>356</v>
      </c>
      <c r="KW50" s="4" t="s">
        <v>356</v>
      </c>
      <c r="KX50" s="4" t="s">
        <v>356</v>
      </c>
      <c r="KY50" s="4" t="s">
        <v>356</v>
      </c>
      <c r="KZ50" s="4" t="s">
        <v>356</v>
      </c>
      <c r="LA50" s="4" t="s">
        <v>356</v>
      </c>
      <c r="LB50" s="4" t="s">
        <v>356</v>
      </c>
      <c r="LC50" s="4" t="s">
        <v>356</v>
      </c>
      <c r="LD50" s="4" t="s">
        <v>356</v>
      </c>
      <c r="LE50" s="4" t="s">
        <v>356</v>
      </c>
      <c r="LF50" s="4" t="s">
        <v>356</v>
      </c>
      <c r="LG50" s="4" t="s">
        <v>356</v>
      </c>
      <c r="LH50" s="4" t="s">
        <v>356</v>
      </c>
      <c r="LI50" s="4" t="s">
        <v>356</v>
      </c>
      <c r="LJ50" s="4" t="s">
        <v>356</v>
      </c>
      <c r="LK50" s="4" t="s">
        <v>356</v>
      </c>
      <c r="LL50" s="4" t="s">
        <v>356</v>
      </c>
      <c r="LM50" s="4" t="s">
        <v>356</v>
      </c>
      <c r="LN50" s="4" t="s">
        <v>356</v>
      </c>
      <c r="LO50" s="4" t="s">
        <v>356</v>
      </c>
      <c r="LP50" s="4" t="s">
        <v>356</v>
      </c>
      <c r="LQ50" s="4" t="s">
        <v>356</v>
      </c>
      <c r="LR50" s="4" t="s">
        <v>356</v>
      </c>
      <c r="LS50" s="4" t="s">
        <v>356</v>
      </c>
      <c r="LT50" s="4" t="s">
        <v>356</v>
      </c>
      <c r="LU50" s="4" t="s">
        <v>356</v>
      </c>
      <c r="LV50" s="4" t="s">
        <v>356</v>
      </c>
      <c r="LW50" s="4" t="s">
        <v>356</v>
      </c>
      <c r="LX50" s="4" t="s">
        <v>356</v>
      </c>
      <c r="LY50" s="4" t="s">
        <v>356</v>
      </c>
      <c r="LZ50" s="3">
        <v>1</v>
      </c>
      <c r="MA50" s="3">
        <v>3</v>
      </c>
      <c r="MB50" s="3">
        <v>0</v>
      </c>
      <c r="MC50" s="3">
        <v>1</v>
      </c>
      <c r="MD50" s="3">
        <f t="shared" si="7"/>
        <v>5</v>
      </c>
      <c r="ME50" s="3">
        <v>1</v>
      </c>
      <c r="MF50" s="3">
        <v>2</v>
      </c>
      <c r="MG50" s="3">
        <v>0</v>
      </c>
      <c r="MH50" s="3">
        <v>0</v>
      </c>
      <c r="MI50" s="3">
        <f t="shared" si="8"/>
        <v>3</v>
      </c>
    </row>
    <row r="51" spans="1:347" ht="15.75" customHeight="1" x14ac:dyDescent="0.25">
      <c r="A51" s="4" t="s">
        <v>1530</v>
      </c>
      <c r="B51" s="4">
        <v>45</v>
      </c>
      <c r="C51" s="4" t="s">
        <v>349</v>
      </c>
      <c r="D51" s="5" t="s">
        <v>383</v>
      </c>
      <c r="E51" s="4">
        <v>0</v>
      </c>
      <c r="F51" s="4" t="s">
        <v>350</v>
      </c>
      <c r="G51" s="4" t="s">
        <v>356</v>
      </c>
      <c r="H51" s="3" t="s">
        <v>1531</v>
      </c>
      <c r="I51" s="4" t="s">
        <v>1532</v>
      </c>
      <c r="J51" s="4"/>
      <c r="K51" s="4"/>
      <c r="L51" s="5" t="s">
        <v>356</v>
      </c>
      <c r="M51" s="3" t="s">
        <v>357</v>
      </c>
      <c r="N51" s="3" t="s">
        <v>406</v>
      </c>
      <c r="O51" s="16">
        <v>45855</v>
      </c>
      <c r="P51" s="16">
        <v>45868</v>
      </c>
      <c r="Q51" s="3" t="s">
        <v>1533</v>
      </c>
      <c r="R51" s="4"/>
      <c r="S51" s="4" t="s">
        <v>1534</v>
      </c>
      <c r="T51" s="4" t="s">
        <v>1374</v>
      </c>
      <c r="U51" s="4" t="s">
        <v>1535</v>
      </c>
      <c r="V51" s="4" t="s">
        <v>412</v>
      </c>
      <c r="W51" s="4" t="s">
        <v>846</v>
      </c>
      <c r="X51" s="4" t="s">
        <v>688</v>
      </c>
      <c r="Y51" s="4" t="s">
        <v>413</v>
      </c>
      <c r="Z51" s="4" t="s">
        <v>1536</v>
      </c>
      <c r="AA51" s="4" t="s">
        <v>1364</v>
      </c>
      <c r="AB51" s="4" t="s">
        <v>364</v>
      </c>
      <c r="AC51" s="4" t="s">
        <v>976</v>
      </c>
      <c r="AD51" s="4" t="s">
        <v>366</v>
      </c>
      <c r="AE51" s="4" t="s">
        <v>363</v>
      </c>
      <c r="AF51" s="4"/>
      <c r="AG51" s="4"/>
      <c r="AH51" s="3" t="s">
        <v>1537</v>
      </c>
      <c r="AI51" s="3" t="s">
        <v>1538</v>
      </c>
      <c r="AJ51" s="4" t="s">
        <v>364</v>
      </c>
      <c r="AK51" s="4" t="s">
        <v>1539</v>
      </c>
      <c r="AL51" s="4" t="s">
        <v>846</v>
      </c>
      <c r="AM51" s="4" t="s">
        <v>1414</v>
      </c>
      <c r="AN51" s="4" t="s">
        <v>976</v>
      </c>
      <c r="AO51" s="4" t="s">
        <v>1476</v>
      </c>
      <c r="AP51" s="5" t="s">
        <v>356</v>
      </c>
      <c r="AQ51" s="5" t="s">
        <v>356</v>
      </c>
      <c r="AR51" s="5" t="s">
        <v>356</v>
      </c>
      <c r="AS51" s="5" t="s">
        <v>356</v>
      </c>
      <c r="AT51" s="5" t="s">
        <v>356</v>
      </c>
      <c r="AU51" s="5" t="s">
        <v>356</v>
      </c>
      <c r="AV51" s="5" t="s">
        <v>356</v>
      </c>
      <c r="AW51" s="5" t="s">
        <v>356</v>
      </c>
      <c r="AX51" s="4">
        <v>4</v>
      </c>
      <c r="AY51" s="4"/>
      <c r="AZ51" s="5" t="s">
        <v>383</v>
      </c>
      <c r="BA51" s="4">
        <f t="shared" si="68"/>
        <v>13</v>
      </c>
      <c r="BB51" s="4"/>
      <c r="BC51" s="4" t="s">
        <v>1374</v>
      </c>
      <c r="BD51" s="4"/>
      <c r="BE51" s="4"/>
      <c r="BF51" s="4"/>
      <c r="BG51" s="6">
        <v>45860</v>
      </c>
      <c r="BH51" s="4">
        <v>4</v>
      </c>
      <c r="BI51" s="4">
        <v>3</v>
      </c>
      <c r="BJ51" s="4">
        <v>3</v>
      </c>
      <c r="BK51" s="4">
        <v>4</v>
      </c>
      <c r="BL51" s="4">
        <v>4</v>
      </c>
      <c r="BM51" s="4"/>
      <c r="BN51" s="4"/>
      <c r="BO51" s="4">
        <f>SUM(Foglio1!$BH46:$BM46)</f>
        <v>0</v>
      </c>
      <c r="BP51" s="3">
        <v>2</v>
      </c>
      <c r="BQ51" s="3">
        <v>3</v>
      </c>
      <c r="BR51" s="3">
        <v>6</v>
      </c>
      <c r="BS51" s="3">
        <v>51</v>
      </c>
      <c r="BT51" s="3">
        <v>4</v>
      </c>
      <c r="BU51" s="3">
        <v>4</v>
      </c>
      <c r="BV51" s="3">
        <v>4</v>
      </c>
      <c r="BW51" s="3">
        <v>4</v>
      </c>
      <c r="BX51" s="3">
        <v>4</v>
      </c>
      <c r="BY51" s="3">
        <v>4</v>
      </c>
      <c r="BZ51" s="3">
        <v>4</v>
      </c>
      <c r="CA51" s="3">
        <v>2</v>
      </c>
      <c r="CB51" s="3">
        <v>2</v>
      </c>
      <c r="CC51" s="3">
        <v>2</v>
      </c>
      <c r="CD51" s="3">
        <v>2</v>
      </c>
      <c r="CE51" s="3">
        <v>2</v>
      </c>
      <c r="CF51" s="3">
        <v>2</v>
      </c>
      <c r="CG51" s="3">
        <v>1</v>
      </c>
      <c r="CH51" s="3">
        <v>2</v>
      </c>
      <c r="CI51" s="3">
        <v>2</v>
      </c>
      <c r="CJ51" s="3">
        <v>2</v>
      </c>
      <c r="CK51" s="3">
        <v>2</v>
      </c>
      <c r="CL51" s="3">
        <v>1</v>
      </c>
      <c r="CM51" s="3">
        <v>3</v>
      </c>
      <c r="CN51" s="3">
        <v>3</v>
      </c>
      <c r="CO51" s="3">
        <v>6</v>
      </c>
      <c r="CP51" s="3">
        <v>5</v>
      </c>
      <c r="CQ51" s="3">
        <v>4</v>
      </c>
      <c r="CR51" s="3">
        <v>4</v>
      </c>
      <c r="CS51" s="3">
        <v>5</v>
      </c>
      <c r="CT51" s="3">
        <v>5</v>
      </c>
      <c r="CU51" s="3">
        <v>5</v>
      </c>
      <c r="CV51" s="3">
        <v>3</v>
      </c>
      <c r="CW51" s="3">
        <v>5</v>
      </c>
      <c r="CX51" s="4">
        <f>SUM(Foglio1!$BT51:$CW51)</f>
        <v>98</v>
      </c>
      <c r="CY51" s="4">
        <f>SUM(Foglio1!$BT51+Foglio1!$BV51+Foglio1!$CP51+Foglio1!$BY51+Foglio1!$BX51+Foglio1!$CH51+Foglio1!$CS51+Foglio1!$CW51-Foglio1!$CE51)</f>
        <v>31</v>
      </c>
      <c r="CZ51" s="4">
        <f>SUM(Foglio1!$CF51+Foglio1!$CA51+Foglio1!$CB51+Foglio1!$CD51+Foglio1!$CN51+Foglio1!$CC51+Foglio1!$CW51+Foglio1!$CO51+Foglio1!$CT51-Foglio1!$BU51)</f>
        <v>25</v>
      </c>
      <c r="DA51" s="4">
        <f>SUM(Foglio1!$CG51+Foglio1!$CR51+Foglio1!$CQ51+Foglio1!$BU51+Foglio1!$CE51+Foglio1!$CL51+Foglio1!$CS51+Foglio1!$CT51+Foglio1!$CV51+Foglio1!$CP51)</f>
        <v>34</v>
      </c>
      <c r="DB51" s="4">
        <f>SUM(Foglio1!$CU51+Foglio1!$BW51+Foglio1!$BZ51+Foglio1!$CO51+Foglio1!$BX51+Foglio1!$CC51+Foglio1!$CK51+Foglio1!$CW51)</f>
        <v>32</v>
      </c>
      <c r="DC51" s="4">
        <f>SUM(Foglio1!$CI51+Foglio1!$CM51+Foglio1!$CJ51+Foglio1!$CK51+Foglio1!$BY51+Foglio1!$CH51+Foglio1!$CV51+Foglio1!$CW51)</f>
        <v>23</v>
      </c>
      <c r="DD51" s="4" t="s">
        <v>359</v>
      </c>
      <c r="DE51" s="4" t="s">
        <v>359</v>
      </c>
      <c r="DF51" s="4" t="s">
        <v>359</v>
      </c>
      <c r="DG51" s="4" t="s">
        <v>359</v>
      </c>
      <c r="DH51" s="4" t="s">
        <v>359</v>
      </c>
      <c r="DI51" s="4" t="s">
        <v>359</v>
      </c>
      <c r="DJ51" s="4" t="s">
        <v>359</v>
      </c>
      <c r="DK51" s="4" t="s">
        <v>359</v>
      </c>
      <c r="DL51" s="4" t="s">
        <v>359</v>
      </c>
      <c r="DM51" s="4" t="s">
        <v>359</v>
      </c>
      <c r="DN51" s="4" t="s">
        <v>359</v>
      </c>
      <c r="DO51" s="4" t="s">
        <v>359</v>
      </c>
      <c r="DP51" s="4" t="s">
        <v>359</v>
      </c>
      <c r="DQ51" s="4" t="s">
        <v>359</v>
      </c>
      <c r="DR51" s="4" t="s">
        <v>359</v>
      </c>
      <c r="DS51" s="4" t="s">
        <v>359</v>
      </c>
      <c r="DT51" s="4" t="s">
        <v>359</v>
      </c>
      <c r="DU51" s="4" t="s">
        <v>359</v>
      </c>
      <c r="DV51" s="4" t="s">
        <v>359</v>
      </c>
      <c r="DW51" s="4" t="s">
        <v>359</v>
      </c>
      <c r="DX51" s="4" t="s">
        <v>359</v>
      </c>
      <c r="DY51" s="4" t="s">
        <v>359</v>
      </c>
      <c r="DZ51" s="4" t="s">
        <v>359</v>
      </c>
      <c r="EA51" s="4" t="s">
        <v>359</v>
      </c>
      <c r="EB51" s="4" t="s">
        <v>359</v>
      </c>
      <c r="EC51" s="4" t="s">
        <v>359</v>
      </c>
      <c r="ED51" s="4" t="s">
        <v>359</v>
      </c>
      <c r="EE51" s="4" t="s">
        <v>359</v>
      </c>
      <c r="EF51" s="4" t="s">
        <v>359</v>
      </c>
      <c r="EG51" s="4" t="s">
        <v>359</v>
      </c>
      <c r="EH51" s="4" t="e">
        <f>(Foglio1!$DE51+Foglio1!$DH51+Foglio1!$DG51+Foglio1!$DF51+Foglio1!$DM51+Foglio1!$DD51+Foglio1!$DO51+Foglio1!$DL51+Foglio1!$DN51+Foglio1!$DQ51+Foglio1!$DP51+Foglio1!$DT51+Foglio1!$DI51+Foglio1!$DK51+Foglio1!$DU51)</f>
        <v>#VALUE!</v>
      </c>
      <c r="EI51" s="4" t="e">
        <f>(Foglio1!$EA51+Foglio1!$EB51+Foglio1!$EE51+Foglio1!$EC51+Foglio1!$ED51+Foglio1!$DZ51+Foglio1!$DY51)</f>
        <v>#VALUE!</v>
      </c>
      <c r="EJ51" s="4" t="e">
        <f>(Foglio1!$DW51+Foglio1!$DV51+Foglio1!$DX51)</f>
        <v>#VALUE!</v>
      </c>
      <c r="EK51" s="4" t="e">
        <f>(Foglio1!$EG51+Foglio1!$EF51)</f>
        <v>#VALUE!</v>
      </c>
      <c r="EL51" s="4">
        <v>1</v>
      </c>
      <c r="EM51" s="4">
        <v>0</v>
      </c>
      <c r="EN51" s="4">
        <v>1</v>
      </c>
      <c r="EO51" s="4">
        <v>1</v>
      </c>
      <c r="EP51" s="4">
        <f t="array" ref="EP51">SUM(EL51:EO51/4)</f>
        <v>0.75</v>
      </c>
      <c r="EQ51" s="4">
        <v>1</v>
      </c>
      <c r="ER51" s="4">
        <v>0</v>
      </c>
      <c r="ES51" s="4">
        <v>1</v>
      </c>
      <c r="ET51" s="4">
        <v>0</v>
      </c>
      <c r="EU51" s="4" t="s">
        <v>383</v>
      </c>
      <c r="EV51" s="4">
        <v>0</v>
      </c>
      <c r="EW51" s="4" t="s">
        <v>383</v>
      </c>
      <c r="EX51" s="4">
        <v>0</v>
      </c>
      <c r="EY51" s="4">
        <f>(Foglio1!$EQ51+Foglio1!$ER51+Foglio1!$ES51+Foglio1!$ET51+Foglio1!$EV51+Foglio1!$EX51)/6</f>
        <v>0.33333333333333331</v>
      </c>
      <c r="EZ51" s="4">
        <v>1</v>
      </c>
      <c r="FA51" s="4">
        <v>0</v>
      </c>
      <c r="FB51" s="4">
        <v>0</v>
      </c>
      <c r="FC51" s="4">
        <f>(Foglio1!$EZ51+Foglio1!$FA51+Foglio1!$FB51)/3</f>
        <v>0.33333333333333331</v>
      </c>
      <c r="FD51" s="4">
        <v>0</v>
      </c>
      <c r="FE51" s="4">
        <v>0</v>
      </c>
      <c r="FF51" s="4">
        <f>(Foglio1!$FD51+Foglio1!$FE51)/2</f>
        <v>0</v>
      </c>
      <c r="FG51" s="4" t="s">
        <v>383</v>
      </c>
      <c r="FH51" s="4">
        <v>1</v>
      </c>
      <c r="FI51" s="4" t="s">
        <v>383</v>
      </c>
      <c r="FJ51" s="4">
        <v>0</v>
      </c>
      <c r="FK51" s="4" t="s">
        <v>383</v>
      </c>
      <c r="FL51" s="4">
        <v>0</v>
      </c>
      <c r="FM51" s="4">
        <f>(Foglio1!$FH51+Foglio1!$FJ51+Foglio1!$FL51)/3</f>
        <v>0.33333333333333331</v>
      </c>
      <c r="FN51" s="4">
        <f>(Foglio1!$EP51)</f>
        <v>0.75</v>
      </c>
      <c r="FO51" s="4">
        <f>(Foglio1!$EY51+Foglio1!$FC51+Foglio1!$FF51+Foglio1!$FM51)/4</f>
        <v>0.25</v>
      </c>
      <c r="FP51" s="4">
        <f>(Foglio1!$EP51+Foglio1!$EY51+Foglio1!$FC51+Foglio1!$FF51+Foglio1!$FM51)/5</f>
        <v>0.35</v>
      </c>
      <c r="FQ51" s="6">
        <v>45867</v>
      </c>
      <c r="FR51" s="4" t="s">
        <v>356</v>
      </c>
      <c r="FS51" s="4" t="s">
        <v>356</v>
      </c>
      <c r="FT51" s="4" t="s">
        <v>356</v>
      </c>
      <c r="FU51" s="4" t="s">
        <v>356</v>
      </c>
      <c r="FV51" s="4" t="s">
        <v>356</v>
      </c>
      <c r="FW51" s="4" t="s">
        <v>356</v>
      </c>
      <c r="FX51" s="4" t="s">
        <v>356</v>
      </c>
      <c r="FY51" s="4">
        <v>2</v>
      </c>
      <c r="FZ51" s="4">
        <v>2</v>
      </c>
      <c r="GA51" s="4">
        <v>5</v>
      </c>
      <c r="GB51" s="4">
        <v>70</v>
      </c>
      <c r="GC51" s="4">
        <v>2</v>
      </c>
      <c r="GD51" s="4">
        <v>2</v>
      </c>
      <c r="GE51" s="4">
        <v>2</v>
      </c>
      <c r="GF51" s="4">
        <v>2</v>
      </c>
      <c r="GG51" s="4">
        <v>2</v>
      </c>
      <c r="GH51" s="4">
        <v>2</v>
      </c>
      <c r="GI51" s="4">
        <v>2</v>
      </c>
      <c r="GJ51" s="4">
        <v>2</v>
      </c>
      <c r="GK51" s="4">
        <v>2</v>
      </c>
      <c r="GL51" s="4">
        <v>2</v>
      </c>
      <c r="GM51" s="4">
        <v>2</v>
      </c>
      <c r="GN51" s="4">
        <v>1</v>
      </c>
      <c r="GO51" s="4">
        <v>1</v>
      </c>
      <c r="GP51" s="4">
        <v>1</v>
      </c>
      <c r="GQ51" s="4">
        <v>1</v>
      </c>
      <c r="GR51" s="4">
        <v>1</v>
      </c>
      <c r="GS51" s="4">
        <v>1</v>
      </c>
      <c r="GT51" s="4">
        <v>2</v>
      </c>
      <c r="GU51" s="4">
        <v>1</v>
      </c>
      <c r="GV51" s="4">
        <v>2</v>
      </c>
      <c r="GW51" s="4">
        <v>2</v>
      </c>
      <c r="GX51" s="4">
        <v>3</v>
      </c>
      <c r="GY51" s="4">
        <v>3</v>
      </c>
      <c r="GZ51" s="4">
        <v>1</v>
      </c>
      <c r="HA51" s="4">
        <v>1</v>
      </c>
      <c r="HB51" s="4">
        <v>3</v>
      </c>
      <c r="HC51" s="4">
        <v>3</v>
      </c>
      <c r="HD51" s="4">
        <v>3</v>
      </c>
      <c r="HE51" s="4">
        <v>2</v>
      </c>
      <c r="HF51" s="4">
        <v>3</v>
      </c>
      <c r="HG51" s="4">
        <f t="shared" ref="HG51:HG54" si="69">SUM(GC51:HF51)</f>
        <v>57</v>
      </c>
      <c r="HH51" s="4">
        <f t="shared" ref="HH51:HH54" si="70">SUM(GC51+GE51+GY51+GH51+GG51+GQ51+HB51+HF51-GN51)</f>
        <v>17</v>
      </c>
      <c r="HI51" s="4">
        <f t="shared" ref="HI51:HI54" si="71">SUM(GO51+GJ51+GK51+GM51+GW51+GL51+HF51+GX51+HC51-GD51)</f>
        <v>18</v>
      </c>
      <c r="HJ51" s="4">
        <f t="shared" ref="HJ51:HJ54" si="72">SUM(GP51+HA51+GZ51+GD51+GN51+GU51+HB51+HC51+HE51+GY51)</f>
        <v>18</v>
      </c>
      <c r="HK51" s="4">
        <f t="shared" ref="HK51:HK54" si="73">SUM(HD51+GF51+GI51+GX51+GG51+GL51+GT51+HF51)</f>
        <v>19</v>
      </c>
      <c r="HL51" s="4">
        <f t="shared" ref="HL51:HL54" si="74">SUM(GR51+GV51+GS51+GT51+GH51+GQ51+HE51+HF51)</f>
        <v>14</v>
      </c>
      <c r="HM51" s="4">
        <v>0</v>
      </c>
      <c r="HN51" s="4">
        <v>0</v>
      </c>
      <c r="HO51" s="4">
        <v>0</v>
      </c>
      <c r="HP51" s="4">
        <v>0</v>
      </c>
      <c r="HQ51" s="4">
        <v>0</v>
      </c>
      <c r="HR51" s="4">
        <v>0</v>
      </c>
      <c r="HS51" s="4">
        <v>0</v>
      </c>
      <c r="HT51" s="4">
        <v>0</v>
      </c>
      <c r="HU51" s="4">
        <v>0</v>
      </c>
      <c r="HV51" s="4">
        <v>0</v>
      </c>
      <c r="HW51" s="4">
        <v>0</v>
      </c>
      <c r="HX51" s="4">
        <v>0</v>
      </c>
      <c r="HY51" s="4">
        <v>0</v>
      </c>
      <c r="HZ51" s="4">
        <v>0</v>
      </c>
      <c r="IA51" s="4">
        <v>0</v>
      </c>
      <c r="IB51" s="4">
        <v>0</v>
      </c>
      <c r="IC51" s="4">
        <v>0</v>
      </c>
      <c r="ID51" s="4">
        <v>0</v>
      </c>
      <c r="IE51" s="4">
        <v>1</v>
      </c>
      <c r="IF51" s="4">
        <v>0</v>
      </c>
      <c r="IG51" s="4">
        <v>3</v>
      </c>
      <c r="IH51" s="4">
        <v>0</v>
      </c>
      <c r="II51" s="4">
        <v>0</v>
      </c>
      <c r="IJ51" s="4">
        <v>0</v>
      </c>
      <c r="IK51" s="4">
        <v>0</v>
      </c>
      <c r="IL51" s="4">
        <v>0</v>
      </c>
      <c r="IM51" s="4">
        <v>0</v>
      </c>
      <c r="IN51" s="4">
        <v>1</v>
      </c>
      <c r="IO51" s="4">
        <v>2</v>
      </c>
      <c r="IP51" s="4">
        <v>0</v>
      </c>
      <c r="IQ51" s="4">
        <f t="shared" ref="IQ51:IQ53" si="75">SUM(HN51+HQ51+HP51+HO51+HV51+HM51+HX51+HU51+HW51+HZ51+HY51+IC51+HR51+HT51+ID51)</f>
        <v>0</v>
      </c>
      <c r="IR51" s="4">
        <f t="shared" ref="IR51:IR53" si="76">SUM(IJ51+IK51+IN51+IL51+IM51+II51+IH51)</f>
        <v>1</v>
      </c>
      <c r="IS51" s="4">
        <f t="shared" ref="IS51:IS53" si="77">SUM(IF51+IE51+IG51)</f>
        <v>4</v>
      </c>
      <c r="IT51" s="4">
        <f t="shared" ref="IT51:IT53" si="78">SUM(IP51+IO51)</f>
        <v>2</v>
      </c>
      <c r="IU51" s="4" t="s">
        <v>383</v>
      </c>
      <c r="IV51" s="4" t="s">
        <v>383</v>
      </c>
      <c r="IW51" s="4" t="s">
        <v>383</v>
      </c>
      <c r="IX51" s="4" t="s">
        <v>383</v>
      </c>
      <c r="IY51" s="4">
        <v>1</v>
      </c>
      <c r="IZ51" s="4">
        <v>0</v>
      </c>
      <c r="JA51" s="4">
        <v>0</v>
      </c>
      <c r="JB51" s="4">
        <v>1</v>
      </c>
      <c r="JC51" s="4">
        <f>(Foglio1!$IY51+Foglio1!$IZ51+Foglio1!$JA51+Foglio1!$JB51)/4</f>
        <v>0.5</v>
      </c>
      <c r="JD51" s="4">
        <v>1</v>
      </c>
      <c r="JE51" s="4">
        <v>0</v>
      </c>
      <c r="JF51" s="4">
        <v>1</v>
      </c>
      <c r="JG51" s="4">
        <v>0</v>
      </c>
      <c r="JH51" s="4"/>
      <c r="JI51" s="4">
        <v>1</v>
      </c>
      <c r="JJ51" s="4"/>
      <c r="JK51" s="4">
        <v>0</v>
      </c>
      <c r="JL51" s="4">
        <f>(Foglio1!$JD51+Foglio1!$JE51+Foglio1!$JF51+Foglio1!$JG51+Foglio1!$JI51+Foglio1!$JK51)/6</f>
        <v>0.5</v>
      </c>
      <c r="JM51" s="4">
        <v>0</v>
      </c>
      <c r="JN51" s="4">
        <v>0</v>
      </c>
      <c r="JO51" s="4">
        <v>0</v>
      </c>
      <c r="JP51" s="4">
        <f>(Foglio1!$JM51+Foglio1!$JN51+Foglio1!$JO51)/3</f>
        <v>0</v>
      </c>
      <c r="JQ51" s="4">
        <v>1</v>
      </c>
      <c r="JR51" s="4">
        <v>1</v>
      </c>
      <c r="JS51" s="4">
        <f>(Foglio1!$JQ51+Foglio1!$JR51)/2</f>
        <v>1</v>
      </c>
      <c r="JT51" s="4"/>
      <c r="JU51" s="4">
        <v>1</v>
      </c>
      <c r="JV51" s="4"/>
      <c r="JW51" s="4">
        <v>0</v>
      </c>
      <c r="JX51" s="4"/>
      <c r="JY51" s="4">
        <v>0</v>
      </c>
      <c r="JZ51" s="4">
        <f>(Foglio1!$JU51+Foglio1!$JW51+Foglio1!$JY51)/3</f>
        <v>0.33333333333333331</v>
      </c>
      <c r="KA51" s="4">
        <f>(Foglio1!$JC51)</f>
        <v>0.5</v>
      </c>
      <c r="KB51" s="4">
        <f>(Foglio1!$JL51+Foglio1!$JP51+Foglio1!$JS51+Foglio1!$JZ51)/4</f>
        <v>0.45833333333333331</v>
      </c>
      <c r="KC51" s="4">
        <f>(Foglio1!$JC51+Foglio1!$JL51+Foglio1!$JP51+Foglio1!$JS51+Foglio1!$JZ51)/5</f>
        <v>0.46666666666666667</v>
      </c>
      <c r="KD51" s="4"/>
      <c r="KE51" s="4">
        <v>1</v>
      </c>
      <c r="KF51" s="4">
        <v>1</v>
      </c>
      <c r="KG51" s="4"/>
      <c r="KH51" s="4">
        <v>1</v>
      </c>
      <c r="KI51" s="4">
        <v>2</v>
      </c>
      <c r="KJ51" s="4"/>
      <c r="KK51" s="4">
        <v>2</v>
      </c>
      <c r="KL51" s="4">
        <v>3</v>
      </c>
      <c r="KM51" s="4"/>
      <c r="KN51" s="4">
        <v>0</v>
      </c>
      <c r="KO51" s="4">
        <v>0</v>
      </c>
      <c r="KP51" s="4"/>
      <c r="KQ51" s="4">
        <v>1</v>
      </c>
      <c r="KR51" s="4">
        <v>3</v>
      </c>
      <c r="KS51" s="4"/>
      <c r="KT51" s="4">
        <v>2</v>
      </c>
      <c r="KU51" s="4">
        <v>2</v>
      </c>
      <c r="KV51" s="4"/>
      <c r="KW51" s="4">
        <v>1</v>
      </c>
      <c r="KX51" s="4">
        <v>1</v>
      </c>
      <c r="KY51" s="4"/>
      <c r="KZ51" s="4">
        <v>2</v>
      </c>
      <c r="LA51" s="4">
        <v>2</v>
      </c>
      <c r="LB51" s="4"/>
      <c r="LC51" s="4">
        <v>2</v>
      </c>
      <c r="LD51" s="4">
        <v>1</v>
      </c>
      <c r="LE51" s="4"/>
      <c r="LF51" s="4">
        <v>1</v>
      </c>
      <c r="LG51" s="4">
        <v>3</v>
      </c>
      <c r="LH51" s="4"/>
      <c r="LI51" s="4">
        <v>0</v>
      </c>
      <c r="LJ51" s="4">
        <v>1</v>
      </c>
      <c r="LK51" s="4"/>
      <c r="LL51" s="4">
        <v>2</v>
      </c>
      <c r="LM51" s="4">
        <v>3</v>
      </c>
      <c r="LN51" s="4"/>
      <c r="LO51" s="4">
        <v>2</v>
      </c>
      <c r="LP51" s="4">
        <v>1</v>
      </c>
      <c r="LQ51" s="4"/>
      <c r="LR51" s="4">
        <v>2</v>
      </c>
      <c r="LS51" s="4">
        <v>2</v>
      </c>
      <c r="LT51" s="4">
        <f>(Foglio1!$KE51+Foglio1!$KH51+Foglio1!$KK51+Foglio1!$KN51+Foglio1!$KQ51+Foglio1!$KT51+Foglio1!$KW51+Foglio1!$KZ51+Foglio1!$LC51+Foglio1!$LF51+Foglio1!$LI51+Foglio1!$LL51+Foglio1!$LO51+Foglio1!$LR51)</f>
        <v>19</v>
      </c>
      <c r="LU51" s="4">
        <f>(Foglio1!$KI51+Foglio1!$KF51+Foglio1!$KL51+Foglio1!$KO51+Foglio1!$KR51+Foglio1!$KU51+Foglio1!$KX51+Foglio1!$LA51+Foglio1!$LD51+Foglio1!$LG51+Foglio1!$LJ51+Foglio1!$LM51+Foglio1!$LP51+Foglio1!$LS51)</f>
        <v>25</v>
      </c>
      <c r="LV51" s="4"/>
      <c r="LW51" s="4"/>
      <c r="LX51" s="4"/>
      <c r="LY51" s="4"/>
      <c r="LZ51" s="3">
        <v>0</v>
      </c>
      <c r="MA51" s="3">
        <v>0</v>
      </c>
      <c r="MB51" s="3">
        <v>1</v>
      </c>
      <c r="MC51" s="3">
        <v>1</v>
      </c>
      <c r="MD51" s="3">
        <f t="shared" si="7"/>
        <v>2</v>
      </c>
      <c r="ME51" s="3">
        <v>0</v>
      </c>
      <c r="MF51" s="3">
        <v>0</v>
      </c>
      <c r="MG51" s="3">
        <v>0</v>
      </c>
      <c r="MH51" s="3">
        <v>0</v>
      </c>
      <c r="MI51" s="3">
        <f t="shared" si="8"/>
        <v>0</v>
      </c>
    </row>
    <row r="52" spans="1:347" ht="15.75" customHeight="1" x14ac:dyDescent="0.25">
      <c r="A52" s="8" t="s">
        <v>1540</v>
      </c>
      <c r="B52" s="4">
        <v>62</v>
      </c>
      <c r="C52" s="4" t="s">
        <v>349</v>
      </c>
      <c r="D52" s="4">
        <v>13</v>
      </c>
      <c r="E52" s="4">
        <v>0</v>
      </c>
      <c r="F52" s="4" t="s">
        <v>350</v>
      </c>
      <c r="G52" s="4" t="s">
        <v>356</v>
      </c>
      <c r="H52" s="4" t="s">
        <v>1541</v>
      </c>
      <c r="I52" s="4" t="s">
        <v>1542</v>
      </c>
      <c r="J52" s="4"/>
      <c r="K52" s="4"/>
      <c r="L52" s="5" t="s">
        <v>356</v>
      </c>
      <c r="M52" s="4" t="s">
        <v>449</v>
      </c>
      <c r="N52" s="4" t="s">
        <v>840</v>
      </c>
      <c r="O52" s="6">
        <v>45493</v>
      </c>
      <c r="P52" s="6">
        <v>45503</v>
      </c>
      <c r="Q52" s="4" t="s">
        <v>359</v>
      </c>
      <c r="R52" s="4"/>
      <c r="S52" s="4"/>
      <c r="T52" s="4"/>
      <c r="U52" s="4"/>
      <c r="V52" s="4" t="s">
        <v>877</v>
      </c>
      <c r="W52" s="4" t="s">
        <v>490</v>
      </c>
      <c r="X52" s="4" t="s">
        <v>364</v>
      </c>
      <c r="Y52" s="4"/>
      <c r="Z52" s="4"/>
      <c r="AA52" s="4"/>
      <c r="AB52" s="4"/>
      <c r="AC52" s="4"/>
      <c r="AD52" s="4"/>
      <c r="AE52" s="4"/>
      <c r="AF52" s="4"/>
      <c r="AG52" s="4"/>
      <c r="AH52" s="4" t="s">
        <v>490</v>
      </c>
      <c r="AI52" s="4" t="s">
        <v>1543</v>
      </c>
      <c r="AJ52" s="4" t="s">
        <v>528</v>
      </c>
      <c r="AK52" s="4" t="s">
        <v>1544</v>
      </c>
      <c r="AL52" s="4" t="s">
        <v>1545</v>
      </c>
      <c r="AM52" s="4" t="s">
        <v>1546</v>
      </c>
      <c r="AN52" s="4" t="s">
        <v>363</v>
      </c>
      <c r="AO52" s="4" t="s">
        <v>1547</v>
      </c>
      <c r="AP52" s="5" t="s">
        <v>356</v>
      </c>
      <c r="AQ52" s="5" t="s">
        <v>356</v>
      </c>
      <c r="AR52" s="5" t="s">
        <v>356</v>
      </c>
      <c r="AS52" s="5" t="s">
        <v>356</v>
      </c>
      <c r="AT52" s="5" t="s">
        <v>356</v>
      </c>
      <c r="AU52" s="5" t="s">
        <v>356</v>
      </c>
      <c r="AV52" s="5" t="s">
        <v>356</v>
      </c>
      <c r="AW52" s="5" t="s">
        <v>356</v>
      </c>
      <c r="AX52" s="4">
        <v>4</v>
      </c>
      <c r="AY52" s="4"/>
      <c r="AZ52" s="5" t="s">
        <v>383</v>
      </c>
      <c r="BA52" s="4">
        <f t="shared" si="68"/>
        <v>10</v>
      </c>
      <c r="BB52" s="4"/>
      <c r="BC52" s="4"/>
      <c r="BD52" s="4"/>
      <c r="BE52" s="4"/>
      <c r="BF52" s="4"/>
      <c r="BG52" s="6">
        <v>45500</v>
      </c>
      <c r="BH52" s="4" t="s">
        <v>356</v>
      </c>
      <c r="BI52" s="4" t="s">
        <v>356</v>
      </c>
      <c r="BJ52" s="4" t="s">
        <v>356</v>
      </c>
      <c r="BK52" s="4" t="s">
        <v>356</v>
      </c>
      <c r="BL52" s="4" t="s">
        <v>356</v>
      </c>
      <c r="BM52" s="4" t="s">
        <v>356</v>
      </c>
      <c r="BN52" s="4" t="s">
        <v>356</v>
      </c>
      <c r="BO52" s="4" t="s">
        <v>356</v>
      </c>
      <c r="BP52" s="4">
        <v>4</v>
      </c>
      <c r="BQ52" s="4">
        <v>0</v>
      </c>
      <c r="BR52" s="4">
        <v>0</v>
      </c>
      <c r="BS52" s="4">
        <v>51</v>
      </c>
      <c r="BT52" s="4">
        <v>1</v>
      </c>
      <c r="BU52" s="4">
        <v>1</v>
      </c>
      <c r="BV52" s="4">
        <v>1</v>
      </c>
      <c r="BW52" s="4">
        <v>1</v>
      </c>
      <c r="BX52" s="4">
        <v>1</v>
      </c>
      <c r="BY52" s="4">
        <v>1</v>
      </c>
      <c r="BZ52" s="4">
        <v>1</v>
      </c>
      <c r="CA52" s="4">
        <v>1</v>
      </c>
      <c r="CB52" s="4">
        <v>1</v>
      </c>
      <c r="CC52" s="4">
        <v>1</v>
      </c>
      <c r="CD52" s="4">
        <v>2</v>
      </c>
      <c r="CE52" s="4">
        <v>1</v>
      </c>
      <c r="CF52" s="4">
        <v>1</v>
      </c>
      <c r="CG52" s="4">
        <v>1</v>
      </c>
      <c r="CH52" s="4">
        <v>1</v>
      </c>
      <c r="CI52" s="4">
        <v>1</v>
      </c>
      <c r="CJ52" s="4">
        <v>1</v>
      </c>
      <c r="CK52" s="4">
        <v>3</v>
      </c>
      <c r="CL52" s="4">
        <v>1</v>
      </c>
      <c r="CM52" s="4">
        <v>3</v>
      </c>
      <c r="CN52" s="4">
        <v>1</v>
      </c>
      <c r="CO52" s="4">
        <v>1</v>
      </c>
      <c r="CP52" s="4">
        <v>1</v>
      </c>
      <c r="CQ52" s="4">
        <v>1</v>
      </c>
      <c r="CR52" s="4">
        <v>2</v>
      </c>
      <c r="CS52" s="4">
        <v>2</v>
      </c>
      <c r="CT52" s="4">
        <v>1</v>
      </c>
      <c r="CU52" s="4">
        <v>1</v>
      </c>
      <c r="CV52" s="4">
        <v>1</v>
      </c>
      <c r="CW52" s="4">
        <v>2</v>
      </c>
      <c r="CX52" s="4">
        <f>SUM(Foglio1!$BT52:$CW52)</f>
        <v>38</v>
      </c>
      <c r="CY52" s="4">
        <f>SUM(Foglio1!$BT52+Foglio1!$BV52+Foglio1!$CP52+Foglio1!$BY52+Foglio1!$BX52+Foglio1!$CH52+Foglio1!$CS52+Foglio1!$CW52-Foglio1!$CE52)</f>
        <v>9</v>
      </c>
      <c r="CZ52" s="4">
        <f>SUM(Foglio1!$CF52+Foglio1!$CA52+Foglio1!$CB52+Foglio1!$CD52+Foglio1!$CN52+Foglio1!$CC52+Foglio1!$CW52+Foglio1!$CO52+Foglio1!$CT52-Foglio1!$BU52)</f>
        <v>10</v>
      </c>
      <c r="DA52" s="4">
        <f>SUM(Foglio1!$CG52+Foglio1!$CR52+Foglio1!$CQ52+Foglio1!$BU52+Foglio1!$CE52+Foglio1!$CL52+Foglio1!$CS52+Foglio1!$CT52+Foglio1!$CV52+Foglio1!$CP52)</f>
        <v>12</v>
      </c>
      <c r="DB52" s="4">
        <f>SUM(Foglio1!$CU52+Foglio1!$BW52+Foglio1!$BZ52+Foglio1!$CO52+Foglio1!$BX52+Foglio1!$CC52+Foglio1!$CK52+Foglio1!$CW52)</f>
        <v>11</v>
      </c>
      <c r="DC52" s="4">
        <f>SUM(Foglio1!$CI52+Foglio1!$CM52+Foglio1!$CJ52+Foglio1!$CK52+Foglio1!$BY52+Foglio1!$CH52+Foglio1!$CV52+Foglio1!$CW52)</f>
        <v>13</v>
      </c>
      <c r="DD52" s="4">
        <v>2</v>
      </c>
      <c r="DE52" s="4">
        <v>0</v>
      </c>
      <c r="DF52" s="4">
        <v>0</v>
      </c>
      <c r="DG52" s="4">
        <v>0</v>
      </c>
      <c r="DH52" s="4">
        <v>0</v>
      </c>
      <c r="DI52" s="4">
        <v>0</v>
      </c>
      <c r="DJ52" s="4">
        <v>0</v>
      </c>
      <c r="DK52" s="4">
        <v>0</v>
      </c>
      <c r="DL52" s="4">
        <v>0</v>
      </c>
      <c r="DM52" s="4">
        <v>0</v>
      </c>
      <c r="DN52" s="4">
        <v>0</v>
      </c>
      <c r="DO52" s="4">
        <v>0</v>
      </c>
      <c r="DP52" s="4">
        <v>0</v>
      </c>
      <c r="DQ52" s="4">
        <v>0</v>
      </c>
      <c r="DR52" s="4">
        <v>0</v>
      </c>
      <c r="DS52" s="4">
        <v>0</v>
      </c>
      <c r="DT52" s="4">
        <v>0</v>
      </c>
      <c r="DU52" s="4">
        <v>0</v>
      </c>
      <c r="DV52" s="4">
        <v>0</v>
      </c>
      <c r="DW52" s="4">
        <v>0</v>
      </c>
      <c r="DX52" s="4">
        <v>0</v>
      </c>
      <c r="DY52" s="4">
        <v>0</v>
      </c>
      <c r="DZ52" s="4">
        <v>1</v>
      </c>
      <c r="EA52" s="4">
        <v>0</v>
      </c>
      <c r="EB52" s="4">
        <v>0</v>
      </c>
      <c r="EC52" s="4">
        <v>0</v>
      </c>
      <c r="ED52" s="4">
        <v>0</v>
      </c>
      <c r="EE52" s="4">
        <v>1</v>
      </c>
      <c r="EF52" s="4">
        <v>0</v>
      </c>
      <c r="EG52" s="4">
        <v>0</v>
      </c>
      <c r="EH52" s="4">
        <f>(Foglio1!$DE52+Foglio1!$DH52+Foglio1!$DG52+Foglio1!$DF52+Foglio1!$DM52+Foglio1!$DD52+Foglio1!$DO52+Foglio1!$DL52+Foglio1!$DN52+Foglio1!$DQ52+Foglio1!$DP52+Foglio1!$DT52+Foglio1!$DI52+Foglio1!$DK52+Foglio1!$DU52)</f>
        <v>2</v>
      </c>
      <c r="EI52" s="4">
        <f>(Foglio1!$EA52+Foglio1!$EB52+Foglio1!$EE52+Foglio1!$EC52+Foglio1!$ED52+Foglio1!$DZ52+Foglio1!$DY52)</f>
        <v>2</v>
      </c>
      <c r="EJ52" s="4">
        <f>(Foglio1!$DW52+Foglio1!$DV52+Foglio1!$DX52)</f>
        <v>0</v>
      </c>
      <c r="EK52" s="4">
        <f>(Foglio1!$EG52+Foglio1!$EF52)</f>
        <v>0</v>
      </c>
      <c r="EL52" s="4">
        <v>1</v>
      </c>
      <c r="EM52" s="4">
        <v>1</v>
      </c>
      <c r="EN52" s="4">
        <v>1</v>
      </c>
      <c r="EO52" s="4">
        <v>1</v>
      </c>
      <c r="EP52" s="4">
        <f t="array" ref="EP52">SUM(EL52:EO52/4)</f>
        <v>1</v>
      </c>
      <c r="EQ52" s="4">
        <v>1</v>
      </c>
      <c r="ER52" s="4">
        <v>0</v>
      </c>
      <c r="ES52" s="4">
        <v>0</v>
      </c>
      <c r="ET52" s="4">
        <v>1</v>
      </c>
      <c r="EU52" s="4" t="s">
        <v>1548</v>
      </c>
      <c r="EV52" s="4">
        <v>1</v>
      </c>
      <c r="EW52" s="4" t="s">
        <v>1549</v>
      </c>
      <c r="EX52" s="4">
        <v>1</v>
      </c>
      <c r="EY52" s="4">
        <f>(Foglio1!$EQ52+Foglio1!$ER52+Foglio1!$ES52+Foglio1!$ET52+Foglio1!$EV52+Foglio1!$EX52)/6</f>
        <v>0.66666666666666663</v>
      </c>
      <c r="EZ52" s="4">
        <v>1</v>
      </c>
      <c r="FA52" s="4">
        <v>1</v>
      </c>
      <c r="FB52" s="4">
        <v>1</v>
      </c>
      <c r="FC52" s="4">
        <f>(Foglio1!$EZ52+Foglio1!$FA52+Foglio1!$FB52)/3</f>
        <v>1</v>
      </c>
      <c r="FD52" s="4">
        <v>1</v>
      </c>
      <c r="FE52" s="4">
        <v>0</v>
      </c>
      <c r="FF52" s="4">
        <f>(Foglio1!$FD52+Foglio1!$FE52)/2</f>
        <v>0.5</v>
      </c>
      <c r="FG52" s="4" t="s">
        <v>1550</v>
      </c>
      <c r="FH52" s="4">
        <v>1</v>
      </c>
      <c r="FI52" s="4" t="s">
        <v>1551</v>
      </c>
      <c r="FJ52" s="4">
        <v>0</v>
      </c>
      <c r="FK52" s="4" t="s">
        <v>1552</v>
      </c>
      <c r="FL52" s="4">
        <v>0</v>
      </c>
      <c r="FM52" s="4">
        <f>(Foglio1!$FH52+Foglio1!$FJ52+Foglio1!$FL52)/3</f>
        <v>0.33333333333333331</v>
      </c>
      <c r="FN52" s="4">
        <f>(Foglio1!$EP52)</f>
        <v>1</v>
      </c>
      <c r="FO52" s="4">
        <f>(Foglio1!$EY52+Foglio1!$FC52+Foglio1!$FF52+Foglio1!$FM52)/4</f>
        <v>0.625</v>
      </c>
      <c r="FP52" s="4">
        <f>(Foglio1!$EP52+Foglio1!$EY52+Foglio1!$FC52+Foglio1!$FF52+Foglio1!$FM52)/5</f>
        <v>0.7</v>
      </c>
      <c r="FQ52" s="6">
        <v>45503</v>
      </c>
      <c r="FR52" s="4" t="s">
        <v>356</v>
      </c>
      <c r="FS52" s="4" t="s">
        <v>356</v>
      </c>
      <c r="FT52" s="4" t="s">
        <v>356</v>
      </c>
      <c r="FU52" s="4" t="s">
        <v>356</v>
      </c>
      <c r="FV52" s="4" t="s">
        <v>356</v>
      </c>
      <c r="FW52" s="4" t="s">
        <v>356</v>
      </c>
      <c r="FX52" s="4" t="s">
        <v>356</v>
      </c>
      <c r="FY52" s="4">
        <v>2</v>
      </c>
      <c r="FZ52" s="4">
        <v>1</v>
      </c>
      <c r="GA52" s="4">
        <v>5</v>
      </c>
      <c r="GB52" s="4">
        <v>61</v>
      </c>
      <c r="GC52" s="4">
        <v>0</v>
      </c>
      <c r="GD52" s="4">
        <v>0</v>
      </c>
      <c r="GE52" s="4">
        <v>0</v>
      </c>
      <c r="GF52" s="4">
        <v>0</v>
      </c>
      <c r="GG52" s="4">
        <v>0</v>
      </c>
      <c r="GH52" s="4">
        <v>0</v>
      </c>
      <c r="GI52" s="4">
        <v>0</v>
      </c>
      <c r="GJ52" s="4">
        <v>0</v>
      </c>
      <c r="GK52" s="4">
        <v>0</v>
      </c>
      <c r="GL52" s="4">
        <v>0</v>
      </c>
      <c r="GM52" s="4">
        <v>0</v>
      </c>
      <c r="GN52" s="4">
        <v>0</v>
      </c>
      <c r="GO52" s="4">
        <v>0</v>
      </c>
      <c r="GP52" s="4">
        <v>0</v>
      </c>
      <c r="GQ52" s="4">
        <v>0</v>
      </c>
      <c r="GR52" s="4">
        <v>0</v>
      </c>
      <c r="GS52" s="4">
        <v>0</v>
      </c>
      <c r="GT52" s="4">
        <v>1</v>
      </c>
      <c r="GU52" s="4">
        <v>0</v>
      </c>
      <c r="GV52" s="4">
        <v>0</v>
      </c>
      <c r="GW52" s="4">
        <v>0</v>
      </c>
      <c r="GX52" s="4">
        <v>0</v>
      </c>
      <c r="GY52" s="4">
        <v>0</v>
      </c>
      <c r="GZ52" s="4">
        <v>0</v>
      </c>
      <c r="HA52" s="4">
        <v>0</v>
      </c>
      <c r="HB52" s="4">
        <v>0</v>
      </c>
      <c r="HC52" s="4">
        <v>0</v>
      </c>
      <c r="HD52" s="4">
        <v>0</v>
      </c>
      <c r="HE52" s="4">
        <v>0</v>
      </c>
      <c r="HF52" s="4">
        <v>0</v>
      </c>
      <c r="HG52" s="4">
        <f t="shared" si="69"/>
        <v>1</v>
      </c>
      <c r="HH52" s="4">
        <f t="shared" si="70"/>
        <v>0</v>
      </c>
      <c r="HI52" s="4">
        <f t="shared" si="71"/>
        <v>0</v>
      </c>
      <c r="HJ52" s="4">
        <f t="shared" si="72"/>
        <v>0</v>
      </c>
      <c r="HK52" s="4">
        <f t="shared" si="73"/>
        <v>1</v>
      </c>
      <c r="HL52" s="4">
        <f t="shared" si="74"/>
        <v>1</v>
      </c>
      <c r="HM52" s="4">
        <v>2</v>
      </c>
      <c r="HN52" s="4">
        <v>0</v>
      </c>
      <c r="HO52" s="4">
        <v>2</v>
      </c>
      <c r="HP52" s="4">
        <v>0</v>
      </c>
      <c r="HQ52" s="4">
        <v>0</v>
      </c>
      <c r="HR52" s="4">
        <v>0</v>
      </c>
      <c r="HS52" s="4">
        <v>0</v>
      </c>
      <c r="HT52" s="4">
        <v>0</v>
      </c>
      <c r="HU52" s="4">
        <v>1</v>
      </c>
      <c r="HV52" s="4">
        <v>1</v>
      </c>
      <c r="HW52" s="4">
        <v>0</v>
      </c>
      <c r="HX52" s="4">
        <v>0</v>
      </c>
      <c r="HY52" s="4">
        <v>0</v>
      </c>
      <c r="HZ52" s="4">
        <v>0</v>
      </c>
      <c r="IA52" s="4">
        <v>0</v>
      </c>
      <c r="IB52" s="4">
        <v>0</v>
      </c>
      <c r="IC52" s="4">
        <v>0</v>
      </c>
      <c r="ID52" s="4">
        <v>0</v>
      </c>
      <c r="IE52" s="4">
        <v>0</v>
      </c>
      <c r="IF52" s="4">
        <v>0</v>
      </c>
      <c r="IG52" s="4">
        <v>0</v>
      </c>
      <c r="IH52" s="4">
        <v>0</v>
      </c>
      <c r="II52" s="4">
        <v>1</v>
      </c>
      <c r="IJ52" s="4">
        <v>0</v>
      </c>
      <c r="IK52" s="4">
        <v>2</v>
      </c>
      <c r="IL52" s="4">
        <v>0</v>
      </c>
      <c r="IM52" s="4">
        <v>1</v>
      </c>
      <c r="IN52" s="4">
        <v>0</v>
      </c>
      <c r="IO52" s="4">
        <v>0</v>
      </c>
      <c r="IP52" s="4">
        <v>0</v>
      </c>
      <c r="IQ52" s="4">
        <f t="shared" si="75"/>
        <v>6</v>
      </c>
      <c r="IR52" s="4">
        <f t="shared" si="76"/>
        <v>4</v>
      </c>
      <c r="IS52" s="4">
        <f t="shared" si="77"/>
        <v>0</v>
      </c>
      <c r="IT52" s="4">
        <f t="shared" si="78"/>
        <v>0</v>
      </c>
      <c r="IU52" s="4" t="s">
        <v>383</v>
      </c>
      <c r="IV52" s="4" t="s">
        <v>383</v>
      </c>
      <c r="IW52" s="4" t="s">
        <v>383</v>
      </c>
      <c r="IX52" s="4" t="s">
        <v>383</v>
      </c>
      <c r="IY52" s="4">
        <v>0</v>
      </c>
      <c r="IZ52" s="4">
        <v>1</v>
      </c>
      <c r="JA52" s="4">
        <v>1</v>
      </c>
      <c r="JB52" s="4">
        <v>0</v>
      </c>
      <c r="JC52" s="4">
        <f>(Foglio1!$IY52+Foglio1!$IZ52+Foglio1!$JA52+Foglio1!$JB52)/4</f>
        <v>0.5</v>
      </c>
      <c r="JD52" s="4">
        <v>1</v>
      </c>
      <c r="JE52" s="4">
        <v>0</v>
      </c>
      <c r="JF52" s="4">
        <v>1</v>
      </c>
      <c r="JG52" s="4">
        <v>1</v>
      </c>
      <c r="JH52" s="4" t="s">
        <v>1553</v>
      </c>
      <c r="JI52" s="4">
        <v>1</v>
      </c>
      <c r="JJ52" s="4" t="s">
        <v>1554</v>
      </c>
      <c r="JK52" s="4">
        <v>1</v>
      </c>
      <c r="JL52" s="4">
        <f>(Foglio1!$JD52+Foglio1!$JE52+Foglio1!$JF52+Foglio1!$JG52+Foglio1!$JI52+Foglio1!$JK52)/6</f>
        <v>0.83333333333333337</v>
      </c>
      <c r="JM52" s="4">
        <v>1</v>
      </c>
      <c r="JN52" s="4">
        <v>1</v>
      </c>
      <c r="JO52" s="4">
        <v>1</v>
      </c>
      <c r="JP52" s="4">
        <f>(Foglio1!$JM52+Foglio1!$JN52+Foglio1!$JO52)/3</f>
        <v>1</v>
      </c>
      <c r="JQ52" s="4">
        <v>1</v>
      </c>
      <c r="JR52" s="4">
        <v>0</v>
      </c>
      <c r="JS52" s="4">
        <f>(Foglio1!$JQ52+Foglio1!$JR52)/2</f>
        <v>0.5</v>
      </c>
      <c r="JT52" s="4" t="s">
        <v>1555</v>
      </c>
      <c r="JU52" s="4">
        <v>1</v>
      </c>
      <c r="JV52" s="4" t="s">
        <v>1556</v>
      </c>
      <c r="JW52" s="4">
        <v>1</v>
      </c>
      <c r="JX52" s="4" t="s">
        <v>1557</v>
      </c>
      <c r="JY52" s="4">
        <v>0</v>
      </c>
      <c r="JZ52" s="4">
        <f>(Foglio1!$JU52+Foglio1!$JW52+Foglio1!$JY52)/3</f>
        <v>0.66666666666666663</v>
      </c>
      <c r="KA52" s="4">
        <f>(Foglio1!$JC52)</f>
        <v>0.5</v>
      </c>
      <c r="KB52" s="4">
        <f>(Foglio1!$JL52+Foglio1!$JP52+Foglio1!$JS52+Foglio1!$JZ52)/4</f>
        <v>0.75</v>
      </c>
      <c r="KC52" s="4">
        <f>(Foglio1!$JC52+Foglio1!$JL52+Foglio1!$JP52+Foglio1!$JS52+Foglio1!$JZ52)/5</f>
        <v>0.7</v>
      </c>
      <c r="KD52" s="4" t="s">
        <v>1558</v>
      </c>
      <c r="KE52" s="4">
        <v>0</v>
      </c>
      <c r="KF52" s="4">
        <v>2</v>
      </c>
      <c r="KG52" s="4" t="s">
        <v>1559</v>
      </c>
      <c r="KH52" s="4">
        <v>0</v>
      </c>
      <c r="KI52" s="4">
        <v>1</v>
      </c>
      <c r="KJ52" s="4" t="s">
        <v>1560</v>
      </c>
      <c r="KK52" s="4">
        <v>1</v>
      </c>
      <c r="KL52" s="4">
        <v>2</v>
      </c>
      <c r="KM52" s="4" t="s">
        <v>1561</v>
      </c>
      <c r="KN52" s="4">
        <v>0</v>
      </c>
      <c r="KO52" s="4">
        <v>3</v>
      </c>
      <c r="KP52" s="4" t="s">
        <v>1562</v>
      </c>
      <c r="KQ52" s="4">
        <v>2</v>
      </c>
      <c r="KR52" s="4">
        <v>3</v>
      </c>
      <c r="KS52" s="4" t="s">
        <v>1563</v>
      </c>
      <c r="KT52" s="4">
        <v>2</v>
      </c>
      <c r="KU52" s="4">
        <v>1</v>
      </c>
      <c r="KV52" s="4" t="s">
        <v>1564</v>
      </c>
      <c r="KW52" s="4">
        <v>0</v>
      </c>
      <c r="KX52" s="4">
        <v>1</v>
      </c>
      <c r="KY52" s="4" t="s">
        <v>1565</v>
      </c>
      <c r="KZ52" s="4">
        <v>2</v>
      </c>
      <c r="LA52" s="4">
        <v>3</v>
      </c>
      <c r="LB52" s="4" t="s">
        <v>1566</v>
      </c>
      <c r="LC52" s="4">
        <v>2</v>
      </c>
      <c r="LD52" s="4">
        <v>1</v>
      </c>
      <c r="LE52" s="4" t="s">
        <v>1567</v>
      </c>
      <c r="LF52" s="4">
        <v>1</v>
      </c>
      <c r="LG52" s="4">
        <v>2</v>
      </c>
      <c r="LH52" s="4" t="s">
        <v>1568</v>
      </c>
      <c r="LI52" s="4">
        <v>2</v>
      </c>
      <c r="LJ52" s="4">
        <v>1</v>
      </c>
      <c r="LK52" s="4" t="s">
        <v>1569</v>
      </c>
      <c r="LL52" s="4">
        <v>2</v>
      </c>
      <c r="LM52" s="4">
        <v>3</v>
      </c>
      <c r="LN52" s="4" t="s">
        <v>1570</v>
      </c>
      <c r="LO52" s="4">
        <v>2</v>
      </c>
      <c r="LP52" s="4">
        <v>1</v>
      </c>
      <c r="LQ52" s="4" t="s">
        <v>1571</v>
      </c>
      <c r="LR52" s="4">
        <v>0</v>
      </c>
      <c r="LS52" s="4">
        <v>2</v>
      </c>
      <c r="LT52" s="4">
        <f>(Foglio1!$KE52+Foglio1!$KH52+Foglio1!$KK52+Foglio1!$KN52+Foglio1!$KQ52+Foglio1!$KT52+Foglio1!$KW52+Foglio1!$KZ52+Foglio1!$LC52+Foglio1!$LF52+Foglio1!$LI52+Foglio1!$LL52+Foglio1!$LO52+Foglio1!$LR52)</f>
        <v>16</v>
      </c>
      <c r="LU52" s="4">
        <f>(Foglio1!$KI52+Foglio1!$KF52+Foglio1!$KL52+Foglio1!$KO52+Foglio1!$KR52+Foglio1!$KU52+Foglio1!$KX52+Foglio1!$LA52+Foglio1!$LD52+Foglio1!$LG52+Foglio1!$LJ52+Foglio1!$LM52+Foglio1!$LP52+Foglio1!$LS52)</f>
        <v>26</v>
      </c>
      <c r="LV52" s="4">
        <v>20</v>
      </c>
      <c r="LW52" s="4">
        <v>42</v>
      </c>
      <c r="LX52" s="4">
        <v>11</v>
      </c>
      <c r="LY52" s="4">
        <v>31</v>
      </c>
      <c r="LZ52" s="4">
        <v>1</v>
      </c>
      <c r="MA52" s="4">
        <v>4</v>
      </c>
      <c r="MB52" s="4">
        <v>7</v>
      </c>
      <c r="MC52" s="4">
        <v>7</v>
      </c>
      <c r="MD52" s="3">
        <f t="shared" si="7"/>
        <v>19</v>
      </c>
      <c r="ME52" s="4">
        <v>0</v>
      </c>
      <c r="MF52" s="3">
        <v>0</v>
      </c>
      <c r="MG52" s="3">
        <v>0</v>
      </c>
      <c r="MH52" s="3">
        <v>0</v>
      </c>
      <c r="MI52" s="3">
        <f t="shared" si="8"/>
        <v>0</v>
      </c>
    </row>
    <row r="53" spans="1:347" ht="15.75" customHeight="1" x14ac:dyDescent="0.25">
      <c r="A53" s="8" t="s">
        <v>1572</v>
      </c>
      <c r="B53" s="4">
        <v>26</v>
      </c>
      <c r="C53" s="4" t="s">
        <v>403</v>
      </c>
      <c r="D53" s="4">
        <v>13</v>
      </c>
      <c r="E53" s="4">
        <v>0</v>
      </c>
      <c r="F53" s="4" t="s">
        <v>350</v>
      </c>
      <c r="G53" s="4" t="s">
        <v>356</v>
      </c>
      <c r="H53" s="4" t="s">
        <v>1573</v>
      </c>
      <c r="I53" s="4" t="s">
        <v>1574</v>
      </c>
      <c r="J53" s="4"/>
      <c r="K53" s="4"/>
      <c r="L53" s="5" t="s">
        <v>356</v>
      </c>
      <c r="M53" s="4" t="s">
        <v>1575</v>
      </c>
      <c r="N53" s="4" t="s">
        <v>1576</v>
      </c>
      <c r="O53" s="6">
        <v>45609</v>
      </c>
      <c r="P53" s="6">
        <v>45626</v>
      </c>
      <c r="Q53" s="4" t="s">
        <v>1577</v>
      </c>
      <c r="R53" s="4"/>
      <c r="S53" s="4"/>
      <c r="T53" s="4"/>
      <c r="U53" s="4"/>
      <c r="V53" s="4"/>
      <c r="W53" s="4"/>
      <c r="X53" s="4"/>
      <c r="Y53" s="4"/>
      <c r="Z53" s="4"/>
      <c r="AA53" s="4"/>
      <c r="AB53" s="4"/>
      <c r="AC53" s="4"/>
      <c r="AD53" s="4"/>
      <c r="AE53" s="4"/>
      <c r="AF53" s="4"/>
      <c r="AG53" s="4"/>
      <c r="AH53" s="4" t="s">
        <v>1578</v>
      </c>
      <c r="AI53" s="4" t="s">
        <v>1088</v>
      </c>
      <c r="AJ53" s="4" t="s">
        <v>1579</v>
      </c>
      <c r="AK53" s="4" t="s">
        <v>1580</v>
      </c>
      <c r="AL53" s="4" t="s">
        <v>735</v>
      </c>
      <c r="AM53" s="4" t="s">
        <v>1581</v>
      </c>
      <c r="AN53" s="4" t="s">
        <v>766</v>
      </c>
      <c r="AO53" s="4" t="s">
        <v>1582</v>
      </c>
      <c r="AP53" s="5" t="s">
        <v>356</v>
      </c>
      <c r="AQ53" s="5" t="s">
        <v>356</v>
      </c>
      <c r="AR53" s="5" t="s">
        <v>356</v>
      </c>
      <c r="AS53" s="5" t="s">
        <v>356</v>
      </c>
      <c r="AT53" s="5" t="s">
        <v>356</v>
      </c>
      <c r="AU53" s="5" t="s">
        <v>356</v>
      </c>
      <c r="AV53" s="5" t="s">
        <v>356</v>
      </c>
      <c r="AW53" s="5" t="s">
        <v>356</v>
      </c>
      <c r="AX53" s="4">
        <v>4</v>
      </c>
      <c r="AY53" s="4"/>
      <c r="AZ53" s="4" t="s">
        <v>360</v>
      </c>
      <c r="BA53" s="4">
        <f t="shared" si="68"/>
        <v>17</v>
      </c>
      <c r="BB53" s="4"/>
      <c r="BC53" s="4"/>
      <c r="BD53" s="4"/>
      <c r="BE53" s="4"/>
      <c r="BF53" s="4"/>
      <c r="BG53" s="6">
        <v>45617</v>
      </c>
      <c r="BH53" s="4" t="s">
        <v>356</v>
      </c>
      <c r="BI53" s="4" t="s">
        <v>356</v>
      </c>
      <c r="BJ53" s="4" t="s">
        <v>356</v>
      </c>
      <c r="BK53" s="4" t="s">
        <v>356</v>
      </c>
      <c r="BL53" s="4" t="s">
        <v>356</v>
      </c>
      <c r="BM53" s="4" t="s">
        <v>356</v>
      </c>
      <c r="BN53" s="4" t="s">
        <v>356</v>
      </c>
      <c r="BO53" s="4" t="s">
        <v>356</v>
      </c>
      <c r="BP53" s="4">
        <v>3</v>
      </c>
      <c r="BQ53" s="4">
        <v>2</v>
      </c>
      <c r="BR53" s="4">
        <v>5</v>
      </c>
      <c r="BS53" s="4">
        <v>70</v>
      </c>
      <c r="BT53" s="4">
        <v>1</v>
      </c>
      <c r="BU53" s="4">
        <v>1</v>
      </c>
      <c r="BV53" s="4">
        <v>1</v>
      </c>
      <c r="BW53" s="4">
        <v>1</v>
      </c>
      <c r="BX53" s="4">
        <v>1</v>
      </c>
      <c r="BY53" s="4">
        <v>1</v>
      </c>
      <c r="BZ53" s="4">
        <v>1</v>
      </c>
      <c r="CA53" s="4">
        <v>1</v>
      </c>
      <c r="CB53" s="4">
        <v>1</v>
      </c>
      <c r="CC53" s="4">
        <v>1</v>
      </c>
      <c r="CD53" s="4">
        <v>1</v>
      </c>
      <c r="CE53" s="4">
        <v>1</v>
      </c>
      <c r="CF53" s="4">
        <v>1</v>
      </c>
      <c r="CG53" s="4">
        <v>1</v>
      </c>
      <c r="CH53" s="4">
        <v>2</v>
      </c>
      <c r="CI53" s="4">
        <v>3</v>
      </c>
      <c r="CJ53" s="4">
        <v>3</v>
      </c>
      <c r="CK53" s="4">
        <v>3</v>
      </c>
      <c r="CL53" s="4">
        <v>1</v>
      </c>
      <c r="CM53" s="4">
        <v>1</v>
      </c>
      <c r="CN53" s="4">
        <v>1</v>
      </c>
      <c r="CO53" s="4">
        <v>1</v>
      </c>
      <c r="CP53" s="4">
        <v>1</v>
      </c>
      <c r="CQ53" s="4">
        <v>1</v>
      </c>
      <c r="CR53" s="4">
        <v>1</v>
      </c>
      <c r="CS53" s="4">
        <v>1</v>
      </c>
      <c r="CT53" s="4">
        <v>1</v>
      </c>
      <c r="CU53" s="4">
        <v>2</v>
      </c>
      <c r="CV53" s="4">
        <v>2</v>
      </c>
      <c r="CW53" s="4">
        <v>1</v>
      </c>
      <c r="CX53" s="4">
        <f>SUM(Foglio1!$BT53:$CW53)</f>
        <v>39</v>
      </c>
      <c r="CY53" s="4">
        <f>SUM(Foglio1!$BT53+Foglio1!$BV53+Foglio1!$CP53+Foglio1!$BY53+Foglio1!$BX53+Foglio1!$CH53+Foglio1!$CS53+Foglio1!$CW53-Foglio1!$CE53)</f>
        <v>8</v>
      </c>
      <c r="CZ53" s="4">
        <f>SUM(Foglio1!$CF53+Foglio1!$CA53+Foglio1!$CB53+Foglio1!$CD53+Foglio1!$CN53+Foglio1!$CC53+Foglio1!$CW53+Foglio1!$CO53+Foglio1!$CT53-Foglio1!$BU53)</f>
        <v>8</v>
      </c>
      <c r="DA53" s="4">
        <f>SUM(Foglio1!$CG53+Foglio1!$CR53+Foglio1!$CQ53+Foglio1!$BU53+Foglio1!$CE53+Foglio1!$CL53+Foglio1!$CS53+Foglio1!$CT53+Foglio1!$CV53+Foglio1!$CP53)</f>
        <v>11</v>
      </c>
      <c r="DB53" s="4">
        <f>SUM(Foglio1!$CU53+Foglio1!$BW53+Foglio1!$BZ53+Foglio1!$CO53+Foglio1!$BX53+Foglio1!$CC53+Foglio1!$CK53+Foglio1!$CW53)</f>
        <v>11</v>
      </c>
      <c r="DC53" s="4">
        <f>SUM(Foglio1!$CI53+Foglio1!$CM53+Foglio1!$CJ53+Foglio1!$CK53+Foglio1!$BY53+Foglio1!$CH53+Foglio1!$CV53+Foglio1!$CW53)</f>
        <v>16</v>
      </c>
      <c r="DD53" s="4">
        <v>1</v>
      </c>
      <c r="DE53" s="4">
        <v>0</v>
      </c>
      <c r="DF53" s="4">
        <v>0</v>
      </c>
      <c r="DG53" s="4">
        <v>0</v>
      </c>
      <c r="DH53" s="4">
        <v>0</v>
      </c>
      <c r="DI53" s="4">
        <v>0</v>
      </c>
      <c r="DJ53" s="4">
        <v>0</v>
      </c>
      <c r="DK53" s="4">
        <v>0</v>
      </c>
      <c r="DL53" s="4">
        <v>0</v>
      </c>
      <c r="DM53" s="4">
        <v>0</v>
      </c>
      <c r="DN53" s="4">
        <v>0</v>
      </c>
      <c r="DO53" s="4">
        <v>0</v>
      </c>
      <c r="DP53" s="4">
        <v>0</v>
      </c>
      <c r="DQ53" s="4">
        <v>0</v>
      </c>
      <c r="DR53" s="4">
        <v>0</v>
      </c>
      <c r="DS53" s="4">
        <v>0</v>
      </c>
      <c r="DT53" s="4">
        <v>1</v>
      </c>
      <c r="DU53" s="4">
        <v>0</v>
      </c>
      <c r="DV53" s="4">
        <v>0</v>
      </c>
      <c r="DW53" s="4">
        <v>0</v>
      </c>
      <c r="DX53" s="4">
        <v>0</v>
      </c>
      <c r="DY53" s="4">
        <v>0</v>
      </c>
      <c r="DZ53" s="4">
        <v>3</v>
      </c>
      <c r="EA53" s="4">
        <v>0</v>
      </c>
      <c r="EB53" s="4">
        <v>0</v>
      </c>
      <c r="EC53" s="4">
        <v>0</v>
      </c>
      <c r="ED53" s="4">
        <v>0</v>
      </c>
      <c r="EE53" s="4">
        <v>3</v>
      </c>
      <c r="EF53" s="4">
        <v>0</v>
      </c>
      <c r="EG53" s="4">
        <v>0</v>
      </c>
      <c r="EH53" s="4">
        <f>(Foglio1!$DE53+Foglio1!$DH53+Foglio1!$DG53+Foglio1!$DF53+Foglio1!$DM53+Foglio1!$DD53+Foglio1!$DO53+Foglio1!$DL53+Foglio1!$DN53+Foglio1!$DQ53+Foglio1!$DP53+Foglio1!$DT53+Foglio1!$DI53+Foglio1!$DK53+Foglio1!$DU53)</f>
        <v>2</v>
      </c>
      <c r="EI53" s="4">
        <f>(Foglio1!$EA53+Foglio1!$EB53+Foglio1!$EE53+Foglio1!$EC53+Foglio1!$ED53+Foglio1!$DZ53+Foglio1!$DY53)</f>
        <v>6</v>
      </c>
      <c r="EJ53" s="4">
        <f>(Foglio1!$DW53+Foglio1!$DV53+Foglio1!$DX53)</f>
        <v>0</v>
      </c>
      <c r="EK53" s="4">
        <f>(Foglio1!$EG53+Foglio1!$EF53)</f>
        <v>0</v>
      </c>
      <c r="EL53" s="4">
        <v>0</v>
      </c>
      <c r="EM53" s="4">
        <v>1</v>
      </c>
      <c r="EN53" s="4">
        <v>1</v>
      </c>
      <c r="EO53" s="4">
        <v>1</v>
      </c>
      <c r="EP53" s="4">
        <f t="array" ref="EP53">SUM(EL53:EO53/4)</f>
        <v>0.75</v>
      </c>
      <c r="EQ53" s="4">
        <v>1</v>
      </c>
      <c r="ER53" s="4">
        <v>1</v>
      </c>
      <c r="ES53" s="4">
        <v>0</v>
      </c>
      <c r="ET53" s="4">
        <v>0</v>
      </c>
      <c r="EU53" s="4" t="s">
        <v>1583</v>
      </c>
      <c r="EV53" s="4">
        <v>1</v>
      </c>
      <c r="EW53" s="4" t="s">
        <v>1584</v>
      </c>
      <c r="EX53" s="4">
        <v>1</v>
      </c>
      <c r="EY53" s="4">
        <f>(Foglio1!$EQ53+Foglio1!$ER53+Foglio1!$ES53+Foglio1!$ET53+Foglio1!$EV53+Foglio1!$EX53)/6</f>
        <v>0.66666666666666663</v>
      </c>
      <c r="EZ53" s="4">
        <v>1</v>
      </c>
      <c r="FA53" s="4">
        <v>1</v>
      </c>
      <c r="FB53" s="4">
        <v>1</v>
      </c>
      <c r="FC53" s="4">
        <f>(Foglio1!$EZ53+Foglio1!$FA53+Foglio1!$FB53)/3</f>
        <v>1</v>
      </c>
      <c r="FD53" s="4">
        <v>1</v>
      </c>
      <c r="FE53" s="4">
        <v>1</v>
      </c>
      <c r="FF53" s="4">
        <f>(Foglio1!$FD53+Foglio1!$FE53)/2</f>
        <v>1</v>
      </c>
      <c r="FG53" s="4" t="s">
        <v>1585</v>
      </c>
      <c r="FH53" s="4">
        <v>1</v>
      </c>
      <c r="FI53" s="4" t="s">
        <v>1586</v>
      </c>
      <c r="FJ53" s="4">
        <v>0</v>
      </c>
      <c r="FK53" s="4" t="s">
        <v>1587</v>
      </c>
      <c r="FL53" s="4">
        <v>1</v>
      </c>
      <c r="FM53" s="4">
        <f>(Foglio1!$FH53+Foglio1!$FJ53+Foglio1!$FL53)/3</f>
        <v>0.66666666666666663</v>
      </c>
      <c r="FN53" s="4">
        <f>(Foglio1!$EP53)</f>
        <v>0.75</v>
      </c>
      <c r="FO53" s="4">
        <f>(Foglio1!$EY53+Foglio1!$FC53+Foglio1!$FF53+Foglio1!$FM53)/4</f>
        <v>0.83333333333333326</v>
      </c>
      <c r="FP53" s="4">
        <f>(Foglio1!$EP53+Foglio1!$EY53+Foglio1!$FC53+Foglio1!$FF53+Foglio1!$FM53)/5</f>
        <v>0.81666666666666665</v>
      </c>
      <c r="FQ53" s="6">
        <v>45623</v>
      </c>
      <c r="FR53" s="4" t="s">
        <v>356</v>
      </c>
      <c r="FS53" s="4" t="s">
        <v>356</v>
      </c>
      <c r="FT53" s="4" t="s">
        <v>356</v>
      </c>
      <c r="FU53" s="4" t="s">
        <v>356</v>
      </c>
      <c r="FV53" s="4" t="s">
        <v>356</v>
      </c>
      <c r="FW53" s="4" t="s">
        <v>356</v>
      </c>
      <c r="FX53" s="4" t="s">
        <v>356</v>
      </c>
      <c r="FY53" s="4">
        <v>2</v>
      </c>
      <c r="FZ53" s="4">
        <v>2</v>
      </c>
      <c r="GA53" s="4">
        <v>2</v>
      </c>
      <c r="GB53" s="4">
        <v>80</v>
      </c>
      <c r="GC53" s="4">
        <v>0</v>
      </c>
      <c r="GD53" s="4">
        <v>1</v>
      </c>
      <c r="GE53" s="4">
        <v>0</v>
      </c>
      <c r="GF53" s="4">
        <v>1</v>
      </c>
      <c r="GG53" s="4">
        <v>0</v>
      </c>
      <c r="GH53" s="4">
        <v>1</v>
      </c>
      <c r="GI53" s="4">
        <v>0</v>
      </c>
      <c r="GJ53" s="4">
        <v>0</v>
      </c>
      <c r="GK53" s="4">
        <v>0</v>
      </c>
      <c r="GL53" s="4">
        <v>0</v>
      </c>
      <c r="GM53" s="4">
        <v>0</v>
      </c>
      <c r="GN53" s="4">
        <v>2</v>
      </c>
      <c r="GO53" s="4">
        <v>1</v>
      </c>
      <c r="GP53" s="4">
        <v>0</v>
      </c>
      <c r="GQ53" s="4">
        <v>2</v>
      </c>
      <c r="GR53" s="4">
        <v>3</v>
      </c>
      <c r="GS53" s="4">
        <v>2</v>
      </c>
      <c r="GT53" s="4">
        <v>3</v>
      </c>
      <c r="GU53" s="4">
        <v>0</v>
      </c>
      <c r="GV53" s="4">
        <v>2</v>
      </c>
      <c r="GW53" s="4">
        <v>0</v>
      </c>
      <c r="GX53" s="4">
        <v>0</v>
      </c>
      <c r="GY53" s="4">
        <v>1</v>
      </c>
      <c r="GZ53" s="4">
        <v>0</v>
      </c>
      <c r="HA53" s="4">
        <v>2</v>
      </c>
      <c r="HB53" s="4">
        <v>3</v>
      </c>
      <c r="HC53" s="4">
        <v>3</v>
      </c>
      <c r="HD53" s="4">
        <v>3</v>
      </c>
      <c r="HE53" s="4">
        <v>3</v>
      </c>
      <c r="HF53" s="4">
        <v>0</v>
      </c>
      <c r="HG53" s="4">
        <f t="shared" si="69"/>
        <v>33</v>
      </c>
      <c r="HH53" s="4">
        <f t="shared" si="70"/>
        <v>5</v>
      </c>
      <c r="HI53" s="4">
        <f t="shared" si="71"/>
        <v>3</v>
      </c>
      <c r="HJ53" s="4">
        <f t="shared" si="72"/>
        <v>15</v>
      </c>
      <c r="HK53" s="4">
        <f t="shared" si="73"/>
        <v>7</v>
      </c>
      <c r="HL53" s="4">
        <f t="shared" si="74"/>
        <v>16</v>
      </c>
      <c r="HM53" s="4">
        <v>0</v>
      </c>
      <c r="HN53" s="4">
        <v>0</v>
      </c>
      <c r="HO53" s="4">
        <v>0</v>
      </c>
      <c r="HP53" s="4">
        <v>0</v>
      </c>
      <c r="HQ53" s="4">
        <v>0</v>
      </c>
      <c r="HR53" s="4">
        <v>0</v>
      </c>
      <c r="HS53" s="4">
        <v>0</v>
      </c>
      <c r="HT53" s="4">
        <v>0</v>
      </c>
      <c r="HU53" s="4">
        <v>0</v>
      </c>
      <c r="HV53" s="4">
        <v>0</v>
      </c>
      <c r="HW53" s="4">
        <v>0</v>
      </c>
      <c r="HX53" s="4">
        <v>0</v>
      </c>
      <c r="HY53" s="4">
        <v>0</v>
      </c>
      <c r="HZ53" s="4">
        <v>0</v>
      </c>
      <c r="IA53" s="4">
        <v>0</v>
      </c>
      <c r="IB53" s="4">
        <v>0</v>
      </c>
      <c r="IC53" s="4">
        <v>0</v>
      </c>
      <c r="ID53" s="4">
        <v>0</v>
      </c>
      <c r="IE53" s="4">
        <v>0</v>
      </c>
      <c r="IF53" s="4">
        <v>0</v>
      </c>
      <c r="IG53" s="4">
        <v>2</v>
      </c>
      <c r="IH53" s="4">
        <v>0</v>
      </c>
      <c r="II53" s="4">
        <v>1</v>
      </c>
      <c r="IJ53" s="4">
        <v>0</v>
      </c>
      <c r="IK53" s="4">
        <v>0</v>
      </c>
      <c r="IL53" s="4">
        <v>0</v>
      </c>
      <c r="IM53" s="4">
        <v>0</v>
      </c>
      <c r="IN53" s="4">
        <v>3</v>
      </c>
      <c r="IO53" s="4">
        <v>2</v>
      </c>
      <c r="IP53" s="4">
        <v>0</v>
      </c>
      <c r="IQ53" s="4">
        <f t="shared" si="75"/>
        <v>0</v>
      </c>
      <c r="IR53" s="4">
        <f t="shared" si="76"/>
        <v>4</v>
      </c>
      <c r="IS53" s="4">
        <f t="shared" si="77"/>
        <v>2</v>
      </c>
      <c r="IT53" s="4">
        <f t="shared" si="78"/>
        <v>2</v>
      </c>
      <c r="IU53" s="4" t="s">
        <v>383</v>
      </c>
      <c r="IV53" s="4" t="s">
        <v>383</v>
      </c>
      <c r="IW53" s="4" t="s">
        <v>383</v>
      </c>
      <c r="IX53" s="4" t="s">
        <v>383</v>
      </c>
      <c r="IY53" s="4"/>
      <c r="IZ53" s="4"/>
      <c r="JA53" s="4"/>
      <c r="JB53" s="4"/>
      <c r="JC53" s="4">
        <f>(Foglio1!$IY53+Foglio1!$IZ53+Foglio1!$JA53+Foglio1!$JB53)/4</f>
        <v>0</v>
      </c>
      <c r="JD53" s="4">
        <v>1</v>
      </c>
      <c r="JE53" s="4">
        <v>0</v>
      </c>
      <c r="JF53" s="4">
        <v>1</v>
      </c>
      <c r="JG53" s="4">
        <v>1</v>
      </c>
      <c r="JH53" s="4" t="s">
        <v>1588</v>
      </c>
      <c r="JI53" s="4">
        <v>1</v>
      </c>
      <c r="JJ53" s="4" t="s">
        <v>1589</v>
      </c>
      <c r="JK53" s="4">
        <v>1</v>
      </c>
      <c r="JL53" s="4">
        <f>(Foglio1!$JD53+Foglio1!$JE53+Foglio1!$JF53+Foglio1!$JG53+Foglio1!$JI53+Foglio1!$JK53)/6</f>
        <v>0.83333333333333337</v>
      </c>
      <c r="JM53" s="4">
        <v>1</v>
      </c>
      <c r="JN53" s="4">
        <v>1</v>
      </c>
      <c r="JO53" s="4">
        <v>1</v>
      </c>
      <c r="JP53" s="4">
        <f>(Foglio1!$JM53+Foglio1!$JN53+Foglio1!$JO53)/3</f>
        <v>1</v>
      </c>
      <c r="JQ53" s="4">
        <v>0</v>
      </c>
      <c r="JR53" s="4">
        <v>1</v>
      </c>
      <c r="JS53" s="4">
        <f>(Foglio1!$JQ53+Foglio1!$JR53)/2</f>
        <v>0.5</v>
      </c>
      <c r="JT53" s="4" t="s">
        <v>1590</v>
      </c>
      <c r="JU53" s="4">
        <v>1</v>
      </c>
      <c r="JV53" s="4" t="s">
        <v>1591</v>
      </c>
      <c r="JW53" s="4">
        <v>1</v>
      </c>
      <c r="JX53" s="4" t="s">
        <v>1592</v>
      </c>
      <c r="JY53" s="4">
        <v>1</v>
      </c>
      <c r="JZ53" s="4">
        <f>(Foglio1!$JU53+Foglio1!$JW53+Foglio1!$JY53)/3</f>
        <v>1</v>
      </c>
      <c r="KA53" s="4">
        <f>(Foglio1!$JC53)</f>
        <v>0</v>
      </c>
      <c r="KB53" s="4">
        <f>(Foglio1!$JL53+Foglio1!$JP53+Foglio1!$JS53+Foglio1!$JZ53)/4</f>
        <v>0.83333333333333337</v>
      </c>
      <c r="KC53" s="4">
        <f>(Foglio1!$JC53+Foglio1!$JL53+Foglio1!$JP53+Foglio1!$JS53+Foglio1!$JZ53)/5</f>
        <v>0.66666666666666674</v>
      </c>
      <c r="KD53" s="4" t="s">
        <v>1593</v>
      </c>
      <c r="KE53" s="4">
        <v>2</v>
      </c>
      <c r="KF53" s="4">
        <v>3</v>
      </c>
      <c r="KG53" s="4" t="s">
        <v>1594</v>
      </c>
      <c r="KH53" s="4">
        <v>0</v>
      </c>
      <c r="KI53" s="4">
        <v>3</v>
      </c>
      <c r="KJ53" s="4" t="s">
        <v>1595</v>
      </c>
      <c r="KK53" s="4">
        <v>2</v>
      </c>
      <c r="KL53" s="4">
        <v>3</v>
      </c>
      <c r="KM53" s="4" t="s">
        <v>1596</v>
      </c>
      <c r="KN53" s="4">
        <v>0</v>
      </c>
      <c r="KO53" s="4">
        <v>1</v>
      </c>
      <c r="KP53" s="4" t="s">
        <v>1597</v>
      </c>
      <c r="KQ53" s="4">
        <v>2</v>
      </c>
      <c r="KR53" s="4">
        <v>2</v>
      </c>
      <c r="KS53" s="4" t="s">
        <v>1598</v>
      </c>
      <c r="KT53" s="4">
        <v>2</v>
      </c>
      <c r="KU53" s="4">
        <v>2</v>
      </c>
      <c r="KV53" s="4" t="s">
        <v>1599</v>
      </c>
      <c r="KW53" s="4">
        <v>2</v>
      </c>
      <c r="KX53" s="4">
        <v>1</v>
      </c>
      <c r="KY53" s="4" t="s">
        <v>1600</v>
      </c>
      <c r="KZ53" s="4">
        <v>1</v>
      </c>
      <c r="LA53" s="4">
        <v>3</v>
      </c>
      <c r="LB53" s="4" t="s">
        <v>1601</v>
      </c>
      <c r="LC53" s="4">
        <v>2</v>
      </c>
      <c r="LD53" s="4">
        <v>1</v>
      </c>
      <c r="LE53" s="4" t="s">
        <v>1602</v>
      </c>
      <c r="LF53" s="4">
        <v>1</v>
      </c>
      <c r="LG53" s="4">
        <v>2</v>
      </c>
      <c r="LH53" s="4" t="s">
        <v>1603</v>
      </c>
      <c r="LI53" s="4">
        <v>2</v>
      </c>
      <c r="LJ53" s="4">
        <v>1</v>
      </c>
      <c r="LK53" s="4" t="s">
        <v>1604</v>
      </c>
      <c r="LL53" s="4">
        <v>0</v>
      </c>
      <c r="LM53" s="4">
        <v>1</v>
      </c>
      <c r="LN53" s="4" t="s">
        <v>1605</v>
      </c>
      <c r="LO53" s="4">
        <v>2</v>
      </c>
      <c r="LP53" s="4">
        <v>1</v>
      </c>
      <c r="LQ53" s="4" t="s">
        <v>1606</v>
      </c>
      <c r="LR53" s="4">
        <v>0</v>
      </c>
      <c r="LS53" s="4">
        <v>2</v>
      </c>
      <c r="LT53" s="4">
        <f>(Foglio1!$KE53+Foglio1!$KH53+Foglio1!$KK53+Foglio1!$KN53+Foglio1!$KQ53+Foglio1!$KT53+Foglio1!$KW53+Foglio1!$KZ53+Foglio1!$LC53+Foglio1!$LF53+Foglio1!$LI53+Foglio1!$LL53+Foglio1!$LO53+Foglio1!$LR53)</f>
        <v>18</v>
      </c>
      <c r="LU53" s="4">
        <f>(Foglio1!$KI53+Foglio1!$KF53+Foglio1!$KL53+Foglio1!$KO53+Foglio1!$KR53+Foglio1!$KU53+Foglio1!$KX53+Foglio1!$LA53+Foglio1!$LD53+Foglio1!$LG53+Foglio1!$LJ53+Foglio1!$LM53+Foglio1!$LP53+Foglio1!$LS53)</f>
        <v>26</v>
      </c>
      <c r="LV53" s="4">
        <v>30</v>
      </c>
      <c r="LW53" s="4">
        <v>47</v>
      </c>
      <c r="LX53" s="4">
        <v>21</v>
      </c>
      <c r="LY53" s="4">
        <v>28</v>
      </c>
      <c r="LZ53" s="3">
        <v>0</v>
      </c>
      <c r="MA53" s="3">
        <v>4</v>
      </c>
      <c r="MB53" s="3">
        <v>8</v>
      </c>
      <c r="MC53" s="3">
        <v>6</v>
      </c>
      <c r="MD53" s="3">
        <f t="shared" si="7"/>
        <v>18</v>
      </c>
      <c r="ME53" s="3">
        <v>0</v>
      </c>
      <c r="MF53" s="3">
        <v>0</v>
      </c>
      <c r="MG53" s="3">
        <v>0</v>
      </c>
      <c r="MH53" s="3">
        <v>0</v>
      </c>
      <c r="MI53" s="3">
        <f t="shared" si="8"/>
        <v>0</v>
      </c>
    </row>
    <row r="54" spans="1:347" ht="15.75" customHeight="1" x14ac:dyDescent="0.25">
      <c r="A54" s="4" t="s">
        <v>1607</v>
      </c>
      <c r="B54" s="4">
        <v>34</v>
      </c>
      <c r="C54" s="4" t="s">
        <v>349</v>
      </c>
      <c r="D54" s="4">
        <v>13</v>
      </c>
      <c r="E54" s="4">
        <v>0</v>
      </c>
      <c r="F54" s="4" t="s">
        <v>360</v>
      </c>
      <c r="G54" s="4" t="s">
        <v>356</v>
      </c>
      <c r="H54" s="4" t="s">
        <v>1608</v>
      </c>
      <c r="I54" s="4" t="s">
        <v>1541</v>
      </c>
      <c r="J54" s="4" t="s">
        <v>1609</v>
      </c>
      <c r="K54" s="4"/>
      <c r="L54" s="4" t="s">
        <v>1609</v>
      </c>
      <c r="M54" s="4" t="s">
        <v>449</v>
      </c>
      <c r="N54" s="4" t="s">
        <v>1610</v>
      </c>
      <c r="O54" s="9">
        <v>45834</v>
      </c>
      <c r="P54" s="9">
        <v>45844</v>
      </c>
      <c r="Q54" s="4" t="s">
        <v>359</v>
      </c>
      <c r="R54" s="4"/>
      <c r="S54" s="4"/>
      <c r="T54" s="4" t="s">
        <v>360</v>
      </c>
      <c r="U54" s="4"/>
      <c r="V54" s="4" t="s">
        <v>456</v>
      </c>
      <c r="W54" s="4" t="s">
        <v>976</v>
      </c>
      <c r="X54" s="4" t="s">
        <v>1611</v>
      </c>
      <c r="Y54" s="4"/>
      <c r="Z54" s="4"/>
      <c r="AA54" s="4"/>
      <c r="AB54" s="4"/>
      <c r="AC54" s="4"/>
      <c r="AD54" s="4"/>
      <c r="AE54" s="4"/>
      <c r="AF54" s="4"/>
      <c r="AG54" s="4"/>
      <c r="AH54" s="4" t="s">
        <v>456</v>
      </c>
      <c r="AI54" s="4" t="s">
        <v>1245</v>
      </c>
      <c r="AJ54" s="4" t="s">
        <v>1611</v>
      </c>
      <c r="AK54" s="4" t="s">
        <v>1612</v>
      </c>
      <c r="AL54" s="5" t="s">
        <v>356</v>
      </c>
      <c r="AM54" s="5" t="s">
        <v>356</v>
      </c>
      <c r="AN54" s="5" t="s">
        <v>356</v>
      </c>
      <c r="AO54" s="5" t="s">
        <v>356</v>
      </c>
      <c r="AP54" s="5" t="s">
        <v>356</v>
      </c>
      <c r="AQ54" s="5" t="s">
        <v>356</v>
      </c>
      <c r="AR54" s="5" t="s">
        <v>356</v>
      </c>
      <c r="AS54" s="5" t="s">
        <v>356</v>
      </c>
      <c r="AT54" s="5" t="s">
        <v>356</v>
      </c>
      <c r="AU54" s="5" t="s">
        <v>356</v>
      </c>
      <c r="AV54" s="5" t="s">
        <v>356</v>
      </c>
      <c r="AW54" s="5" t="s">
        <v>356</v>
      </c>
      <c r="AX54" s="4">
        <v>2</v>
      </c>
      <c r="AY54" s="4"/>
      <c r="AZ54" s="5" t="s">
        <v>383</v>
      </c>
      <c r="BA54" s="4">
        <f t="shared" si="68"/>
        <v>10</v>
      </c>
      <c r="BB54" s="4"/>
      <c r="BC54" s="4" t="s">
        <v>360</v>
      </c>
      <c r="BD54" s="4"/>
      <c r="BE54" s="4"/>
      <c r="BF54" s="4"/>
      <c r="BG54" s="6">
        <v>45842</v>
      </c>
      <c r="BH54" s="4" t="s">
        <v>356</v>
      </c>
      <c r="BI54" s="4" t="s">
        <v>356</v>
      </c>
      <c r="BJ54" s="4" t="s">
        <v>356</v>
      </c>
      <c r="BK54" s="4" t="s">
        <v>356</v>
      </c>
      <c r="BL54" s="4" t="s">
        <v>356</v>
      </c>
      <c r="BM54" s="4" t="s">
        <v>356</v>
      </c>
      <c r="BN54" s="4" t="s">
        <v>356</v>
      </c>
      <c r="BO54" s="4" t="s">
        <v>356</v>
      </c>
      <c r="BP54" s="4">
        <v>3</v>
      </c>
      <c r="BQ54" s="4">
        <v>5</v>
      </c>
      <c r="BR54" s="4">
        <v>9</v>
      </c>
      <c r="BS54" s="4">
        <v>80</v>
      </c>
      <c r="BT54" s="4">
        <v>1</v>
      </c>
      <c r="BU54" s="4">
        <v>1</v>
      </c>
      <c r="BV54" s="4">
        <v>1</v>
      </c>
      <c r="BW54" s="4">
        <v>2</v>
      </c>
      <c r="BX54" s="4">
        <v>1</v>
      </c>
      <c r="BY54" s="4">
        <v>1</v>
      </c>
      <c r="BZ54" s="4">
        <v>1</v>
      </c>
      <c r="CA54" s="4">
        <v>1</v>
      </c>
      <c r="CB54" s="4">
        <v>1</v>
      </c>
      <c r="CC54" s="4">
        <v>2</v>
      </c>
      <c r="CD54" s="4">
        <v>1</v>
      </c>
      <c r="CE54" s="4">
        <v>1</v>
      </c>
      <c r="CF54" s="4">
        <v>1</v>
      </c>
      <c r="CG54" s="4">
        <v>1</v>
      </c>
      <c r="CH54" s="4">
        <v>1</v>
      </c>
      <c r="CI54" s="4">
        <v>2</v>
      </c>
      <c r="CJ54" s="4">
        <v>4</v>
      </c>
      <c r="CK54" s="4">
        <v>2</v>
      </c>
      <c r="CL54" s="4">
        <v>1</v>
      </c>
      <c r="CM54" s="4">
        <v>4</v>
      </c>
      <c r="CN54" s="4">
        <v>1</v>
      </c>
      <c r="CO54" s="4">
        <v>1</v>
      </c>
      <c r="CP54" s="4">
        <v>1</v>
      </c>
      <c r="CQ54" s="4">
        <v>1</v>
      </c>
      <c r="CR54" s="4">
        <v>1</v>
      </c>
      <c r="CS54" s="4">
        <v>2</v>
      </c>
      <c r="CT54" s="4">
        <v>3</v>
      </c>
      <c r="CU54" s="4">
        <v>4</v>
      </c>
      <c r="CV54" s="4">
        <v>4</v>
      </c>
      <c r="CW54" s="4">
        <v>1</v>
      </c>
      <c r="CX54" s="4">
        <f>SUM(Foglio1!$BT54:$CW54)</f>
        <v>49</v>
      </c>
      <c r="CY54" s="4">
        <f>SUM(Foglio1!$BT54+Foglio1!$BV54+Foglio1!$CP54+Foglio1!$BY54+Foglio1!$BX54+Foglio1!$CH54+Foglio1!$CS54+Foglio1!$CW54-Foglio1!$CE54)</f>
        <v>8</v>
      </c>
      <c r="CZ54" s="4">
        <f>SUM(Foglio1!$CF54+Foglio1!$CA54+Foglio1!$CB54+Foglio1!$CD54+Foglio1!$CN54+Foglio1!$CC54+Foglio1!$CW54+Foglio1!$CO54+Foglio1!$CT54-Foglio1!$BU54)</f>
        <v>11</v>
      </c>
      <c r="DA54" s="4">
        <f>SUM(Foglio1!$CG54+Foglio1!$CR54+Foglio1!$CQ54+Foglio1!$BU54+Foglio1!$CE54+Foglio1!$CL54+Foglio1!$CS54+Foglio1!$CT54+Foglio1!$CV54+Foglio1!$CP54)</f>
        <v>16</v>
      </c>
      <c r="DB54" s="4">
        <f>SUM(Foglio1!$CU54+Foglio1!$BW54+Foglio1!$BZ54+Foglio1!$CO54+Foglio1!$BX54+Foglio1!$CC54+Foglio1!$CK54+Foglio1!$CW54)</f>
        <v>14</v>
      </c>
      <c r="DC54" s="4">
        <f>SUM(Foglio1!$CI54+Foglio1!$CM54+Foglio1!$CJ54+Foglio1!$CK54+Foglio1!$BY54+Foglio1!$CH54+Foglio1!$CV54+Foglio1!$CW54)</f>
        <v>19</v>
      </c>
      <c r="DD54" s="4">
        <v>2</v>
      </c>
      <c r="DE54" s="4">
        <v>0</v>
      </c>
      <c r="DF54" s="4">
        <v>0</v>
      </c>
      <c r="DG54" s="4">
        <v>0</v>
      </c>
      <c r="DH54" s="4">
        <v>0</v>
      </c>
      <c r="DI54" s="4">
        <v>0</v>
      </c>
      <c r="DJ54" s="4">
        <v>0</v>
      </c>
      <c r="DK54" s="4">
        <v>0</v>
      </c>
      <c r="DL54" s="4">
        <v>0</v>
      </c>
      <c r="DM54" s="4">
        <v>0</v>
      </c>
      <c r="DN54" s="4">
        <v>0</v>
      </c>
      <c r="DO54" s="4">
        <v>0</v>
      </c>
      <c r="DP54" s="4">
        <v>0</v>
      </c>
      <c r="DQ54" s="4">
        <v>0</v>
      </c>
      <c r="DR54" s="4">
        <v>0</v>
      </c>
      <c r="DS54" s="4">
        <v>0</v>
      </c>
      <c r="DT54" s="4">
        <v>0</v>
      </c>
      <c r="DU54" s="4">
        <v>0</v>
      </c>
      <c r="DV54" s="4">
        <v>0</v>
      </c>
      <c r="DW54" s="4">
        <v>0</v>
      </c>
      <c r="DX54" s="4">
        <v>0</v>
      </c>
      <c r="DY54" s="4">
        <v>0</v>
      </c>
      <c r="DZ54" s="4">
        <v>1</v>
      </c>
      <c r="EA54" s="4">
        <v>0</v>
      </c>
      <c r="EB54" s="4">
        <v>0</v>
      </c>
      <c r="EC54" s="4">
        <v>0</v>
      </c>
      <c r="ED54" s="4">
        <v>0</v>
      </c>
      <c r="EE54" s="4">
        <v>0</v>
      </c>
      <c r="EF54" s="4">
        <v>0</v>
      </c>
      <c r="EG54" s="4">
        <v>0</v>
      </c>
      <c r="EH54" s="4">
        <f>(Foglio1!$DE54+Foglio1!$DH54+Foglio1!$DG54+Foglio1!$DF54+Foglio1!$DM54+Foglio1!$DD54+Foglio1!$DO54+Foglio1!$DL54+Foglio1!$DN54+Foglio1!$DQ54+Foglio1!$DP54+Foglio1!$DT54+Foglio1!$DI54+Foglio1!$DK54+Foglio1!$DU54)</f>
        <v>2</v>
      </c>
      <c r="EI54" s="4">
        <f>(Foglio1!$EA54+Foglio1!$EB54+Foglio1!$EE54+Foglio1!$EC54+Foglio1!$ED54+Foglio1!$DZ54+Foglio1!$DY54)</f>
        <v>1</v>
      </c>
      <c r="EJ54" s="4">
        <f>(Foglio1!$DW54+Foglio1!$DV54+Foglio1!$DX54)</f>
        <v>0</v>
      </c>
      <c r="EK54" s="4">
        <f>(Foglio1!$EG54+Foglio1!$EF54)</f>
        <v>0</v>
      </c>
      <c r="EL54" s="4">
        <v>1</v>
      </c>
      <c r="EM54" s="4">
        <v>1</v>
      </c>
      <c r="EN54" s="4">
        <v>1</v>
      </c>
      <c r="EO54" s="4">
        <v>1</v>
      </c>
      <c r="EP54" s="4">
        <f t="array" ref="EP54">SUM(EL54:EO54/4)</f>
        <v>1</v>
      </c>
      <c r="EQ54" s="4">
        <v>1</v>
      </c>
      <c r="ER54" s="4">
        <v>0</v>
      </c>
      <c r="ES54" s="4">
        <v>1</v>
      </c>
      <c r="ET54" s="4">
        <v>1</v>
      </c>
      <c r="EU54" s="4" t="s">
        <v>383</v>
      </c>
      <c r="EV54" s="4">
        <v>0</v>
      </c>
      <c r="EW54" s="4" t="s">
        <v>383</v>
      </c>
      <c r="EX54" s="4">
        <v>1</v>
      </c>
      <c r="EY54" s="4">
        <f>(Foglio1!$EQ54+Foglio1!$ER54+Foglio1!$ES54+Foglio1!$ET54+Foglio1!$EV54+Foglio1!$EX54)/6</f>
        <v>0.66666666666666663</v>
      </c>
      <c r="EZ54" s="4">
        <v>1</v>
      </c>
      <c r="FA54" s="4">
        <v>1</v>
      </c>
      <c r="FB54" s="4">
        <v>1</v>
      </c>
      <c r="FC54" s="4">
        <f>(Foglio1!$EZ54+Foglio1!$FA54+Foglio1!$FB54)/3</f>
        <v>1</v>
      </c>
      <c r="FD54" s="4">
        <v>1</v>
      </c>
      <c r="FE54" s="4">
        <v>1</v>
      </c>
      <c r="FF54" s="4">
        <f>(Foglio1!$FD54+Foglio1!$FE54)/2</f>
        <v>1</v>
      </c>
      <c r="FG54" s="4" t="s">
        <v>383</v>
      </c>
      <c r="FH54" s="4">
        <v>1</v>
      </c>
      <c r="FI54" s="4" t="s">
        <v>383</v>
      </c>
      <c r="FJ54" s="4">
        <v>1</v>
      </c>
      <c r="FK54" s="4" t="s">
        <v>383</v>
      </c>
      <c r="FL54" s="4">
        <v>1</v>
      </c>
      <c r="FM54" s="4">
        <f>(Foglio1!$FH54+Foglio1!$FJ54+Foglio1!$FL54)/3</f>
        <v>1</v>
      </c>
      <c r="FN54" s="4">
        <f>(Foglio1!$EP54)</f>
        <v>1</v>
      </c>
      <c r="FO54" s="4">
        <f>(Foglio1!$EY54+Foglio1!$FC54+Foglio1!$FF54+Foglio1!$FM54)/4</f>
        <v>0.91666666666666663</v>
      </c>
      <c r="FP54" s="4">
        <f>(Foglio1!$EP54+Foglio1!$EY54+Foglio1!$FC54+Foglio1!$FF54+Foglio1!$FM54)/5</f>
        <v>0.93333333333333324</v>
      </c>
      <c r="FQ54" s="4"/>
      <c r="FR54" s="4" t="s">
        <v>356</v>
      </c>
      <c r="FS54" s="4" t="s">
        <v>356</v>
      </c>
      <c r="FT54" s="4" t="s">
        <v>356</v>
      </c>
      <c r="FU54" s="4" t="s">
        <v>356</v>
      </c>
      <c r="FV54" s="4" t="s">
        <v>356</v>
      </c>
      <c r="FW54" s="4" t="s">
        <v>356</v>
      </c>
      <c r="FX54" s="4" t="s">
        <v>356</v>
      </c>
      <c r="FY54" s="4">
        <v>2</v>
      </c>
      <c r="FZ54" s="4">
        <v>1</v>
      </c>
      <c r="GA54" s="4">
        <v>1</v>
      </c>
      <c r="GB54" s="4">
        <v>90</v>
      </c>
      <c r="GC54" s="4">
        <v>1</v>
      </c>
      <c r="GD54" s="4">
        <v>1</v>
      </c>
      <c r="GE54" s="4">
        <v>1</v>
      </c>
      <c r="GF54" s="4">
        <v>1</v>
      </c>
      <c r="GG54" s="4">
        <v>1</v>
      </c>
      <c r="GH54" s="4">
        <v>1</v>
      </c>
      <c r="GI54" s="4">
        <v>1</v>
      </c>
      <c r="GJ54" s="4">
        <v>1</v>
      </c>
      <c r="GK54" s="4">
        <v>1</v>
      </c>
      <c r="GL54" s="4">
        <v>1</v>
      </c>
      <c r="GM54" s="4">
        <v>1</v>
      </c>
      <c r="GN54" s="4">
        <v>1</v>
      </c>
      <c r="GO54" s="4">
        <v>1</v>
      </c>
      <c r="GP54" s="4">
        <v>1</v>
      </c>
      <c r="GQ54" s="4">
        <v>1</v>
      </c>
      <c r="GR54" s="4">
        <v>1</v>
      </c>
      <c r="GS54" s="4">
        <v>2</v>
      </c>
      <c r="GT54" s="4">
        <v>1</v>
      </c>
      <c r="GU54" s="4">
        <v>1</v>
      </c>
      <c r="GV54" s="4">
        <v>2</v>
      </c>
      <c r="GW54" s="4">
        <v>1</v>
      </c>
      <c r="GX54" s="4">
        <v>1</v>
      </c>
      <c r="GY54" s="4">
        <v>1</v>
      </c>
      <c r="GZ54" s="4">
        <v>1</v>
      </c>
      <c r="HA54" s="4">
        <v>1</v>
      </c>
      <c r="HB54" s="4">
        <v>1</v>
      </c>
      <c r="HC54" s="4">
        <v>1</v>
      </c>
      <c r="HD54" s="4">
        <v>1</v>
      </c>
      <c r="HE54" s="4">
        <v>2</v>
      </c>
      <c r="HF54" s="4">
        <v>1</v>
      </c>
      <c r="HG54" s="4">
        <f t="shared" si="69"/>
        <v>33</v>
      </c>
      <c r="HH54" s="4">
        <f t="shared" si="70"/>
        <v>7</v>
      </c>
      <c r="HI54" s="4">
        <f t="shared" si="71"/>
        <v>8</v>
      </c>
      <c r="HJ54" s="4">
        <f t="shared" si="72"/>
        <v>11</v>
      </c>
      <c r="HK54" s="4">
        <f t="shared" si="73"/>
        <v>8</v>
      </c>
      <c r="HL54" s="4">
        <f t="shared" si="74"/>
        <v>11</v>
      </c>
      <c r="HM54" s="4" t="s">
        <v>355</v>
      </c>
      <c r="HN54" s="4" t="s">
        <v>355</v>
      </c>
      <c r="HO54" s="4" t="s">
        <v>355</v>
      </c>
      <c r="HP54" s="4" t="s">
        <v>355</v>
      </c>
      <c r="HQ54" s="4" t="s">
        <v>355</v>
      </c>
      <c r="HR54" s="4" t="s">
        <v>355</v>
      </c>
      <c r="HS54" s="4" t="s">
        <v>355</v>
      </c>
      <c r="HT54" s="4" t="s">
        <v>355</v>
      </c>
      <c r="HU54" s="4" t="s">
        <v>355</v>
      </c>
      <c r="HV54" s="4" t="s">
        <v>355</v>
      </c>
      <c r="HW54" s="4" t="s">
        <v>355</v>
      </c>
      <c r="HX54" s="4" t="s">
        <v>355</v>
      </c>
      <c r="HY54" s="4" t="s">
        <v>355</v>
      </c>
      <c r="HZ54" s="4" t="s">
        <v>355</v>
      </c>
      <c r="IA54" s="4" t="s">
        <v>355</v>
      </c>
      <c r="IB54" s="4" t="s">
        <v>355</v>
      </c>
      <c r="IC54" s="4" t="s">
        <v>355</v>
      </c>
      <c r="ID54" s="4" t="s">
        <v>355</v>
      </c>
      <c r="IE54" s="4" t="s">
        <v>355</v>
      </c>
      <c r="IF54" s="4" t="s">
        <v>355</v>
      </c>
      <c r="IG54" s="4" t="s">
        <v>355</v>
      </c>
      <c r="IH54" s="4" t="s">
        <v>355</v>
      </c>
      <c r="II54" s="4" t="s">
        <v>355</v>
      </c>
      <c r="IJ54" s="4" t="s">
        <v>355</v>
      </c>
      <c r="IK54" s="4" t="s">
        <v>355</v>
      </c>
      <c r="IL54" s="4" t="s">
        <v>355</v>
      </c>
      <c r="IM54" s="4" t="s">
        <v>355</v>
      </c>
      <c r="IN54" s="4" t="s">
        <v>355</v>
      </c>
      <c r="IO54" s="4" t="s">
        <v>355</v>
      </c>
      <c r="IP54" s="4" t="s">
        <v>355</v>
      </c>
      <c r="IQ54" s="4" t="s">
        <v>356</v>
      </c>
      <c r="IR54" s="4" t="s">
        <v>356</v>
      </c>
      <c r="IS54" s="4" t="s">
        <v>356</v>
      </c>
      <c r="IT54" s="4" t="s">
        <v>356</v>
      </c>
      <c r="IU54" s="4" t="s">
        <v>356</v>
      </c>
      <c r="IV54" s="4" t="s">
        <v>356</v>
      </c>
      <c r="IW54" s="4" t="s">
        <v>356</v>
      </c>
      <c r="IX54" s="4" t="s">
        <v>356</v>
      </c>
      <c r="IY54" s="4" t="s">
        <v>356</v>
      </c>
      <c r="IZ54" s="4" t="s">
        <v>356</v>
      </c>
      <c r="JA54" s="4" t="s">
        <v>356</v>
      </c>
      <c r="JB54" s="4" t="s">
        <v>356</v>
      </c>
      <c r="JC54" s="4" t="s">
        <v>356</v>
      </c>
      <c r="JD54" s="4" t="s">
        <v>356</v>
      </c>
      <c r="JE54" s="4" t="s">
        <v>356</v>
      </c>
      <c r="JF54" s="4" t="s">
        <v>356</v>
      </c>
      <c r="JG54" s="4" t="s">
        <v>356</v>
      </c>
      <c r="JH54" s="4" t="s">
        <v>356</v>
      </c>
      <c r="JI54" s="4" t="s">
        <v>356</v>
      </c>
      <c r="JJ54" s="4" t="s">
        <v>356</v>
      </c>
      <c r="JK54" s="4" t="s">
        <v>356</v>
      </c>
      <c r="JL54" s="4" t="s">
        <v>356</v>
      </c>
      <c r="JM54" s="4" t="s">
        <v>356</v>
      </c>
      <c r="JN54" s="4" t="s">
        <v>356</v>
      </c>
      <c r="JO54" s="4" t="s">
        <v>356</v>
      </c>
      <c r="JP54" s="4" t="s">
        <v>356</v>
      </c>
      <c r="JQ54" s="4" t="s">
        <v>356</v>
      </c>
      <c r="JR54" s="4" t="s">
        <v>356</v>
      </c>
      <c r="JS54" s="4" t="s">
        <v>356</v>
      </c>
      <c r="JT54" s="4" t="s">
        <v>356</v>
      </c>
      <c r="JU54" s="4" t="s">
        <v>356</v>
      </c>
      <c r="JV54" s="4" t="s">
        <v>356</v>
      </c>
      <c r="JW54" s="4" t="s">
        <v>356</v>
      </c>
      <c r="JX54" s="4" t="s">
        <v>356</v>
      </c>
      <c r="JY54" s="4" t="s">
        <v>356</v>
      </c>
      <c r="JZ54" s="4" t="s">
        <v>356</v>
      </c>
      <c r="KA54" s="4" t="s">
        <v>356</v>
      </c>
      <c r="KB54" s="4" t="s">
        <v>356</v>
      </c>
      <c r="KC54" s="4" t="s">
        <v>356</v>
      </c>
      <c r="KD54" s="4" t="s">
        <v>356</v>
      </c>
      <c r="KE54" s="4" t="s">
        <v>356</v>
      </c>
      <c r="KF54" s="4" t="s">
        <v>356</v>
      </c>
      <c r="KG54" s="4" t="s">
        <v>356</v>
      </c>
      <c r="KH54" s="4" t="s">
        <v>356</v>
      </c>
      <c r="KI54" s="4" t="s">
        <v>356</v>
      </c>
      <c r="KJ54" s="4" t="s">
        <v>356</v>
      </c>
      <c r="KK54" s="4" t="s">
        <v>356</v>
      </c>
      <c r="KL54" s="4" t="s">
        <v>356</v>
      </c>
      <c r="KM54" s="4" t="s">
        <v>356</v>
      </c>
      <c r="KN54" s="4" t="s">
        <v>356</v>
      </c>
      <c r="KO54" s="4" t="s">
        <v>356</v>
      </c>
      <c r="KP54" s="4" t="s">
        <v>356</v>
      </c>
      <c r="KQ54" s="4" t="s">
        <v>356</v>
      </c>
      <c r="KR54" s="4" t="s">
        <v>356</v>
      </c>
      <c r="KS54" s="4" t="s">
        <v>356</v>
      </c>
      <c r="KT54" s="4" t="s">
        <v>356</v>
      </c>
      <c r="KU54" s="4" t="s">
        <v>356</v>
      </c>
      <c r="KV54" s="4" t="s">
        <v>356</v>
      </c>
      <c r="KW54" s="4" t="s">
        <v>356</v>
      </c>
      <c r="KX54" s="4" t="s">
        <v>356</v>
      </c>
      <c r="KY54" s="4" t="s">
        <v>356</v>
      </c>
      <c r="KZ54" s="4" t="s">
        <v>356</v>
      </c>
      <c r="LA54" s="4" t="s">
        <v>356</v>
      </c>
      <c r="LB54" s="4" t="s">
        <v>356</v>
      </c>
      <c r="LC54" s="4" t="s">
        <v>356</v>
      </c>
      <c r="LD54" s="4" t="s">
        <v>356</v>
      </c>
      <c r="LE54" s="4" t="s">
        <v>356</v>
      </c>
      <c r="LF54" s="4" t="s">
        <v>356</v>
      </c>
      <c r="LG54" s="4" t="s">
        <v>356</v>
      </c>
      <c r="LH54" s="4" t="s">
        <v>356</v>
      </c>
      <c r="LI54" s="4" t="s">
        <v>356</v>
      </c>
      <c r="LJ54" s="4" t="s">
        <v>356</v>
      </c>
      <c r="LK54" s="4" t="s">
        <v>356</v>
      </c>
      <c r="LL54" s="4" t="s">
        <v>356</v>
      </c>
      <c r="LM54" s="4" t="s">
        <v>356</v>
      </c>
      <c r="LN54" s="4" t="s">
        <v>356</v>
      </c>
      <c r="LO54" s="4" t="s">
        <v>356</v>
      </c>
      <c r="LP54" s="4" t="s">
        <v>356</v>
      </c>
      <c r="LQ54" s="4" t="s">
        <v>356</v>
      </c>
      <c r="LR54" s="4" t="s">
        <v>356</v>
      </c>
      <c r="LS54" s="4" t="s">
        <v>356</v>
      </c>
      <c r="LT54" s="4" t="s">
        <v>356</v>
      </c>
      <c r="LU54" s="4" t="s">
        <v>356</v>
      </c>
      <c r="LV54" s="4" t="s">
        <v>356</v>
      </c>
      <c r="LW54" s="4" t="s">
        <v>356</v>
      </c>
      <c r="LX54" s="4" t="s">
        <v>356</v>
      </c>
      <c r="LY54" s="4" t="s">
        <v>356</v>
      </c>
      <c r="LZ54" s="3">
        <v>0</v>
      </c>
      <c r="MA54" s="3">
        <v>5</v>
      </c>
      <c r="MB54" s="3">
        <v>1</v>
      </c>
      <c r="MC54" s="3">
        <v>1</v>
      </c>
      <c r="MD54" s="3">
        <f t="shared" si="7"/>
        <v>7</v>
      </c>
      <c r="ME54" s="3">
        <v>0</v>
      </c>
      <c r="MF54" s="3">
        <v>6</v>
      </c>
      <c r="MG54" s="3">
        <v>3</v>
      </c>
      <c r="MH54" s="3">
        <v>0</v>
      </c>
      <c r="MI54" s="3">
        <f t="shared" si="8"/>
        <v>9</v>
      </c>
    </row>
    <row r="55" spans="1:347" ht="15.75" customHeight="1" x14ac:dyDescent="0.25">
      <c r="A55" s="3" t="s">
        <v>1613</v>
      </c>
      <c r="B55" s="3">
        <v>52</v>
      </c>
      <c r="C55" s="3" t="s">
        <v>403</v>
      </c>
      <c r="D55" s="3">
        <v>8</v>
      </c>
      <c r="E55" s="3">
        <v>1</v>
      </c>
      <c r="F55" s="3" t="s">
        <v>360</v>
      </c>
      <c r="G55" s="3" t="s">
        <v>351</v>
      </c>
      <c r="H55" s="3" t="s">
        <v>1521</v>
      </c>
      <c r="I55" s="3" t="s">
        <v>1521</v>
      </c>
      <c r="J55" s="4"/>
      <c r="K55" s="4"/>
      <c r="L55" s="5" t="s">
        <v>356</v>
      </c>
      <c r="M55" s="4" t="s">
        <v>357</v>
      </c>
      <c r="N55" s="3" t="s">
        <v>406</v>
      </c>
      <c r="O55" s="17">
        <v>45649</v>
      </c>
      <c r="P55" s="16">
        <v>45667</v>
      </c>
      <c r="Q55" s="3" t="s">
        <v>1522</v>
      </c>
      <c r="R55" s="4"/>
      <c r="S55" s="4"/>
      <c r="T55" s="3" t="s">
        <v>360</v>
      </c>
      <c r="U55" s="4"/>
      <c r="V55" s="3" t="s">
        <v>654</v>
      </c>
      <c r="W55" s="3" t="s">
        <v>361</v>
      </c>
      <c r="X55" s="3" t="s">
        <v>1614</v>
      </c>
      <c r="Y55" s="3" t="s">
        <v>688</v>
      </c>
      <c r="Z55" s="3" t="s">
        <v>413</v>
      </c>
      <c r="AA55" s="3" t="s">
        <v>1246</v>
      </c>
      <c r="AB55" s="3" t="s">
        <v>364</v>
      </c>
      <c r="AC55" s="3" t="s">
        <v>976</v>
      </c>
      <c r="AD55" s="3"/>
      <c r="AE55" s="3"/>
      <c r="AF55" s="3"/>
      <c r="AG55" s="3"/>
      <c r="AH55" s="3" t="s">
        <v>654</v>
      </c>
      <c r="AI55" s="3" t="s">
        <v>1523</v>
      </c>
      <c r="AJ55" s="3" t="s">
        <v>980</v>
      </c>
      <c r="AK55" s="3" t="s">
        <v>981</v>
      </c>
      <c r="AL55" s="3" t="s">
        <v>976</v>
      </c>
      <c r="AM55" s="3" t="s">
        <v>1615</v>
      </c>
      <c r="AN55" s="5" t="s">
        <v>356</v>
      </c>
      <c r="AO55" s="5" t="s">
        <v>356</v>
      </c>
      <c r="AP55" s="5" t="s">
        <v>356</v>
      </c>
      <c r="AQ55" s="5" t="s">
        <v>356</v>
      </c>
      <c r="AR55" s="5" t="s">
        <v>356</v>
      </c>
      <c r="AS55" s="5" t="s">
        <v>356</v>
      </c>
      <c r="AT55" s="5" t="s">
        <v>356</v>
      </c>
      <c r="AU55" s="5" t="s">
        <v>356</v>
      </c>
      <c r="AV55" s="5" t="s">
        <v>356</v>
      </c>
      <c r="AW55" s="5" t="s">
        <v>356</v>
      </c>
      <c r="AX55" s="4">
        <v>3</v>
      </c>
      <c r="AY55" s="4"/>
      <c r="AZ55" s="5" t="s">
        <v>383</v>
      </c>
      <c r="BA55" s="4">
        <f t="shared" si="68"/>
        <v>18</v>
      </c>
      <c r="BB55" s="4"/>
      <c r="BC55" s="3" t="s">
        <v>360</v>
      </c>
      <c r="BD55" s="4"/>
      <c r="BE55" s="4"/>
      <c r="BF55" s="4"/>
      <c r="BG55" s="17">
        <v>45665</v>
      </c>
      <c r="BH55" s="3">
        <v>4</v>
      </c>
      <c r="BI55" s="3">
        <v>0</v>
      </c>
      <c r="BJ55" s="3">
        <v>2</v>
      </c>
      <c r="BK55" s="3">
        <v>4</v>
      </c>
      <c r="BL55" s="3">
        <v>4</v>
      </c>
      <c r="BM55" s="3">
        <v>4</v>
      </c>
      <c r="BN55" s="3">
        <v>3</v>
      </c>
      <c r="BO55" s="3">
        <f>SUM(Foglio1!$BH55:$BM55)</f>
        <v>18</v>
      </c>
      <c r="BP55" s="3">
        <v>7</v>
      </c>
      <c r="BQ55" s="3">
        <v>4</v>
      </c>
      <c r="BR55" s="3">
        <v>10</v>
      </c>
      <c r="BS55" s="3">
        <v>40</v>
      </c>
      <c r="BT55" s="3">
        <v>5</v>
      </c>
      <c r="BU55" s="3">
        <v>5</v>
      </c>
      <c r="BV55" s="3">
        <v>5</v>
      </c>
      <c r="BW55" s="3">
        <v>5</v>
      </c>
      <c r="BX55" s="3">
        <v>3</v>
      </c>
      <c r="BY55" s="3">
        <v>5</v>
      </c>
      <c r="BZ55" s="3">
        <v>6</v>
      </c>
      <c r="CA55" s="3">
        <v>4</v>
      </c>
      <c r="CB55" s="3">
        <v>4</v>
      </c>
      <c r="CC55" s="3">
        <v>4</v>
      </c>
      <c r="CD55" s="3">
        <v>3</v>
      </c>
      <c r="CE55" s="3">
        <v>4</v>
      </c>
      <c r="CF55" s="3">
        <v>4</v>
      </c>
      <c r="CG55" s="3">
        <v>5</v>
      </c>
      <c r="CH55" s="3">
        <v>2</v>
      </c>
      <c r="CI55" s="3">
        <v>2</v>
      </c>
      <c r="CJ55" s="3">
        <v>2</v>
      </c>
      <c r="CK55" s="3">
        <v>2</v>
      </c>
      <c r="CL55" s="3">
        <v>4</v>
      </c>
      <c r="CM55" s="3">
        <v>3</v>
      </c>
      <c r="CN55" s="3">
        <v>4</v>
      </c>
      <c r="CO55" s="3">
        <v>5</v>
      </c>
      <c r="CP55" s="3">
        <v>5</v>
      </c>
      <c r="CQ55" s="3">
        <v>5</v>
      </c>
      <c r="CR55" s="3">
        <v>4</v>
      </c>
      <c r="CS55" s="3">
        <v>4</v>
      </c>
      <c r="CT55" s="3">
        <v>5</v>
      </c>
      <c r="CU55" s="3">
        <v>5</v>
      </c>
      <c r="CV55" s="3">
        <v>5</v>
      </c>
      <c r="CW55" s="3">
        <v>4</v>
      </c>
      <c r="CX55" s="4">
        <f>SUM(Foglio1!$BT55:$CW55)</f>
        <v>123</v>
      </c>
      <c r="CY55" s="4">
        <f>SUM(Foglio1!$BT55+Foglio1!$BV55+Foglio1!$CP55+Foglio1!$BY55+Foglio1!$BX55+Foglio1!$CH55+Foglio1!$CS55+Foglio1!$CW55-Foglio1!$CE55)</f>
        <v>29</v>
      </c>
      <c r="CZ55" s="4">
        <f>SUM(Foglio1!$CF55+Foglio1!$CA55+Foglio1!$CB55+Foglio1!$CD55+Foglio1!$CN55+Foglio1!$CC55+Foglio1!$CW55+Foglio1!$CO55+Foglio1!$CT55-Foglio1!$BU55)</f>
        <v>32</v>
      </c>
      <c r="DA55" s="4">
        <f>SUM(Foglio1!$CG55+Foglio1!$CR55+Foglio1!$CQ55+Foglio1!$BU55+Foglio1!$CE55+Foglio1!$CL55+Foglio1!$CS55+Foglio1!$CT55+Foglio1!$CV55+Foglio1!$CP55)</f>
        <v>46</v>
      </c>
      <c r="DB55" s="4">
        <f>SUM(Foglio1!$CU55+Foglio1!$BW55+Foglio1!$BZ55+Foglio1!$CO55+Foglio1!$BX55+Foglio1!$CC55+Foglio1!$CK55+Foglio1!$CW55)</f>
        <v>34</v>
      </c>
      <c r="DC55" s="4">
        <f>SUM(Foglio1!$CI55+Foglio1!$CM55+Foglio1!$CJ55+Foglio1!$CK55+Foglio1!$BY55+Foglio1!$CH55+Foglio1!$CV55+Foglio1!$CW55)</f>
        <v>25</v>
      </c>
      <c r="DD55" s="3">
        <v>0</v>
      </c>
      <c r="DE55" s="3">
        <v>3</v>
      </c>
      <c r="DF55" s="3">
        <v>3</v>
      </c>
      <c r="DG55" s="3">
        <v>2</v>
      </c>
      <c r="DH55" s="3">
        <v>1</v>
      </c>
      <c r="DI55" s="3">
        <v>0</v>
      </c>
      <c r="DJ55" s="3">
        <v>0</v>
      </c>
      <c r="DK55" s="3">
        <v>0</v>
      </c>
      <c r="DL55" s="3">
        <v>0</v>
      </c>
      <c r="DM55" s="3">
        <v>0</v>
      </c>
      <c r="DN55" s="3">
        <v>0</v>
      </c>
      <c r="DO55" s="3">
        <v>0</v>
      </c>
      <c r="DP55" s="3">
        <v>0</v>
      </c>
      <c r="DQ55" s="3">
        <v>0</v>
      </c>
      <c r="DR55" s="3">
        <v>0</v>
      </c>
      <c r="DS55" s="3">
        <v>0</v>
      </c>
      <c r="DT55" s="3">
        <v>2</v>
      </c>
      <c r="DU55" s="3">
        <v>0</v>
      </c>
      <c r="DV55" s="3">
        <v>1</v>
      </c>
      <c r="DW55" s="3">
        <v>0</v>
      </c>
      <c r="DX55" s="3">
        <v>3</v>
      </c>
      <c r="DY55" s="3">
        <v>1</v>
      </c>
      <c r="DZ55" s="3">
        <v>1</v>
      </c>
      <c r="EA55" s="3">
        <v>3</v>
      </c>
      <c r="EB55" s="3">
        <v>3</v>
      </c>
      <c r="EC55" s="3">
        <v>1</v>
      </c>
      <c r="ED55" s="3">
        <v>0</v>
      </c>
      <c r="EE55" s="3">
        <v>0</v>
      </c>
      <c r="EF55" s="3">
        <v>2</v>
      </c>
      <c r="EG55" s="3">
        <v>0</v>
      </c>
      <c r="EH55" s="4">
        <f>(Foglio1!$DE55+Foglio1!$DH55+Foglio1!$DG55+Foglio1!$DF55+Foglio1!$DM55+Foglio1!$DD55+Foglio1!$DO55+Foglio1!$DL55+Foglio1!$DN55+Foglio1!$DQ55+Foglio1!$DP55+Foglio1!$DT55+Foglio1!$DI55+Foglio1!$DK55+Foglio1!$DU55)</f>
        <v>11</v>
      </c>
      <c r="EI55" s="4">
        <f>(Foglio1!$EA55+Foglio1!$EB55+Foglio1!$EE55+Foglio1!$EC55+Foglio1!$ED55+Foglio1!$DZ55+Foglio1!$DY55)</f>
        <v>9</v>
      </c>
      <c r="EJ55" s="4">
        <f>(Foglio1!$DW55+Foglio1!$DV55+Foglio1!$DX55)</f>
        <v>4</v>
      </c>
      <c r="EK55" s="4">
        <f>(Foglio1!$EG55+Foglio1!$EF55)</f>
        <v>2</v>
      </c>
      <c r="EL55" s="3">
        <v>1</v>
      </c>
      <c r="EM55" s="3">
        <v>0</v>
      </c>
      <c r="EN55" s="3">
        <v>1</v>
      </c>
      <c r="EO55" s="3">
        <v>1</v>
      </c>
      <c r="EP55" s="3">
        <f t="array" ref="EP55">SUM(EL55:EO55/4)</f>
        <v>0.75</v>
      </c>
      <c r="EQ55" s="3">
        <v>1</v>
      </c>
      <c r="ER55" s="3">
        <v>1</v>
      </c>
      <c r="ES55" s="3">
        <v>0</v>
      </c>
      <c r="ET55" s="3">
        <v>1</v>
      </c>
      <c r="EU55" s="3" t="s">
        <v>383</v>
      </c>
      <c r="EV55" s="3">
        <v>0</v>
      </c>
      <c r="EW55" s="3" t="s">
        <v>383</v>
      </c>
      <c r="EX55" s="3">
        <v>0</v>
      </c>
      <c r="EY55" s="4">
        <f>(Foglio1!$EQ55+Foglio1!$ER55+Foglio1!$ES55+Foglio1!$ET55+Foglio1!$EV55+Foglio1!$EX55)/6</f>
        <v>0.5</v>
      </c>
      <c r="EZ55" s="3">
        <v>0</v>
      </c>
      <c r="FA55" s="3">
        <v>1</v>
      </c>
      <c r="FB55" s="3">
        <v>0</v>
      </c>
      <c r="FC55" s="4">
        <f>(Foglio1!$EZ55+Foglio1!$FA55+Foglio1!$FB55)/3</f>
        <v>0.33333333333333331</v>
      </c>
      <c r="FD55" s="3">
        <v>1</v>
      </c>
      <c r="FE55" s="3">
        <v>0</v>
      </c>
      <c r="FF55" s="4">
        <f>(Foglio1!$FD55+Foglio1!$FE55)/2</f>
        <v>0.5</v>
      </c>
      <c r="FG55" s="3" t="s">
        <v>383</v>
      </c>
      <c r="FH55" s="3">
        <v>1</v>
      </c>
      <c r="FI55" s="3" t="s">
        <v>383</v>
      </c>
      <c r="FJ55" s="3">
        <v>0</v>
      </c>
      <c r="FK55" s="3" t="s">
        <v>383</v>
      </c>
      <c r="FL55" s="3">
        <v>0</v>
      </c>
      <c r="FM55" s="4">
        <f>(Foglio1!$FH55+Foglio1!$FJ55+Foglio1!$FL55)/3</f>
        <v>0.33333333333333331</v>
      </c>
      <c r="FN55" s="4">
        <f>(Foglio1!$EP55)</f>
        <v>0.75</v>
      </c>
      <c r="FO55" s="4">
        <f>(Foglio1!$EY55+Foglio1!$FC55+Foglio1!$FF55+Foglio1!$FM55)/4</f>
        <v>0.41666666666666663</v>
      </c>
      <c r="FP55" s="4">
        <f>(Foglio1!$EP55+Foglio1!$EY55+Foglio1!$FC55+Foglio1!$FF55+Foglio1!$FM55)/5</f>
        <v>0.48333333333333328</v>
      </c>
      <c r="FQ55" s="3" t="s">
        <v>355</v>
      </c>
      <c r="FR55" s="3" t="s">
        <v>356</v>
      </c>
      <c r="FS55" s="3" t="s">
        <v>356</v>
      </c>
      <c r="FT55" s="3" t="s">
        <v>356</v>
      </c>
      <c r="FU55" s="3" t="s">
        <v>356</v>
      </c>
      <c r="FV55" s="3" t="s">
        <v>356</v>
      </c>
      <c r="FW55" s="3" t="s">
        <v>356</v>
      </c>
      <c r="FX55" s="3" t="s">
        <v>356</v>
      </c>
      <c r="FY55" s="3" t="s">
        <v>356</v>
      </c>
      <c r="FZ55" s="3" t="s">
        <v>356</v>
      </c>
      <c r="GA55" s="3" t="s">
        <v>356</v>
      </c>
      <c r="GB55" s="3" t="s">
        <v>356</v>
      </c>
      <c r="GC55" s="3" t="s">
        <v>356</v>
      </c>
      <c r="GD55" s="3" t="s">
        <v>356</v>
      </c>
      <c r="GE55" s="3" t="s">
        <v>356</v>
      </c>
      <c r="GF55" s="3" t="s">
        <v>356</v>
      </c>
      <c r="GG55" s="3" t="s">
        <v>356</v>
      </c>
      <c r="GH55" s="3" t="s">
        <v>356</v>
      </c>
      <c r="GI55" s="3" t="s">
        <v>356</v>
      </c>
      <c r="GJ55" s="3" t="s">
        <v>356</v>
      </c>
      <c r="GK55" s="3" t="s">
        <v>356</v>
      </c>
      <c r="GL55" s="3" t="s">
        <v>356</v>
      </c>
      <c r="GM55" s="3" t="s">
        <v>356</v>
      </c>
      <c r="GN55" s="3" t="s">
        <v>356</v>
      </c>
      <c r="GO55" s="3" t="s">
        <v>356</v>
      </c>
      <c r="GP55" s="3" t="s">
        <v>356</v>
      </c>
      <c r="GQ55" s="3" t="s">
        <v>356</v>
      </c>
      <c r="GR55" s="3" t="s">
        <v>356</v>
      </c>
      <c r="GS55" s="3" t="s">
        <v>356</v>
      </c>
      <c r="GT55" s="3" t="s">
        <v>356</v>
      </c>
      <c r="GU55" s="3" t="s">
        <v>356</v>
      </c>
      <c r="GV55" s="3" t="s">
        <v>356</v>
      </c>
      <c r="GW55" s="3" t="s">
        <v>356</v>
      </c>
      <c r="GX55" s="3" t="s">
        <v>356</v>
      </c>
      <c r="GY55" s="3" t="s">
        <v>356</v>
      </c>
      <c r="GZ55" s="3" t="s">
        <v>356</v>
      </c>
      <c r="HA55" s="3" t="s">
        <v>356</v>
      </c>
      <c r="HB55" s="3" t="s">
        <v>356</v>
      </c>
      <c r="HC55" s="3" t="s">
        <v>356</v>
      </c>
      <c r="HD55" s="3" t="s">
        <v>356</v>
      </c>
      <c r="HE55" s="3" t="s">
        <v>356</v>
      </c>
      <c r="HF55" s="3" t="s">
        <v>356</v>
      </c>
      <c r="HG55" s="4" t="s">
        <v>356</v>
      </c>
      <c r="HH55" s="4" t="s">
        <v>356</v>
      </c>
      <c r="HI55" s="4" t="s">
        <v>356</v>
      </c>
      <c r="HJ55" s="4" t="s">
        <v>356</v>
      </c>
      <c r="HK55" s="4" t="s">
        <v>356</v>
      </c>
      <c r="HL55" s="4" t="s">
        <v>356</v>
      </c>
      <c r="HM55" s="3" t="s">
        <v>356</v>
      </c>
      <c r="HN55" s="3" t="s">
        <v>356</v>
      </c>
      <c r="HO55" s="3" t="s">
        <v>356</v>
      </c>
      <c r="HP55" s="3" t="s">
        <v>356</v>
      </c>
      <c r="HQ55" s="3" t="s">
        <v>356</v>
      </c>
      <c r="HR55" s="3" t="s">
        <v>356</v>
      </c>
      <c r="HS55" s="3" t="s">
        <v>356</v>
      </c>
      <c r="HT55" s="3" t="s">
        <v>356</v>
      </c>
      <c r="HU55" s="3" t="s">
        <v>356</v>
      </c>
      <c r="HV55" s="3" t="s">
        <v>356</v>
      </c>
      <c r="HW55" s="3" t="s">
        <v>356</v>
      </c>
      <c r="HX55" s="3" t="s">
        <v>356</v>
      </c>
      <c r="HY55" s="3" t="s">
        <v>356</v>
      </c>
      <c r="HZ55" s="3" t="s">
        <v>356</v>
      </c>
      <c r="IA55" s="3" t="s">
        <v>356</v>
      </c>
      <c r="IB55" s="3" t="s">
        <v>356</v>
      </c>
      <c r="IC55" s="3" t="s">
        <v>356</v>
      </c>
      <c r="ID55" s="3" t="s">
        <v>356</v>
      </c>
      <c r="IE55" s="3" t="s">
        <v>356</v>
      </c>
      <c r="IF55" s="3" t="s">
        <v>356</v>
      </c>
      <c r="IG55" s="3" t="s">
        <v>356</v>
      </c>
      <c r="IH55" s="3" t="s">
        <v>356</v>
      </c>
      <c r="II55" s="3" t="s">
        <v>356</v>
      </c>
      <c r="IJ55" s="3" t="s">
        <v>356</v>
      </c>
      <c r="IK55" s="3" t="s">
        <v>356</v>
      </c>
      <c r="IL55" s="3" t="s">
        <v>356</v>
      </c>
      <c r="IM55" s="3" t="s">
        <v>356</v>
      </c>
      <c r="IN55" s="3" t="s">
        <v>356</v>
      </c>
      <c r="IO55" s="3" t="s">
        <v>356</v>
      </c>
      <c r="IP55" s="3" t="s">
        <v>356</v>
      </c>
      <c r="IQ55" s="4" t="s">
        <v>356</v>
      </c>
      <c r="IR55" s="4" t="s">
        <v>356</v>
      </c>
      <c r="IS55" s="4" t="s">
        <v>356</v>
      </c>
      <c r="IT55" s="4" t="s">
        <v>356</v>
      </c>
      <c r="IU55" s="3" t="s">
        <v>356</v>
      </c>
      <c r="IV55" s="3" t="s">
        <v>356</v>
      </c>
      <c r="IW55" s="3" t="s">
        <v>356</v>
      </c>
      <c r="IX55" s="3" t="s">
        <v>356</v>
      </c>
      <c r="IY55" s="3" t="s">
        <v>356</v>
      </c>
      <c r="IZ55" s="3" t="s">
        <v>356</v>
      </c>
      <c r="JA55" s="3" t="s">
        <v>356</v>
      </c>
      <c r="JB55" s="3" t="s">
        <v>356</v>
      </c>
      <c r="JC55" s="4" t="s">
        <v>356</v>
      </c>
      <c r="JD55" s="3" t="s">
        <v>356</v>
      </c>
      <c r="JE55" s="3" t="s">
        <v>356</v>
      </c>
      <c r="JF55" s="3" t="s">
        <v>356</v>
      </c>
      <c r="JG55" s="3" t="s">
        <v>356</v>
      </c>
      <c r="JH55" s="3" t="s">
        <v>356</v>
      </c>
      <c r="JI55" s="3" t="s">
        <v>356</v>
      </c>
      <c r="JJ55" s="3" t="s">
        <v>356</v>
      </c>
      <c r="JK55" s="3" t="s">
        <v>356</v>
      </c>
      <c r="JL55" s="4" t="s">
        <v>356</v>
      </c>
      <c r="JM55" s="3" t="s">
        <v>356</v>
      </c>
      <c r="JN55" s="3" t="s">
        <v>356</v>
      </c>
      <c r="JO55" s="3" t="s">
        <v>356</v>
      </c>
      <c r="JP55" s="4" t="s">
        <v>356</v>
      </c>
      <c r="JQ55" s="3" t="s">
        <v>356</v>
      </c>
      <c r="JR55" s="3" t="s">
        <v>356</v>
      </c>
      <c r="JS55" s="4" t="s">
        <v>356</v>
      </c>
      <c r="JT55" s="3" t="s">
        <v>356</v>
      </c>
      <c r="JU55" s="3" t="s">
        <v>356</v>
      </c>
      <c r="JV55" s="3" t="s">
        <v>356</v>
      </c>
      <c r="JW55" s="3" t="s">
        <v>356</v>
      </c>
      <c r="JX55" s="3" t="s">
        <v>356</v>
      </c>
      <c r="JY55" s="3" t="s">
        <v>356</v>
      </c>
      <c r="JZ55" s="4" t="s">
        <v>356</v>
      </c>
      <c r="KA55" s="4" t="str">
        <f>(Foglio1!$JC55)</f>
        <v>BBB</v>
      </c>
      <c r="KB55" s="4" t="s">
        <v>356</v>
      </c>
      <c r="KC55" s="4" t="s">
        <v>356</v>
      </c>
      <c r="KD55" s="3" t="s">
        <v>356</v>
      </c>
      <c r="KE55" s="3" t="s">
        <v>356</v>
      </c>
      <c r="KF55" s="3" t="s">
        <v>356</v>
      </c>
      <c r="KG55" s="3" t="s">
        <v>356</v>
      </c>
      <c r="KH55" s="3" t="s">
        <v>356</v>
      </c>
      <c r="KI55" s="3" t="s">
        <v>356</v>
      </c>
      <c r="KJ55" s="3" t="s">
        <v>356</v>
      </c>
      <c r="KK55" s="3" t="s">
        <v>356</v>
      </c>
      <c r="KL55" s="3" t="s">
        <v>356</v>
      </c>
      <c r="KM55" s="3" t="s">
        <v>356</v>
      </c>
      <c r="KN55" s="3" t="s">
        <v>356</v>
      </c>
      <c r="KO55" s="3" t="s">
        <v>356</v>
      </c>
      <c r="KP55" s="3" t="s">
        <v>356</v>
      </c>
      <c r="KQ55" s="3" t="s">
        <v>356</v>
      </c>
      <c r="KR55" s="3" t="s">
        <v>356</v>
      </c>
      <c r="KS55" s="3" t="s">
        <v>356</v>
      </c>
      <c r="KT55" s="3" t="s">
        <v>356</v>
      </c>
      <c r="KU55" s="3" t="s">
        <v>356</v>
      </c>
      <c r="KV55" s="3" t="s">
        <v>356</v>
      </c>
      <c r="KW55" s="3" t="s">
        <v>356</v>
      </c>
      <c r="KX55" s="3" t="s">
        <v>356</v>
      </c>
      <c r="KY55" s="3" t="s">
        <v>356</v>
      </c>
      <c r="KZ55" s="3" t="s">
        <v>356</v>
      </c>
      <c r="LA55" s="3" t="s">
        <v>356</v>
      </c>
      <c r="LB55" s="3" t="s">
        <v>356</v>
      </c>
      <c r="LC55" s="3" t="s">
        <v>356</v>
      </c>
      <c r="LD55" s="3" t="s">
        <v>356</v>
      </c>
      <c r="LE55" s="3" t="s">
        <v>356</v>
      </c>
      <c r="LF55" s="3" t="s">
        <v>356</v>
      </c>
      <c r="LG55" s="3" t="s">
        <v>356</v>
      </c>
      <c r="LH55" s="3" t="s">
        <v>356</v>
      </c>
      <c r="LI55" s="3" t="s">
        <v>356</v>
      </c>
      <c r="LJ55" s="3" t="s">
        <v>356</v>
      </c>
      <c r="LK55" s="3" t="s">
        <v>356</v>
      </c>
      <c r="LL55" s="3" t="s">
        <v>356</v>
      </c>
      <c r="LM55" s="3" t="s">
        <v>356</v>
      </c>
      <c r="LN55" s="3" t="s">
        <v>356</v>
      </c>
      <c r="LO55" s="3" t="s">
        <v>356</v>
      </c>
      <c r="LP55" s="3" t="s">
        <v>356</v>
      </c>
      <c r="LQ55" s="3" t="s">
        <v>356</v>
      </c>
      <c r="LR55" s="3" t="s">
        <v>356</v>
      </c>
      <c r="LS55" s="3" t="s">
        <v>356</v>
      </c>
      <c r="LT55" s="3" t="s">
        <v>356</v>
      </c>
      <c r="LU55" s="3" t="s">
        <v>356</v>
      </c>
      <c r="LV55" s="3" t="s">
        <v>356</v>
      </c>
      <c r="LW55" s="3" t="s">
        <v>356</v>
      </c>
      <c r="LX55" s="3" t="s">
        <v>356</v>
      </c>
      <c r="LY55" s="3" t="s">
        <v>356</v>
      </c>
      <c r="LZ55" s="3">
        <v>0</v>
      </c>
      <c r="MA55" s="3">
        <v>0</v>
      </c>
      <c r="MB55" s="3">
        <v>1</v>
      </c>
      <c r="MC55" s="3">
        <v>1</v>
      </c>
      <c r="MD55" s="3">
        <f t="shared" si="7"/>
        <v>2</v>
      </c>
      <c r="ME55" s="3">
        <v>0</v>
      </c>
      <c r="MF55" s="3">
        <v>1</v>
      </c>
      <c r="MG55" s="3">
        <v>0</v>
      </c>
      <c r="MH55" s="3">
        <v>0</v>
      </c>
      <c r="MI55" s="3">
        <f t="shared" si="8"/>
        <v>1</v>
      </c>
    </row>
    <row r="56" spans="1:347"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4"/>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row>
    <row r="57" spans="1:347"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row>
    <row r="58" spans="1:347"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row>
    <row r="59" spans="1:347"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row>
    <row r="60" spans="1:347"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row>
    <row r="61" spans="1:347"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row>
    <row r="62" spans="1:347"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row>
    <row r="63" spans="1:347"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row>
    <row r="64" spans="1:347"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row>
    <row r="65" spans="1:347"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row>
    <row r="66" spans="1:347"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row>
    <row r="67" spans="1:347"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row>
    <row r="68" spans="1:347"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row>
    <row r="69" spans="1:347"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row>
    <row r="70" spans="1:347"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row>
    <row r="71" spans="1:347"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row>
    <row r="72" spans="1:347"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row>
    <row r="73" spans="1:347"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row>
    <row r="74" spans="1:347"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row>
    <row r="75" spans="1:347"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row>
    <row r="76" spans="1:347"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row>
    <row r="77" spans="1:347"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row>
    <row r="78" spans="1:347"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row>
    <row r="79" spans="1:347"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row>
    <row r="80" spans="1:347"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row>
    <row r="81" spans="1:347"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row>
    <row r="82" spans="1:347"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row>
    <row r="83" spans="1:347"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row>
    <row r="84" spans="1:347"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row>
    <row r="85" spans="1:347"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row>
    <row r="86" spans="1:347"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row>
    <row r="87" spans="1:347"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row>
    <row r="88" spans="1:347"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row>
    <row r="89" spans="1:347"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row>
    <row r="90" spans="1:347"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row>
    <row r="91" spans="1:347"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row>
    <row r="92" spans="1:347"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row>
    <row r="93" spans="1:347"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row>
    <row r="94" spans="1:347"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row>
    <row r="95" spans="1:347"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row>
    <row r="96" spans="1:347"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row>
    <row r="97" spans="1:347"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c r="LL97" s="3"/>
      <c r="LM97" s="3"/>
      <c r="LN97" s="3"/>
      <c r="LO97" s="3"/>
      <c r="LP97" s="3"/>
      <c r="LQ97" s="3"/>
      <c r="LR97" s="3"/>
      <c r="LS97" s="3"/>
      <c r="LT97" s="3"/>
      <c r="LU97" s="3"/>
      <c r="LV97" s="3"/>
      <c r="LW97" s="3"/>
      <c r="LX97" s="3"/>
      <c r="LY97" s="3"/>
      <c r="LZ97" s="3"/>
      <c r="MA97" s="3"/>
      <c r="MB97" s="3"/>
      <c r="MC97" s="3"/>
      <c r="MD97" s="3"/>
      <c r="ME97" s="3"/>
      <c r="MF97" s="3"/>
      <c r="MG97" s="3"/>
      <c r="MH97" s="3"/>
      <c r="MI97" s="3"/>
    </row>
    <row r="98" spans="1:347"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row>
    <row r="99" spans="1:347"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row>
    <row r="100" spans="1:347"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row>
    <row r="101" spans="1:347"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row>
    <row r="102" spans="1:347"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row>
    <row r="103" spans="1:347"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row>
    <row r="104" spans="1:347"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row>
    <row r="105" spans="1:347"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row>
    <row r="106" spans="1:347"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row>
    <row r="107" spans="1:347"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c r="LO107" s="3"/>
      <c r="LP107" s="3"/>
      <c r="LQ107" s="3"/>
      <c r="LR107" s="3"/>
      <c r="LS107" s="3"/>
      <c r="LT107" s="3"/>
      <c r="LU107" s="3"/>
      <c r="LV107" s="3"/>
      <c r="LW107" s="3"/>
      <c r="LX107" s="3"/>
      <c r="LY107" s="3"/>
      <c r="LZ107" s="3"/>
      <c r="MA107" s="3"/>
      <c r="MB107" s="3"/>
      <c r="MC107" s="3"/>
      <c r="MD107" s="3"/>
      <c r="ME107" s="3"/>
      <c r="MF107" s="3"/>
      <c r="MG107" s="3"/>
      <c r="MH107" s="3"/>
      <c r="MI107" s="3"/>
    </row>
    <row r="108" spans="1:347"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c r="LO108" s="3"/>
      <c r="LP108" s="3"/>
      <c r="LQ108" s="3"/>
      <c r="LR108" s="3"/>
      <c r="LS108" s="3"/>
      <c r="LT108" s="3"/>
      <c r="LU108" s="3"/>
      <c r="LV108" s="3"/>
      <c r="LW108" s="3"/>
      <c r="LX108" s="3"/>
      <c r="LY108" s="3"/>
      <c r="LZ108" s="3"/>
      <c r="MA108" s="3"/>
      <c r="MB108" s="3"/>
      <c r="MC108" s="3"/>
      <c r="MD108" s="3"/>
      <c r="ME108" s="3"/>
      <c r="MF108" s="3"/>
      <c r="MG108" s="3"/>
      <c r="MH108" s="3"/>
      <c r="MI108" s="3"/>
    </row>
    <row r="109" spans="1:347"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row>
    <row r="110" spans="1:347"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c r="LL110" s="3"/>
      <c r="LM110" s="3"/>
      <c r="LN110" s="3"/>
      <c r="LO110" s="3"/>
      <c r="LP110" s="3"/>
      <c r="LQ110" s="3"/>
      <c r="LR110" s="3"/>
      <c r="LS110" s="3"/>
      <c r="LT110" s="3"/>
      <c r="LU110" s="3"/>
      <c r="LV110" s="3"/>
      <c r="LW110" s="3"/>
      <c r="LX110" s="3"/>
      <c r="LY110" s="3"/>
      <c r="LZ110" s="3"/>
      <c r="MA110" s="3"/>
      <c r="MB110" s="3"/>
      <c r="MC110" s="3"/>
      <c r="MD110" s="3"/>
      <c r="ME110" s="3"/>
      <c r="MF110" s="3"/>
      <c r="MG110" s="3"/>
      <c r="MH110" s="3"/>
      <c r="MI110" s="3"/>
    </row>
    <row r="111" spans="1:347"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row>
    <row r="112" spans="1:347"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row>
    <row r="113" spans="1:347"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row>
    <row r="114" spans="1:347"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row>
    <row r="115" spans="1:347"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row>
    <row r="116" spans="1:347"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row>
    <row r="117" spans="1:347"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row>
    <row r="118" spans="1:347"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row>
    <row r="119" spans="1:347"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row>
    <row r="120" spans="1:347"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row>
    <row r="121" spans="1:347"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row>
    <row r="122" spans="1:347"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row>
    <row r="123" spans="1:347"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row>
    <row r="124" spans="1:347"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row>
    <row r="125" spans="1:347"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row>
    <row r="126" spans="1:347"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row>
    <row r="127" spans="1:347"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row>
    <row r="128" spans="1:347"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row>
    <row r="129" spans="1:347"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row>
    <row r="130" spans="1:347"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row>
    <row r="131" spans="1:347"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row>
    <row r="132" spans="1:347"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row>
    <row r="133" spans="1:347"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row>
    <row r="134" spans="1:347"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row>
    <row r="135" spans="1:347"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row>
    <row r="136" spans="1:347"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row>
    <row r="137" spans="1:347"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row>
    <row r="138" spans="1:347"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row>
    <row r="139" spans="1:347"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row>
    <row r="140" spans="1:347"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row>
    <row r="141" spans="1:347"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row>
    <row r="142" spans="1:347"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row>
    <row r="143" spans="1:347"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row>
    <row r="144" spans="1:347"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row>
    <row r="145" spans="1:347"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row>
    <row r="146" spans="1:347"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row>
    <row r="147" spans="1:347"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row>
    <row r="148" spans="1:347"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row>
    <row r="149" spans="1:347"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row>
    <row r="150" spans="1:347"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row>
    <row r="151" spans="1:347"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row>
    <row r="152" spans="1:347"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row>
    <row r="153" spans="1:347"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row>
    <row r="154" spans="1:347"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row>
    <row r="155" spans="1:347"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row>
    <row r="156" spans="1:347"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row>
    <row r="157" spans="1:347"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row>
    <row r="158" spans="1:347"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row>
    <row r="159" spans="1:347"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row>
    <row r="160" spans="1:347"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row>
    <row r="161" spans="1:347"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row>
    <row r="162" spans="1:347"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row>
    <row r="163" spans="1:347"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row>
    <row r="164" spans="1:347"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row>
    <row r="165" spans="1:347"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row>
    <row r="166" spans="1:347"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row>
    <row r="167" spans="1:347"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row>
    <row r="168" spans="1:347"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row>
    <row r="169" spans="1:347"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row>
    <row r="170" spans="1:347"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row>
    <row r="171" spans="1:347"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row>
    <row r="172" spans="1:347"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row>
    <row r="173" spans="1:347"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row>
    <row r="174" spans="1:347"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row>
    <row r="175" spans="1:347"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row>
    <row r="176" spans="1:347"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row>
    <row r="177" spans="1:347"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row>
    <row r="178" spans="1:347"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row>
    <row r="179" spans="1:347"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row>
    <row r="180" spans="1:347"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row>
    <row r="181" spans="1:347"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row>
    <row r="182" spans="1:347"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row>
    <row r="183" spans="1:347"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row>
    <row r="184" spans="1:347"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row>
    <row r="185" spans="1:347"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row>
    <row r="186" spans="1:347"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row>
    <row r="187" spans="1:347"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row>
    <row r="188" spans="1:347"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row>
    <row r="189" spans="1:347"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row>
    <row r="190" spans="1:347"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row>
    <row r="191" spans="1:347"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row>
    <row r="192" spans="1:347"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row>
    <row r="193" spans="1:347"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row>
    <row r="194" spans="1:347"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row>
    <row r="195" spans="1:347"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row>
    <row r="196" spans="1:347"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row>
    <row r="197" spans="1:347"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row>
    <row r="198" spans="1:347"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row>
    <row r="199" spans="1:347"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row>
    <row r="200" spans="1:347"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row>
    <row r="201" spans="1:347"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row>
    <row r="202" spans="1:347"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row>
    <row r="203" spans="1:347"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row>
    <row r="204" spans="1:347"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row>
    <row r="205" spans="1:347"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row>
    <row r="206" spans="1:347"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row>
    <row r="207" spans="1:347"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row>
    <row r="208" spans="1:347"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row>
    <row r="209" spans="1:347"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row>
    <row r="210" spans="1:347"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row>
    <row r="211" spans="1:347"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row>
    <row r="212" spans="1:347"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row>
    <row r="213" spans="1:347"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row>
    <row r="214" spans="1:347"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row>
    <row r="215" spans="1:347"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row>
    <row r="216" spans="1:347"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row>
    <row r="217" spans="1:347"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row>
    <row r="218" spans="1:347"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row>
    <row r="219" spans="1:347"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row>
    <row r="220" spans="1:347"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row>
    <row r="221" spans="1:347"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row>
    <row r="222" spans="1:347"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row>
    <row r="223" spans="1:347"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row>
    <row r="224" spans="1:347"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row>
    <row r="225" spans="1:347"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row>
    <row r="226" spans="1:347"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row>
    <row r="227" spans="1:347"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row>
    <row r="228" spans="1:347"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row>
    <row r="229" spans="1:347"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row>
    <row r="230" spans="1:347"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row>
    <row r="231" spans="1:347"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row>
    <row r="232" spans="1:347"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row>
    <row r="233" spans="1:347"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row>
    <row r="234" spans="1:347"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row>
    <row r="235" spans="1:347"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row>
    <row r="236" spans="1:347"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row>
    <row r="237" spans="1:347"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row>
    <row r="238" spans="1:347"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row>
    <row r="239" spans="1:347"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row>
    <row r="240" spans="1:347"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row>
    <row r="241" spans="1:347"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c r="LV241" s="3"/>
      <c r="LW241" s="3"/>
      <c r="LX241" s="3"/>
      <c r="LY241" s="3"/>
      <c r="LZ241" s="3"/>
      <c r="MA241" s="3"/>
      <c r="MB241" s="3"/>
      <c r="MC241" s="3"/>
      <c r="MD241" s="3"/>
      <c r="ME241" s="3"/>
      <c r="MF241" s="3"/>
      <c r="MG241" s="3"/>
      <c r="MH241" s="3"/>
      <c r="MI241" s="3"/>
    </row>
    <row r="242" spans="1:347"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c r="LV242" s="3"/>
      <c r="LW242" s="3"/>
      <c r="LX242" s="3"/>
      <c r="LY242" s="3"/>
      <c r="LZ242" s="3"/>
      <c r="MA242" s="3"/>
      <c r="MB242" s="3"/>
      <c r="MC242" s="3"/>
      <c r="MD242" s="3"/>
      <c r="ME242" s="3"/>
      <c r="MF242" s="3"/>
      <c r="MG242" s="3"/>
      <c r="MH242" s="3"/>
      <c r="MI242" s="3"/>
    </row>
    <row r="243" spans="1:347"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c r="LV243" s="3"/>
      <c r="LW243" s="3"/>
      <c r="LX243" s="3"/>
      <c r="LY243" s="3"/>
      <c r="LZ243" s="3"/>
      <c r="MA243" s="3"/>
      <c r="MB243" s="3"/>
      <c r="MC243" s="3"/>
      <c r="MD243" s="3"/>
      <c r="ME243" s="3"/>
      <c r="MF243" s="3"/>
      <c r="MG243" s="3"/>
      <c r="MH243" s="3"/>
      <c r="MI243" s="3"/>
    </row>
    <row r="244" spans="1:347"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c r="LV244" s="3"/>
      <c r="LW244" s="3"/>
      <c r="LX244" s="3"/>
      <c r="LY244" s="3"/>
      <c r="LZ244" s="3"/>
      <c r="MA244" s="3"/>
      <c r="MB244" s="3"/>
      <c r="MC244" s="3"/>
      <c r="MD244" s="3"/>
      <c r="ME244" s="3"/>
      <c r="MF244" s="3"/>
      <c r="MG244" s="3"/>
      <c r="MH244" s="3"/>
      <c r="MI244" s="3"/>
    </row>
    <row r="245" spans="1:347"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c r="LV245" s="3"/>
      <c r="LW245" s="3"/>
      <c r="LX245" s="3"/>
      <c r="LY245" s="3"/>
      <c r="LZ245" s="3"/>
      <c r="MA245" s="3"/>
      <c r="MB245" s="3"/>
      <c r="MC245" s="3"/>
      <c r="MD245" s="3"/>
      <c r="ME245" s="3"/>
      <c r="MF245" s="3"/>
      <c r="MG245" s="3"/>
      <c r="MH245" s="3"/>
      <c r="MI245" s="3"/>
    </row>
    <row r="246" spans="1:347"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c r="LV246" s="3"/>
      <c r="LW246" s="3"/>
      <c r="LX246" s="3"/>
      <c r="LY246" s="3"/>
      <c r="LZ246" s="3"/>
      <c r="MA246" s="3"/>
      <c r="MB246" s="3"/>
      <c r="MC246" s="3"/>
      <c r="MD246" s="3"/>
      <c r="ME246" s="3"/>
      <c r="MF246" s="3"/>
      <c r="MG246" s="3"/>
      <c r="MH246" s="3"/>
      <c r="MI246" s="3"/>
    </row>
    <row r="247" spans="1:347"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c r="LV247" s="3"/>
      <c r="LW247" s="3"/>
      <c r="LX247" s="3"/>
      <c r="LY247" s="3"/>
      <c r="LZ247" s="3"/>
      <c r="MA247" s="3"/>
      <c r="MB247" s="3"/>
      <c r="MC247" s="3"/>
      <c r="MD247" s="3"/>
      <c r="ME247" s="3"/>
      <c r="MF247" s="3"/>
      <c r="MG247" s="3"/>
      <c r="MH247" s="3"/>
      <c r="MI247" s="3"/>
    </row>
    <row r="248" spans="1:347"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c r="LV248" s="3"/>
      <c r="LW248" s="3"/>
      <c r="LX248" s="3"/>
      <c r="LY248" s="3"/>
      <c r="LZ248" s="3"/>
      <c r="MA248" s="3"/>
      <c r="MB248" s="3"/>
      <c r="MC248" s="3"/>
      <c r="MD248" s="3"/>
      <c r="ME248" s="3"/>
      <c r="MF248" s="3"/>
      <c r="MG248" s="3"/>
      <c r="MH248" s="3"/>
      <c r="MI248" s="3"/>
    </row>
    <row r="249" spans="1:347"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c r="LV249" s="3"/>
      <c r="LW249" s="3"/>
      <c r="LX249" s="3"/>
      <c r="LY249" s="3"/>
      <c r="LZ249" s="3"/>
      <c r="MA249" s="3"/>
      <c r="MB249" s="3"/>
      <c r="MC249" s="3"/>
      <c r="MD249" s="3"/>
      <c r="ME249" s="3"/>
      <c r="MF249" s="3"/>
      <c r="MG249" s="3"/>
      <c r="MH249" s="3"/>
      <c r="MI249" s="3"/>
    </row>
    <row r="250" spans="1:347"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c r="LV250" s="3"/>
      <c r="LW250" s="3"/>
      <c r="LX250" s="3"/>
      <c r="LY250" s="3"/>
      <c r="LZ250" s="3"/>
      <c r="MA250" s="3"/>
      <c r="MB250" s="3"/>
      <c r="MC250" s="3"/>
      <c r="MD250" s="3"/>
      <c r="ME250" s="3"/>
      <c r="MF250" s="3"/>
      <c r="MG250" s="3"/>
      <c r="MH250" s="3"/>
      <c r="MI250" s="3"/>
    </row>
    <row r="251" spans="1:347"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c r="LV251" s="3"/>
      <c r="LW251" s="3"/>
      <c r="LX251" s="3"/>
      <c r="LY251" s="3"/>
      <c r="LZ251" s="3"/>
      <c r="MA251" s="3"/>
      <c r="MB251" s="3"/>
      <c r="MC251" s="3"/>
      <c r="MD251" s="3"/>
      <c r="ME251" s="3"/>
      <c r="MF251" s="3"/>
      <c r="MG251" s="3"/>
      <c r="MH251" s="3"/>
      <c r="MI251" s="3"/>
    </row>
    <row r="252" spans="1:347"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c r="LV252" s="3"/>
      <c r="LW252" s="3"/>
      <c r="LX252" s="3"/>
      <c r="LY252" s="3"/>
      <c r="LZ252" s="3"/>
      <c r="MA252" s="3"/>
      <c r="MB252" s="3"/>
      <c r="MC252" s="3"/>
      <c r="MD252" s="3"/>
      <c r="ME252" s="3"/>
      <c r="MF252" s="3"/>
      <c r="MG252" s="3"/>
      <c r="MH252" s="3"/>
      <c r="MI252" s="3"/>
    </row>
    <row r="253" spans="1:347"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c r="LV253" s="3"/>
      <c r="LW253" s="3"/>
      <c r="LX253" s="3"/>
      <c r="LY253" s="3"/>
      <c r="LZ253" s="3"/>
      <c r="MA253" s="3"/>
      <c r="MB253" s="3"/>
      <c r="MC253" s="3"/>
      <c r="MD253" s="3"/>
      <c r="ME253" s="3"/>
      <c r="MF253" s="3"/>
      <c r="MG253" s="3"/>
      <c r="MH253" s="3"/>
      <c r="MI253" s="3"/>
    </row>
    <row r="254" spans="1:347"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c r="LV254" s="3"/>
      <c r="LW254" s="3"/>
      <c r="LX254" s="3"/>
      <c r="LY254" s="3"/>
      <c r="LZ254" s="3"/>
      <c r="MA254" s="3"/>
      <c r="MB254" s="3"/>
      <c r="MC254" s="3"/>
      <c r="MD254" s="3"/>
      <c r="ME254" s="3"/>
      <c r="MF254" s="3"/>
      <c r="MG254" s="3"/>
      <c r="MH254" s="3"/>
      <c r="MI254" s="3"/>
    </row>
    <row r="255" spans="1:347"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row>
    <row r="256" spans="1:347"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c r="LV256" s="3"/>
      <c r="LW256" s="3"/>
      <c r="LX256" s="3"/>
      <c r="LY256" s="3"/>
      <c r="LZ256" s="3"/>
      <c r="MA256" s="3"/>
      <c r="MB256" s="3"/>
      <c r="MC256" s="3"/>
      <c r="MD256" s="3"/>
      <c r="ME256" s="3"/>
      <c r="MF256" s="3"/>
      <c r="MG256" s="3"/>
      <c r="MH256" s="3"/>
      <c r="MI256" s="3"/>
    </row>
    <row r="257" spans="1:347"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c r="LV257" s="3"/>
      <c r="LW257" s="3"/>
      <c r="LX257" s="3"/>
      <c r="LY257" s="3"/>
      <c r="LZ257" s="3"/>
      <c r="MA257" s="3"/>
      <c r="MB257" s="3"/>
      <c r="MC257" s="3"/>
      <c r="MD257" s="3"/>
      <c r="ME257" s="3"/>
      <c r="MF257" s="3"/>
      <c r="MG257" s="3"/>
      <c r="MH257" s="3"/>
      <c r="MI257" s="3"/>
    </row>
    <row r="258" spans="1:347"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row>
    <row r="259" spans="1:347"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c r="LV259" s="3"/>
      <c r="LW259" s="3"/>
      <c r="LX259" s="3"/>
      <c r="LY259" s="3"/>
      <c r="LZ259" s="3"/>
      <c r="MA259" s="3"/>
      <c r="MB259" s="3"/>
      <c r="MC259" s="3"/>
      <c r="MD259" s="3"/>
      <c r="ME259" s="3"/>
      <c r="MF259" s="3"/>
      <c r="MG259" s="3"/>
      <c r="MH259" s="3"/>
      <c r="MI259" s="3"/>
    </row>
    <row r="260" spans="1:347"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c r="LV260" s="3"/>
      <c r="LW260" s="3"/>
      <c r="LX260" s="3"/>
      <c r="LY260" s="3"/>
      <c r="LZ260" s="3"/>
      <c r="MA260" s="3"/>
      <c r="MB260" s="3"/>
      <c r="MC260" s="3"/>
      <c r="MD260" s="3"/>
      <c r="ME260" s="3"/>
      <c r="MF260" s="3"/>
      <c r="MG260" s="3"/>
      <c r="MH260" s="3"/>
      <c r="MI260" s="3"/>
    </row>
    <row r="261" spans="1:347"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c r="LV261" s="3"/>
      <c r="LW261" s="3"/>
      <c r="LX261" s="3"/>
      <c r="LY261" s="3"/>
      <c r="LZ261" s="3"/>
      <c r="MA261" s="3"/>
      <c r="MB261" s="3"/>
      <c r="MC261" s="3"/>
      <c r="MD261" s="3"/>
      <c r="ME261" s="3"/>
      <c r="MF261" s="3"/>
      <c r="MG261" s="3"/>
      <c r="MH261" s="3"/>
      <c r="MI261" s="3"/>
    </row>
    <row r="262" spans="1:347"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c r="LV262" s="3"/>
      <c r="LW262" s="3"/>
      <c r="LX262" s="3"/>
      <c r="LY262" s="3"/>
      <c r="LZ262" s="3"/>
      <c r="MA262" s="3"/>
      <c r="MB262" s="3"/>
      <c r="MC262" s="3"/>
      <c r="MD262" s="3"/>
      <c r="ME262" s="3"/>
      <c r="MF262" s="3"/>
      <c r="MG262" s="3"/>
      <c r="MH262" s="3"/>
      <c r="MI262" s="3"/>
    </row>
    <row r="263" spans="1:347"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c r="LV263" s="3"/>
      <c r="LW263" s="3"/>
      <c r="LX263" s="3"/>
      <c r="LY263" s="3"/>
      <c r="LZ263" s="3"/>
      <c r="MA263" s="3"/>
      <c r="MB263" s="3"/>
      <c r="MC263" s="3"/>
      <c r="MD263" s="3"/>
      <c r="ME263" s="3"/>
      <c r="MF263" s="3"/>
      <c r="MG263" s="3"/>
      <c r="MH263" s="3"/>
      <c r="MI263" s="3"/>
    </row>
    <row r="264" spans="1:347"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c r="LV264" s="3"/>
      <c r="LW264" s="3"/>
      <c r="LX264" s="3"/>
      <c r="LY264" s="3"/>
      <c r="LZ264" s="3"/>
      <c r="MA264" s="3"/>
      <c r="MB264" s="3"/>
      <c r="MC264" s="3"/>
      <c r="MD264" s="3"/>
      <c r="ME264" s="3"/>
      <c r="MF264" s="3"/>
      <c r="MG264" s="3"/>
      <c r="MH264" s="3"/>
      <c r="MI264" s="3"/>
    </row>
    <row r="265" spans="1:347"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c r="LV265" s="3"/>
      <c r="LW265" s="3"/>
      <c r="LX265" s="3"/>
      <c r="LY265" s="3"/>
      <c r="LZ265" s="3"/>
      <c r="MA265" s="3"/>
      <c r="MB265" s="3"/>
      <c r="MC265" s="3"/>
      <c r="MD265" s="3"/>
      <c r="ME265" s="3"/>
      <c r="MF265" s="3"/>
      <c r="MG265" s="3"/>
      <c r="MH265" s="3"/>
      <c r="MI265" s="3"/>
    </row>
    <row r="266" spans="1:347"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c r="LV266" s="3"/>
      <c r="LW266" s="3"/>
      <c r="LX266" s="3"/>
      <c r="LY266" s="3"/>
      <c r="LZ266" s="3"/>
      <c r="MA266" s="3"/>
      <c r="MB266" s="3"/>
      <c r="MC266" s="3"/>
      <c r="MD266" s="3"/>
      <c r="ME266" s="3"/>
      <c r="MF266" s="3"/>
      <c r="MG266" s="3"/>
      <c r="MH266" s="3"/>
      <c r="MI266" s="3"/>
    </row>
    <row r="267" spans="1:347"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c r="LV267" s="3"/>
      <c r="LW267" s="3"/>
      <c r="LX267" s="3"/>
      <c r="LY267" s="3"/>
      <c r="LZ267" s="3"/>
      <c r="MA267" s="3"/>
      <c r="MB267" s="3"/>
      <c r="MC267" s="3"/>
      <c r="MD267" s="3"/>
      <c r="ME267" s="3"/>
      <c r="MF267" s="3"/>
      <c r="MG267" s="3"/>
      <c r="MH267" s="3"/>
      <c r="MI267" s="3"/>
    </row>
    <row r="268" spans="1:347"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row>
    <row r="269" spans="1:347"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3"/>
      <c r="LX269" s="3"/>
      <c r="LY269" s="3"/>
      <c r="LZ269" s="3"/>
      <c r="MA269" s="3"/>
      <c r="MB269" s="3"/>
      <c r="MC269" s="3"/>
      <c r="MD269" s="3"/>
      <c r="ME269" s="3"/>
      <c r="MF269" s="3"/>
      <c r="MG269" s="3"/>
      <c r="MH269" s="3"/>
      <c r="MI269" s="3"/>
    </row>
    <row r="270" spans="1:347"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c r="LV270" s="3"/>
      <c r="LW270" s="3"/>
      <c r="LX270" s="3"/>
      <c r="LY270" s="3"/>
      <c r="LZ270" s="3"/>
      <c r="MA270" s="3"/>
      <c r="MB270" s="3"/>
      <c r="MC270" s="3"/>
      <c r="MD270" s="3"/>
      <c r="ME270" s="3"/>
      <c r="MF270" s="3"/>
      <c r="MG270" s="3"/>
      <c r="MH270" s="3"/>
      <c r="MI270" s="3"/>
    </row>
    <row r="271" spans="1:347"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row>
    <row r="272" spans="1:347"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c r="LV272" s="3"/>
      <c r="LW272" s="3"/>
      <c r="LX272" s="3"/>
      <c r="LY272" s="3"/>
      <c r="LZ272" s="3"/>
      <c r="MA272" s="3"/>
      <c r="MB272" s="3"/>
      <c r="MC272" s="3"/>
      <c r="MD272" s="3"/>
      <c r="ME272" s="3"/>
      <c r="MF272" s="3"/>
      <c r="MG272" s="3"/>
      <c r="MH272" s="3"/>
      <c r="MI272" s="3"/>
    </row>
    <row r="273" spans="1:347"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c r="LV273" s="3"/>
      <c r="LW273" s="3"/>
      <c r="LX273" s="3"/>
      <c r="LY273" s="3"/>
      <c r="LZ273" s="3"/>
      <c r="MA273" s="3"/>
      <c r="MB273" s="3"/>
      <c r="MC273" s="3"/>
      <c r="MD273" s="3"/>
      <c r="ME273" s="3"/>
      <c r="MF273" s="3"/>
      <c r="MG273" s="3"/>
      <c r="MH273" s="3"/>
      <c r="MI273" s="3"/>
    </row>
    <row r="274" spans="1:347"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row>
    <row r="275" spans="1:347"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row>
    <row r="276" spans="1:347"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3"/>
      <c r="LX276" s="3"/>
      <c r="LY276" s="3"/>
      <c r="LZ276" s="3"/>
      <c r="MA276" s="3"/>
      <c r="MB276" s="3"/>
      <c r="MC276" s="3"/>
      <c r="MD276" s="3"/>
      <c r="ME276" s="3"/>
      <c r="MF276" s="3"/>
      <c r="MG276" s="3"/>
      <c r="MH276" s="3"/>
      <c r="MI276" s="3"/>
    </row>
    <row r="277" spans="1:347"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c r="LV277" s="3"/>
      <c r="LW277" s="3"/>
      <c r="LX277" s="3"/>
      <c r="LY277" s="3"/>
      <c r="LZ277" s="3"/>
      <c r="MA277" s="3"/>
      <c r="MB277" s="3"/>
      <c r="MC277" s="3"/>
      <c r="MD277" s="3"/>
      <c r="ME277" s="3"/>
      <c r="MF277" s="3"/>
      <c r="MG277" s="3"/>
      <c r="MH277" s="3"/>
      <c r="MI277" s="3"/>
    </row>
    <row r="278" spans="1:347"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c r="LV278" s="3"/>
      <c r="LW278" s="3"/>
      <c r="LX278" s="3"/>
      <c r="LY278" s="3"/>
      <c r="LZ278" s="3"/>
      <c r="MA278" s="3"/>
      <c r="MB278" s="3"/>
      <c r="MC278" s="3"/>
      <c r="MD278" s="3"/>
      <c r="ME278" s="3"/>
      <c r="MF278" s="3"/>
      <c r="MG278" s="3"/>
      <c r="MH278" s="3"/>
      <c r="MI278" s="3"/>
    </row>
    <row r="279" spans="1:347"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c r="LV279" s="3"/>
      <c r="LW279" s="3"/>
      <c r="LX279" s="3"/>
      <c r="LY279" s="3"/>
      <c r="LZ279" s="3"/>
      <c r="MA279" s="3"/>
      <c r="MB279" s="3"/>
      <c r="MC279" s="3"/>
      <c r="MD279" s="3"/>
      <c r="ME279" s="3"/>
      <c r="MF279" s="3"/>
      <c r="MG279" s="3"/>
      <c r="MH279" s="3"/>
      <c r="MI279" s="3"/>
    </row>
    <row r="280" spans="1:347"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c r="LV280" s="3"/>
      <c r="LW280" s="3"/>
      <c r="LX280" s="3"/>
      <c r="LY280" s="3"/>
      <c r="LZ280" s="3"/>
      <c r="MA280" s="3"/>
      <c r="MB280" s="3"/>
      <c r="MC280" s="3"/>
      <c r="MD280" s="3"/>
      <c r="ME280" s="3"/>
      <c r="MF280" s="3"/>
      <c r="MG280" s="3"/>
      <c r="MH280" s="3"/>
      <c r="MI280" s="3"/>
    </row>
    <row r="281" spans="1:347"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c r="LV281" s="3"/>
      <c r="LW281" s="3"/>
      <c r="LX281" s="3"/>
      <c r="LY281" s="3"/>
      <c r="LZ281" s="3"/>
      <c r="MA281" s="3"/>
      <c r="MB281" s="3"/>
      <c r="MC281" s="3"/>
      <c r="MD281" s="3"/>
      <c r="ME281" s="3"/>
      <c r="MF281" s="3"/>
      <c r="MG281" s="3"/>
      <c r="MH281" s="3"/>
      <c r="MI281" s="3"/>
    </row>
    <row r="282" spans="1:347"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c r="LV282" s="3"/>
      <c r="LW282" s="3"/>
      <c r="LX282" s="3"/>
      <c r="LY282" s="3"/>
      <c r="LZ282" s="3"/>
      <c r="MA282" s="3"/>
      <c r="MB282" s="3"/>
      <c r="MC282" s="3"/>
      <c r="MD282" s="3"/>
      <c r="ME282" s="3"/>
      <c r="MF282" s="3"/>
      <c r="MG282" s="3"/>
      <c r="MH282" s="3"/>
      <c r="MI282" s="3"/>
    </row>
    <row r="283" spans="1:347"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c r="LV283" s="3"/>
      <c r="LW283" s="3"/>
      <c r="LX283" s="3"/>
      <c r="LY283" s="3"/>
      <c r="LZ283" s="3"/>
      <c r="MA283" s="3"/>
      <c r="MB283" s="3"/>
      <c r="MC283" s="3"/>
      <c r="MD283" s="3"/>
      <c r="ME283" s="3"/>
      <c r="MF283" s="3"/>
      <c r="MG283" s="3"/>
      <c r="MH283" s="3"/>
      <c r="MI283" s="3"/>
    </row>
    <row r="284" spans="1:347"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c r="LV284" s="3"/>
      <c r="LW284" s="3"/>
      <c r="LX284" s="3"/>
      <c r="LY284" s="3"/>
      <c r="LZ284" s="3"/>
      <c r="MA284" s="3"/>
      <c r="MB284" s="3"/>
      <c r="MC284" s="3"/>
      <c r="MD284" s="3"/>
      <c r="ME284" s="3"/>
      <c r="MF284" s="3"/>
      <c r="MG284" s="3"/>
      <c r="MH284" s="3"/>
      <c r="MI284" s="3"/>
    </row>
    <row r="285" spans="1:347"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3"/>
      <c r="LX285" s="3"/>
      <c r="LY285" s="3"/>
      <c r="LZ285" s="3"/>
      <c r="MA285" s="3"/>
      <c r="MB285" s="3"/>
      <c r="MC285" s="3"/>
      <c r="MD285" s="3"/>
      <c r="ME285" s="3"/>
      <c r="MF285" s="3"/>
      <c r="MG285" s="3"/>
      <c r="MH285" s="3"/>
      <c r="MI285" s="3"/>
    </row>
    <row r="286" spans="1:347"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c r="LV286" s="3"/>
      <c r="LW286" s="3"/>
      <c r="LX286" s="3"/>
      <c r="LY286" s="3"/>
      <c r="LZ286" s="3"/>
      <c r="MA286" s="3"/>
      <c r="MB286" s="3"/>
      <c r="MC286" s="3"/>
      <c r="MD286" s="3"/>
      <c r="ME286" s="3"/>
      <c r="MF286" s="3"/>
      <c r="MG286" s="3"/>
      <c r="MH286" s="3"/>
      <c r="MI286" s="3"/>
    </row>
    <row r="287" spans="1:347"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c r="LV287" s="3"/>
      <c r="LW287" s="3"/>
      <c r="LX287" s="3"/>
      <c r="LY287" s="3"/>
      <c r="LZ287" s="3"/>
      <c r="MA287" s="3"/>
      <c r="MB287" s="3"/>
      <c r="MC287" s="3"/>
      <c r="MD287" s="3"/>
      <c r="ME287" s="3"/>
      <c r="MF287" s="3"/>
      <c r="MG287" s="3"/>
      <c r="MH287" s="3"/>
      <c r="MI287" s="3"/>
    </row>
    <row r="288" spans="1:347"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c r="LV288" s="3"/>
      <c r="LW288" s="3"/>
      <c r="LX288" s="3"/>
      <c r="LY288" s="3"/>
      <c r="LZ288" s="3"/>
      <c r="MA288" s="3"/>
      <c r="MB288" s="3"/>
      <c r="MC288" s="3"/>
      <c r="MD288" s="3"/>
      <c r="ME288" s="3"/>
      <c r="MF288" s="3"/>
      <c r="MG288" s="3"/>
      <c r="MH288" s="3"/>
      <c r="MI288" s="3"/>
    </row>
    <row r="289" spans="1:347"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c r="LV289" s="3"/>
      <c r="LW289" s="3"/>
      <c r="LX289" s="3"/>
      <c r="LY289" s="3"/>
      <c r="LZ289" s="3"/>
      <c r="MA289" s="3"/>
      <c r="MB289" s="3"/>
      <c r="MC289" s="3"/>
      <c r="MD289" s="3"/>
      <c r="ME289" s="3"/>
      <c r="MF289" s="3"/>
      <c r="MG289" s="3"/>
      <c r="MH289" s="3"/>
      <c r="MI289" s="3"/>
    </row>
    <row r="290" spans="1:347"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c r="LV290" s="3"/>
      <c r="LW290" s="3"/>
      <c r="LX290" s="3"/>
      <c r="LY290" s="3"/>
      <c r="LZ290" s="3"/>
      <c r="MA290" s="3"/>
      <c r="MB290" s="3"/>
      <c r="MC290" s="3"/>
      <c r="MD290" s="3"/>
      <c r="ME290" s="3"/>
      <c r="MF290" s="3"/>
      <c r="MG290" s="3"/>
      <c r="MH290" s="3"/>
      <c r="MI290" s="3"/>
    </row>
    <row r="291" spans="1:347"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c r="LV291" s="3"/>
      <c r="LW291" s="3"/>
      <c r="LX291" s="3"/>
      <c r="LY291" s="3"/>
      <c r="LZ291" s="3"/>
      <c r="MA291" s="3"/>
      <c r="MB291" s="3"/>
      <c r="MC291" s="3"/>
      <c r="MD291" s="3"/>
      <c r="ME291" s="3"/>
      <c r="MF291" s="3"/>
      <c r="MG291" s="3"/>
      <c r="MH291" s="3"/>
      <c r="MI291" s="3"/>
    </row>
    <row r="292" spans="1:347"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c r="LV292" s="3"/>
      <c r="LW292" s="3"/>
      <c r="LX292" s="3"/>
      <c r="LY292" s="3"/>
      <c r="LZ292" s="3"/>
      <c r="MA292" s="3"/>
      <c r="MB292" s="3"/>
      <c r="MC292" s="3"/>
      <c r="MD292" s="3"/>
      <c r="ME292" s="3"/>
      <c r="MF292" s="3"/>
      <c r="MG292" s="3"/>
      <c r="MH292" s="3"/>
      <c r="MI292" s="3"/>
    </row>
    <row r="293" spans="1:347"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c r="LV293" s="3"/>
      <c r="LW293" s="3"/>
      <c r="LX293" s="3"/>
      <c r="LY293" s="3"/>
      <c r="LZ293" s="3"/>
      <c r="MA293" s="3"/>
      <c r="MB293" s="3"/>
      <c r="MC293" s="3"/>
      <c r="MD293" s="3"/>
      <c r="ME293" s="3"/>
      <c r="MF293" s="3"/>
      <c r="MG293" s="3"/>
      <c r="MH293" s="3"/>
      <c r="MI293" s="3"/>
    </row>
    <row r="294" spans="1:347"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c r="LV294" s="3"/>
      <c r="LW294" s="3"/>
      <c r="LX294" s="3"/>
      <c r="LY294" s="3"/>
      <c r="LZ294" s="3"/>
      <c r="MA294" s="3"/>
      <c r="MB294" s="3"/>
      <c r="MC294" s="3"/>
      <c r="MD294" s="3"/>
      <c r="ME294" s="3"/>
      <c r="MF294" s="3"/>
      <c r="MG294" s="3"/>
      <c r="MH294" s="3"/>
      <c r="MI294" s="3"/>
    </row>
    <row r="295" spans="1:347"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row>
    <row r="296" spans="1:347"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row>
    <row r="297" spans="1:347"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row>
    <row r="298" spans="1:347"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c r="LV298" s="3"/>
      <c r="LW298" s="3"/>
      <c r="LX298" s="3"/>
      <c r="LY298" s="3"/>
      <c r="LZ298" s="3"/>
      <c r="MA298" s="3"/>
      <c r="MB298" s="3"/>
      <c r="MC298" s="3"/>
      <c r="MD298" s="3"/>
      <c r="ME298" s="3"/>
      <c r="MF298" s="3"/>
      <c r="MG298" s="3"/>
      <c r="MH298" s="3"/>
      <c r="MI298" s="3"/>
    </row>
    <row r="299" spans="1:347"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row>
    <row r="300" spans="1:347"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c r="LV300" s="3"/>
      <c r="LW300" s="3"/>
      <c r="LX300" s="3"/>
      <c r="LY300" s="3"/>
      <c r="LZ300" s="3"/>
      <c r="MA300" s="3"/>
      <c r="MB300" s="3"/>
      <c r="MC300" s="3"/>
      <c r="MD300" s="3"/>
      <c r="ME300" s="3"/>
      <c r="MF300" s="3"/>
      <c r="MG300" s="3"/>
      <c r="MH300" s="3"/>
      <c r="MI300" s="3"/>
    </row>
    <row r="301" spans="1:347"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c r="LV301" s="3"/>
      <c r="LW301" s="3"/>
      <c r="LX301" s="3"/>
      <c r="LY301" s="3"/>
      <c r="LZ301" s="3"/>
      <c r="MA301" s="3"/>
      <c r="MB301" s="3"/>
      <c r="MC301" s="3"/>
      <c r="MD301" s="3"/>
      <c r="ME301" s="3"/>
      <c r="MF301" s="3"/>
      <c r="MG301" s="3"/>
      <c r="MH301" s="3"/>
      <c r="MI301" s="3"/>
    </row>
    <row r="302" spans="1:347"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row>
    <row r="303" spans="1:347"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row>
    <row r="304" spans="1:347"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row>
    <row r="305" spans="1:347"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c r="HX305" s="3"/>
      <c r="HY305" s="3"/>
      <c r="HZ305" s="3"/>
      <c r="IA305" s="3"/>
      <c r="IB305" s="3"/>
      <c r="IC305" s="3"/>
      <c r="ID305" s="3"/>
      <c r="IE305" s="3"/>
      <c r="IF305" s="3"/>
      <c r="IG305" s="3"/>
      <c r="IH305" s="3"/>
      <c r="II305" s="3"/>
      <c r="IJ305" s="3"/>
      <c r="IK305" s="3"/>
      <c r="IL305" s="3"/>
      <c r="IM305" s="3"/>
      <c r="IN305" s="3"/>
      <c r="IO305" s="3"/>
      <c r="IP305" s="3"/>
      <c r="IQ305" s="3"/>
      <c r="IR305" s="3"/>
      <c r="IS305" s="3"/>
      <c r="IT305" s="3"/>
      <c r="IU305" s="3"/>
      <c r="IV305" s="3"/>
      <c r="IW305" s="3"/>
      <c r="IX305" s="3"/>
      <c r="IY305" s="3"/>
      <c r="IZ305" s="3"/>
      <c r="JA305" s="3"/>
      <c r="JB305" s="3"/>
      <c r="JC305" s="3"/>
      <c r="JD305" s="3"/>
      <c r="JE305" s="3"/>
      <c r="JF305" s="3"/>
      <c r="JG305" s="3"/>
      <c r="JH305" s="3"/>
      <c r="JI305" s="3"/>
      <c r="JJ305" s="3"/>
      <c r="JK305" s="3"/>
      <c r="JL305" s="3"/>
      <c r="JM305" s="3"/>
      <c r="JN305" s="3"/>
      <c r="JO305" s="3"/>
      <c r="JP305" s="3"/>
      <c r="JQ305" s="3"/>
      <c r="JR305" s="3"/>
      <c r="JS305" s="3"/>
      <c r="JT305" s="3"/>
      <c r="JU305" s="3"/>
      <c r="JV305" s="3"/>
      <c r="JW305" s="3"/>
      <c r="JX305" s="3"/>
      <c r="JY305" s="3"/>
      <c r="JZ305" s="3"/>
      <c r="KA305" s="3"/>
      <c r="KB305" s="3"/>
      <c r="KC305" s="3"/>
      <c r="KD305" s="3"/>
      <c r="KE305" s="3"/>
      <c r="KF305" s="3"/>
      <c r="KG305" s="3"/>
      <c r="KH305" s="3"/>
      <c r="KI305" s="3"/>
      <c r="KJ305" s="3"/>
      <c r="KK305" s="3"/>
      <c r="KL305" s="3"/>
      <c r="KM305" s="3"/>
      <c r="KN305" s="3"/>
      <c r="KO305" s="3"/>
      <c r="KP305" s="3"/>
      <c r="KQ305" s="3"/>
      <c r="KR305" s="3"/>
      <c r="KS305" s="3"/>
      <c r="KT305" s="3"/>
      <c r="KU305" s="3"/>
      <c r="KV305" s="3"/>
      <c r="KW305" s="3"/>
      <c r="KX305" s="3"/>
      <c r="KY305" s="3"/>
      <c r="KZ305" s="3"/>
      <c r="LA305" s="3"/>
      <c r="LB305" s="3"/>
      <c r="LC305" s="3"/>
      <c r="LD305" s="3"/>
      <c r="LE305" s="3"/>
      <c r="LF305" s="3"/>
      <c r="LG305" s="3"/>
      <c r="LH305" s="3"/>
      <c r="LI305" s="3"/>
      <c r="LJ305" s="3"/>
      <c r="LK305" s="3"/>
      <c r="LL305" s="3"/>
      <c r="LM305" s="3"/>
      <c r="LN305" s="3"/>
      <c r="LO305" s="3"/>
      <c r="LP305" s="3"/>
      <c r="LQ305" s="3"/>
      <c r="LR305" s="3"/>
      <c r="LS305" s="3"/>
      <c r="LT305" s="3"/>
      <c r="LU305" s="3"/>
      <c r="LV305" s="3"/>
      <c r="LW305" s="3"/>
      <c r="LX305" s="3"/>
      <c r="LY305" s="3"/>
      <c r="LZ305" s="3"/>
      <c r="MA305" s="3"/>
      <c r="MB305" s="3"/>
      <c r="MC305" s="3"/>
      <c r="MD305" s="3"/>
      <c r="ME305" s="3"/>
      <c r="MF305" s="3"/>
      <c r="MG305" s="3"/>
      <c r="MH305" s="3"/>
      <c r="MI305" s="3"/>
    </row>
    <row r="306" spans="1:347"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c r="HX306" s="3"/>
      <c r="HY306" s="3"/>
      <c r="HZ306" s="3"/>
      <c r="IA306" s="3"/>
      <c r="IB306" s="3"/>
      <c r="IC306" s="3"/>
      <c r="ID306" s="3"/>
      <c r="IE306" s="3"/>
      <c r="IF306" s="3"/>
      <c r="IG306" s="3"/>
      <c r="IH306" s="3"/>
      <c r="II306" s="3"/>
      <c r="IJ306" s="3"/>
      <c r="IK306" s="3"/>
      <c r="IL306" s="3"/>
      <c r="IM306" s="3"/>
      <c r="IN306" s="3"/>
      <c r="IO306" s="3"/>
      <c r="IP306" s="3"/>
      <c r="IQ306" s="3"/>
      <c r="IR306" s="3"/>
      <c r="IS306" s="3"/>
      <c r="IT306" s="3"/>
      <c r="IU306" s="3"/>
      <c r="IV306" s="3"/>
      <c r="IW306" s="3"/>
      <c r="IX306" s="3"/>
      <c r="IY306" s="3"/>
      <c r="IZ306" s="3"/>
      <c r="JA306" s="3"/>
      <c r="JB306" s="3"/>
      <c r="JC306" s="3"/>
      <c r="JD306" s="3"/>
      <c r="JE306" s="3"/>
      <c r="JF306" s="3"/>
      <c r="JG306" s="3"/>
      <c r="JH306" s="3"/>
      <c r="JI306" s="3"/>
      <c r="JJ306" s="3"/>
      <c r="JK306" s="3"/>
      <c r="JL306" s="3"/>
      <c r="JM306" s="3"/>
      <c r="JN306" s="3"/>
      <c r="JO306" s="3"/>
      <c r="JP306" s="3"/>
      <c r="JQ306" s="3"/>
      <c r="JR306" s="3"/>
      <c r="JS306" s="3"/>
      <c r="JT306" s="3"/>
      <c r="JU306" s="3"/>
      <c r="JV306" s="3"/>
      <c r="JW306" s="3"/>
      <c r="JX306" s="3"/>
      <c r="JY306" s="3"/>
      <c r="JZ306" s="3"/>
      <c r="KA306" s="3"/>
      <c r="KB306" s="3"/>
      <c r="KC306" s="3"/>
      <c r="KD306" s="3"/>
      <c r="KE306" s="3"/>
      <c r="KF306" s="3"/>
      <c r="KG306" s="3"/>
      <c r="KH306" s="3"/>
      <c r="KI306" s="3"/>
      <c r="KJ306" s="3"/>
      <c r="KK306" s="3"/>
      <c r="KL306" s="3"/>
      <c r="KM306" s="3"/>
      <c r="KN306" s="3"/>
      <c r="KO306" s="3"/>
      <c r="KP306" s="3"/>
      <c r="KQ306" s="3"/>
      <c r="KR306" s="3"/>
      <c r="KS306" s="3"/>
      <c r="KT306" s="3"/>
      <c r="KU306" s="3"/>
      <c r="KV306" s="3"/>
      <c r="KW306" s="3"/>
      <c r="KX306" s="3"/>
      <c r="KY306" s="3"/>
      <c r="KZ306" s="3"/>
      <c r="LA306" s="3"/>
      <c r="LB306" s="3"/>
      <c r="LC306" s="3"/>
      <c r="LD306" s="3"/>
      <c r="LE306" s="3"/>
      <c r="LF306" s="3"/>
      <c r="LG306" s="3"/>
      <c r="LH306" s="3"/>
      <c r="LI306" s="3"/>
      <c r="LJ306" s="3"/>
      <c r="LK306" s="3"/>
      <c r="LL306" s="3"/>
      <c r="LM306" s="3"/>
      <c r="LN306" s="3"/>
      <c r="LO306" s="3"/>
      <c r="LP306" s="3"/>
      <c r="LQ306" s="3"/>
      <c r="LR306" s="3"/>
      <c r="LS306" s="3"/>
      <c r="LT306" s="3"/>
      <c r="LU306" s="3"/>
      <c r="LV306" s="3"/>
      <c r="LW306" s="3"/>
      <c r="LX306" s="3"/>
      <c r="LY306" s="3"/>
      <c r="LZ306" s="3"/>
      <c r="MA306" s="3"/>
      <c r="MB306" s="3"/>
      <c r="MC306" s="3"/>
      <c r="MD306" s="3"/>
      <c r="ME306" s="3"/>
      <c r="MF306" s="3"/>
      <c r="MG306" s="3"/>
      <c r="MH306" s="3"/>
      <c r="MI306" s="3"/>
    </row>
    <row r="307" spans="1:347"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c r="HX307" s="3"/>
      <c r="HY307" s="3"/>
      <c r="HZ307" s="3"/>
      <c r="IA307" s="3"/>
      <c r="IB307" s="3"/>
      <c r="IC307" s="3"/>
      <c r="ID307" s="3"/>
      <c r="IE307" s="3"/>
      <c r="IF307" s="3"/>
      <c r="IG307" s="3"/>
      <c r="IH307" s="3"/>
      <c r="II307" s="3"/>
      <c r="IJ307" s="3"/>
      <c r="IK307" s="3"/>
      <c r="IL307" s="3"/>
      <c r="IM307" s="3"/>
      <c r="IN307" s="3"/>
      <c r="IO307" s="3"/>
      <c r="IP307" s="3"/>
      <c r="IQ307" s="3"/>
      <c r="IR307" s="3"/>
      <c r="IS307" s="3"/>
      <c r="IT307" s="3"/>
      <c r="IU307" s="3"/>
      <c r="IV307" s="3"/>
      <c r="IW307" s="3"/>
      <c r="IX307" s="3"/>
      <c r="IY307" s="3"/>
      <c r="IZ307" s="3"/>
      <c r="JA307" s="3"/>
      <c r="JB307" s="3"/>
      <c r="JC307" s="3"/>
      <c r="JD307" s="3"/>
      <c r="JE307" s="3"/>
      <c r="JF307" s="3"/>
      <c r="JG307" s="3"/>
      <c r="JH307" s="3"/>
      <c r="JI307" s="3"/>
      <c r="JJ307" s="3"/>
      <c r="JK307" s="3"/>
      <c r="JL307" s="3"/>
      <c r="JM307" s="3"/>
      <c r="JN307" s="3"/>
      <c r="JO307" s="3"/>
      <c r="JP307" s="3"/>
      <c r="JQ307" s="3"/>
      <c r="JR307" s="3"/>
      <c r="JS307" s="3"/>
      <c r="JT307" s="3"/>
      <c r="JU307" s="3"/>
      <c r="JV307" s="3"/>
      <c r="JW307" s="3"/>
      <c r="JX307" s="3"/>
      <c r="JY307" s="3"/>
      <c r="JZ307" s="3"/>
      <c r="KA307" s="3"/>
      <c r="KB307" s="3"/>
      <c r="KC307" s="3"/>
      <c r="KD307" s="3"/>
      <c r="KE307" s="3"/>
      <c r="KF307" s="3"/>
      <c r="KG307" s="3"/>
      <c r="KH307" s="3"/>
      <c r="KI307" s="3"/>
      <c r="KJ307" s="3"/>
      <c r="KK307" s="3"/>
      <c r="KL307" s="3"/>
      <c r="KM307" s="3"/>
      <c r="KN307" s="3"/>
      <c r="KO307" s="3"/>
      <c r="KP307" s="3"/>
      <c r="KQ307" s="3"/>
      <c r="KR307" s="3"/>
      <c r="KS307" s="3"/>
      <c r="KT307" s="3"/>
      <c r="KU307" s="3"/>
      <c r="KV307" s="3"/>
      <c r="KW307" s="3"/>
      <c r="KX307" s="3"/>
      <c r="KY307" s="3"/>
      <c r="KZ307" s="3"/>
      <c r="LA307" s="3"/>
      <c r="LB307" s="3"/>
      <c r="LC307" s="3"/>
      <c r="LD307" s="3"/>
      <c r="LE307" s="3"/>
      <c r="LF307" s="3"/>
      <c r="LG307" s="3"/>
      <c r="LH307" s="3"/>
      <c r="LI307" s="3"/>
      <c r="LJ307" s="3"/>
      <c r="LK307" s="3"/>
      <c r="LL307" s="3"/>
      <c r="LM307" s="3"/>
      <c r="LN307" s="3"/>
      <c r="LO307" s="3"/>
      <c r="LP307" s="3"/>
      <c r="LQ307" s="3"/>
      <c r="LR307" s="3"/>
      <c r="LS307" s="3"/>
      <c r="LT307" s="3"/>
      <c r="LU307" s="3"/>
      <c r="LV307" s="3"/>
      <c r="LW307" s="3"/>
      <c r="LX307" s="3"/>
      <c r="LY307" s="3"/>
      <c r="LZ307" s="3"/>
      <c r="MA307" s="3"/>
      <c r="MB307" s="3"/>
      <c r="MC307" s="3"/>
      <c r="MD307" s="3"/>
      <c r="ME307" s="3"/>
      <c r="MF307" s="3"/>
      <c r="MG307" s="3"/>
      <c r="MH307" s="3"/>
      <c r="MI307" s="3"/>
    </row>
    <row r="308" spans="1:347"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c r="HX308" s="3"/>
      <c r="HY308" s="3"/>
      <c r="HZ308" s="3"/>
      <c r="IA308" s="3"/>
      <c r="IB308" s="3"/>
      <c r="IC308" s="3"/>
      <c r="ID308" s="3"/>
      <c r="IE308" s="3"/>
      <c r="IF308" s="3"/>
      <c r="IG308" s="3"/>
      <c r="IH308" s="3"/>
      <c r="II308" s="3"/>
      <c r="IJ308" s="3"/>
      <c r="IK308" s="3"/>
      <c r="IL308" s="3"/>
      <c r="IM308" s="3"/>
      <c r="IN308" s="3"/>
      <c r="IO308" s="3"/>
      <c r="IP308" s="3"/>
      <c r="IQ308" s="3"/>
      <c r="IR308" s="3"/>
      <c r="IS308" s="3"/>
      <c r="IT308" s="3"/>
      <c r="IU308" s="3"/>
      <c r="IV308" s="3"/>
      <c r="IW308" s="3"/>
      <c r="IX308" s="3"/>
      <c r="IY308" s="3"/>
      <c r="IZ308" s="3"/>
      <c r="JA308" s="3"/>
      <c r="JB308" s="3"/>
      <c r="JC308" s="3"/>
      <c r="JD308" s="3"/>
      <c r="JE308" s="3"/>
      <c r="JF308" s="3"/>
      <c r="JG308" s="3"/>
      <c r="JH308" s="3"/>
      <c r="JI308" s="3"/>
      <c r="JJ308" s="3"/>
      <c r="JK308" s="3"/>
      <c r="JL308" s="3"/>
      <c r="JM308" s="3"/>
      <c r="JN308" s="3"/>
      <c r="JO308" s="3"/>
      <c r="JP308" s="3"/>
      <c r="JQ308" s="3"/>
      <c r="JR308" s="3"/>
      <c r="JS308" s="3"/>
      <c r="JT308" s="3"/>
      <c r="JU308" s="3"/>
      <c r="JV308" s="3"/>
      <c r="JW308" s="3"/>
      <c r="JX308" s="3"/>
      <c r="JY308" s="3"/>
      <c r="JZ308" s="3"/>
      <c r="KA308" s="3"/>
      <c r="KB308" s="3"/>
      <c r="KC308" s="3"/>
      <c r="KD308" s="3"/>
      <c r="KE308" s="3"/>
      <c r="KF308" s="3"/>
      <c r="KG308" s="3"/>
      <c r="KH308" s="3"/>
      <c r="KI308" s="3"/>
      <c r="KJ308" s="3"/>
      <c r="KK308" s="3"/>
      <c r="KL308" s="3"/>
      <c r="KM308" s="3"/>
      <c r="KN308" s="3"/>
      <c r="KO308" s="3"/>
      <c r="KP308" s="3"/>
      <c r="KQ308" s="3"/>
      <c r="KR308" s="3"/>
      <c r="KS308" s="3"/>
      <c r="KT308" s="3"/>
      <c r="KU308" s="3"/>
      <c r="KV308" s="3"/>
      <c r="KW308" s="3"/>
      <c r="KX308" s="3"/>
      <c r="KY308" s="3"/>
      <c r="KZ308" s="3"/>
      <c r="LA308" s="3"/>
      <c r="LB308" s="3"/>
      <c r="LC308" s="3"/>
      <c r="LD308" s="3"/>
      <c r="LE308" s="3"/>
      <c r="LF308" s="3"/>
      <c r="LG308" s="3"/>
      <c r="LH308" s="3"/>
      <c r="LI308" s="3"/>
      <c r="LJ308" s="3"/>
      <c r="LK308" s="3"/>
      <c r="LL308" s="3"/>
      <c r="LM308" s="3"/>
      <c r="LN308" s="3"/>
      <c r="LO308" s="3"/>
      <c r="LP308" s="3"/>
      <c r="LQ308" s="3"/>
      <c r="LR308" s="3"/>
      <c r="LS308" s="3"/>
      <c r="LT308" s="3"/>
      <c r="LU308" s="3"/>
      <c r="LV308" s="3"/>
      <c r="LW308" s="3"/>
      <c r="LX308" s="3"/>
      <c r="LY308" s="3"/>
      <c r="LZ308" s="3"/>
      <c r="MA308" s="3"/>
      <c r="MB308" s="3"/>
      <c r="MC308" s="3"/>
      <c r="MD308" s="3"/>
      <c r="ME308" s="3"/>
      <c r="MF308" s="3"/>
      <c r="MG308" s="3"/>
      <c r="MH308" s="3"/>
      <c r="MI308" s="3"/>
    </row>
    <row r="309" spans="1:347"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c r="HX309" s="3"/>
      <c r="HY309" s="3"/>
      <c r="HZ309" s="3"/>
      <c r="IA309" s="3"/>
      <c r="IB309" s="3"/>
      <c r="IC309" s="3"/>
      <c r="ID309" s="3"/>
      <c r="IE309" s="3"/>
      <c r="IF309" s="3"/>
      <c r="IG309" s="3"/>
      <c r="IH309" s="3"/>
      <c r="II309" s="3"/>
      <c r="IJ309" s="3"/>
      <c r="IK309" s="3"/>
      <c r="IL309" s="3"/>
      <c r="IM309" s="3"/>
      <c r="IN309" s="3"/>
      <c r="IO309" s="3"/>
      <c r="IP309" s="3"/>
      <c r="IQ309" s="3"/>
      <c r="IR309" s="3"/>
      <c r="IS309" s="3"/>
      <c r="IT309" s="3"/>
      <c r="IU309" s="3"/>
      <c r="IV309" s="3"/>
      <c r="IW309" s="3"/>
      <c r="IX309" s="3"/>
      <c r="IY309" s="3"/>
      <c r="IZ309" s="3"/>
      <c r="JA309" s="3"/>
      <c r="JB309" s="3"/>
      <c r="JC309" s="3"/>
      <c r="JD309" s="3"/>
      <c r="JE309" s="3"/>
      <c r="JF309" s="3"/>
      <c r="JG309" s="3"/>
      <c r="JH309" s="3"/>
      <c r="JI309" s="3"/>
      <c r="JJ309" s="3"/>
      <c r="JK309" s="3"/>
      <c r="JL309" s="3"/>
      <c r="JM309" s="3"/>
      <c r="JN309" s="3"/>
      <c r="JO309" s="3"/>
      <c r="JP309" s="3"/>
      <c r="JQ309" s="3"/>
      <c r="JR309" s="3"/>
      <c r="JS309" s="3"/>
      <c r="JT309" s="3"/>
      <c r="JU309" s="3"/>
      <c r="JV309" s="3"/>
      <c r="JW309" s="3"/>
      <c r="JX309" s="3"/>
      <c r="JY309" s="3"/>
      <c r="JZ309" s="3"/>
      <c r="KA309" s="3"/>
      <c r="KB309" s="3"/>
      <c r="KC309" s="3"/>
      <c r="KD309" s="3"/>
      <c r="KE309" s="3"/>
      <c r="KF309" s="3"/>
      <c r="KG309" s="3"/>
      <c r="KH309" s="3"/>
      <c r="KI309" s="3"/>
      <c r="KJ309" s="3"/>
      <c r="KK309" s="3"/>
      <c r="KL309" s="3"/>
      <c r="KM309" s="3"/>
      <c r="KN309" s="3"/>
      <c r="KO309" s="3"/>
      <c r="KP309" s="3"/>
      <c r="KQ309" s="3"/>
      <c r="KR309" s="3"/>
      <c r="KS309" s="3"/>
      <c r="KT309" s="3"/>
      <c r="KU309" s="3"/>
      <c r="KV309" s="3"/>
      <c r="KW309" s="3"/>
      <c r="KX309" s="3"/>
      <c r="KY309" s="3"/>
      <c r="KZ309" s="3"/>
      <c r="LA309" s="3"/>
      <c r="LB309" s="3"/>
      <c r="LC309" s="3"/>
      <c r="LD309" s="3"/>
      <c r="LE309" s="3"/>
      <c r="LF309" s="3"/>
      <c r="LG309" s="3"/>
      <c r="LH309" s="3"/>
      <c r="LI309" s="3"/>
      <c r="LJ309" s="3"/>
      <c r="LK309" s="3"/>
      <c r="LL309" s="3"/>
      <c r="LM309" s="3"/>
      <c r="LN309" s="3"/>
      <c r="LO309" s="3"/>
      <c r="LP309" s="3"/>
      <c r="LQ309" s="3"/>
      <c r="LR309" s="3"/>
      <c r="LS309" s="3"/>
      <c r="LT309" s="3"/>
      <c r="LU309" s="3"/>
      <c r="LV309" s="3"/>
      <c r="LW309" s="3"/>
      <c r="LX309" s="3"/>
      <c r="LY309" s="3"/>
      <c r="LZ309" s="3"/>
      <c r="MA309" s="3"/>
      <c r="MB309" s="3"/>
      <c r="MC309" s="3"/>
      <c r="MD309" s="3"/>
      <c r="ME309" s="3"/>
      <c r="MF309" s="3"/>
      <c r="MG309" s="3"/>
      <c r="MH309" s="3"/>
      <c r="MI309" s="3"/>
    </row>
    <row r="310" spans="1:347"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c r="HX310" s="3"/>
      <c r="HY310" s="3"/>
      <c r="HZ310" s="3"/>
      <c r="IA310" s="3"/>
      <c r="IB310" s="3"/>
      <c r="IC310" s="3"/>
      <c r="ID310" s="3"/>
      <c r="IE310" s="3"/>
      <c r="IF310" s="3"/>
      <c r="IG310" s="3"/>
      <c r="IH310" s="3"/>
      <c r="II310" s="3"/>
      <c r="IJ310" s="3"/>
      <c r="IK310" s="3"/>
      <c r="IL310" s="3"/>
      <c r="IM310" s="3"/>
      <c r="IN310" s="3"/>
      <c r="IO310" s="3"/>
      <c r="IP310" s="3"/>
      <c r="IQ310" s="3"/>
      <c r="IR310" s="3"/>
      <c r="IS310" s="3"/>
      <c r="IT310" s="3"/>
      <c r="IU310" s="3"/>
      <c r="IV310" s="3"/>
      <c r="IW310" s="3"/>
      <c r="IX310" s="3"/>
      <c r="IY310" s="3"/>
      <c r="IZ310" s="3"/>
      <c r="JA310" s="3"/>
      <c r="JB310" s="3"/>
      <c r="JC310" s="3"/>
      <c r="JD310" s="3"/>
      <c r="JE310" s="3"/>
      <c r="JF310" s="3"/>
      <c r="JG310" s="3"/>
      <c r="JH310" s="3"/>
      <c r="JI310" s="3"/>
      <c r="JJ310" s="3"/>
      <c r="JK310" s="3"/>
      <c r="JL310" s="3"/>
      <c r="JM310" s="3"/>
      <c r="JN310" s="3"/>
      <c r="JO310" s="3"/>
      <c r="JP310" s="3"/>
      <c r="JQ310" s="3"/>
      <c r="JR310" s="3"/>
      <c r="JS310" s="3"/>
      <c r="JT310" s="3"/>
      <c r="JU310" s="3"/>
      <c r="JV310" s="3"/>
      <c r="JW310" s="3"/>
      <c r="JX310" s="3"/>
      <c r="JY310" s="3"/>
      <c r="JZ310" s="3"/>
      <c r="KA310" s="3"/>
      <c r="KB310" s="3"/>
      <c r="KC310" s="3"/>
      <c r="KD310" s="3"/>
      <c r="KE310" s="3"/>
      <c r="KF310" s="3"/>
      <c r="KG310" s="3"/>
      <c r="KH310" s="3"/>
      <c r="KI310" s="3"/>
      <c r="KJ310" s="3"/>
      <c r="KK310" s="3"/>
      <c r="KL310" s="3"/>
      <c r="KM310" s="3"/>
      <c r="KN310" s="3"/>
      <c r="KO310" s="3"/>
      <c r="KP310" s="3"/>
      <c r="KQ310" s="3"/>
      <c r="KR310" s="3"/>
      <c r="KS310" s="3"/>
      <c r="KT310" s="3"/>
      <c r="KU310" s="3"/>
      <c r="KV310" s="3"/>
      <c r="KW310" s="3"/>
      <c r="KX310" s="3"/>
      <c r="KY310" s="3"/>
      <c r="KZ310" s="3"/>
      <c r="LA310" s="3"/>
      <c r="LB310" s="3"/>
      <c r="LC310" s="3"/>
      <c r="LD310" s="3"/>
      <c r="LE310" s="3"/>
      <c r="LF310" s="3"/>
      <c r="LG310" s="3"/>
      <c r="LH310" s="3"/>
      <c r="LI310" s="3"/>
      <c r="LJ310" s="3"/>
      <c r="LK310" s="3"/>
      <c r="LL310" s="3"/>
      <c r="LM310" s="3"/>
      <c r="LN310" s="3"/>
      <c r="LO310" s="3"/>
      <c r="LP310" s="3"/>
      <c r="LQ310" s="3"/>
      <c r="LR310" s="3"/>
      <c r="LS310" s="3"/>
      <c r="LT310" s="3"/>
      <c r="LU310" s="3"/>
      <c r="LV310" s="3"/>
      <c r="LW310" s="3"/>
      <c r="LX310" s="3"/>
      <c r="LY310" s="3"/>
      <c r="LZ310" s="3"/>
      <c r="MA310" s="3"/>
      <c r="MB310" s="3"/>
      <c r="MC310" s="3"/>
      <c r="MD310" s="3"/>
      <c r="ME310" s="3"/>
      <c r="MF310" s="3"/>
      <c r="MG310" s="3"/>
      <c r="MH310" s="3"/>
      <c r="MI310" s="3"/>
    </row>
    <row r="311" spans="1:347"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c r="HX311" s="3"/>
      <c r="HY311" s="3"/>
      <c r="HZ311" s="3"/>
      <c r="IA311" s="3"/>
      <c r="IB311" s="3"/>
      <c r="IC311" s="3"/>
      <c r="ID311" s="3"/>
      <c r="IE311" s="3"/>
      <c r="IF311" s="3"/>
      <c r="IG311" s="3"/>
      <c r="IH311" s="3"/>
      <c r="II311" s="3"/>
      <c r="IJ311" s="3"/>
      <c r="IK311" s="3"/>
      <c r="IL311" s="3"/>
      <c r="IM311" s="3"/>
      <c r="IN311" s="3"/>
      <c r="IO311" s="3"/>
      <c r="IP311" s="3"/>
      <c r="IQ311" s="3"/>
      <c r="IR311" s="3"/>
      <c r="IS311" s="3"/>
      <c r="IT311" s="3"/>
      <c r="IU311" s="3"/>
      <c r="IV311" s="3"/>
      <c r="IW311" s="3"/>
      <c r="IX311" s="3"/>
      <c r="IY311" s="3"/>
      <c r="IZ311" s="3"/>
      <c r="JA311" s="3"/>
      <c r="JB311" s="3"/>
      <c r="JC311" s="3"/>
      <c r="JD311" s="3"/>
      <c r="JE311" s="3"/>
      <c r="JF311" s="3"/>
      <c r="JG311" s="3"/>
      <c r="JH311" s="3"/>
      <c r="JI311" s="3"/>
      <c r="JJ311" s="3"/>
      <c r="JK311" s="3"/>
      <c r="JL311" s="3"/>
      <c r="JM311" s="3"/>
      <c r="JN311" s="3"/>
      <c r="JO311" s="3"/>
      <c r="JP311" s="3"/>
      <c r="JQ311" s="3"/>
      <c r="JR311" s="3"/>
      <c r="JS311" s="3"/>
      <c r="JT311" s="3"/>
      <c r="JU311" s="3"/>
      <c r="JV311" s="3"/>
      <c r="JW311" s="3"/>
      <c r="JX311" s="3"/>
      <c r="JY311" s="3"/>
      <c r="JZ311" s="3"/>
      <c r="KA311" s="3"/>
      <c r="KB311" s="3"/>
      <c r="KC311" s="3"/>
      <c r="KD311" s="3"/>
      <c r="KE311" s="3"/>
      <c r="KF311" s="3"/>
      <c r="KG311" s="3"/>
      <c r="KH311" s="3"/>
      <c r="KI311" s="3"/>
      <c r="KJ311" s="3"/>
      <c r="KK311" s="3"/>
      <c r="KL311" s="3"/>
      <c r="KM311" s="3"/>
      <c r="KN311" s="3"/>
      <c r="KO311" s="3"/>
      <c r="KP311" s="3"/>
      <c r="KQ311" s="3"/>
      <c r="KR311" s="3"/>
      <c r="KS311" s="3"/>
      <c r="KT311" s="3"/>
      <c r="KU311" s="3"/>
      <c r="KV311" s="3"/>
      <c r="KW311" s="3"/>
      <c r="KX311" s="3"/>
      <c r="KY311" s="3"/>
      <c r="KZ311" s="3"/>
      <c r="LA311" s="3"/>
      <c r="LB311" s="3"/>
      <c r="LC311" s="3"/>
      <c r="LD311" s="3"/>
      <c r="LE311" s="3"/>
      <c r="LF311" s="3"/>
      <c r="LG311" s="3"/>
      <c r="LH311" s="3"/>
      <c r="LI311" s="3"/>
      <c r="LJ311" s="3"/>
      <c r="LK311" s="3"/>
      <c r="LL311" s="3"/>
      <c r="LM311" s="3"/>
      <c r="LN311" s="3"/>
      <c r="LO311" s="3"/>
      <c r="LP311" s="3"/>
      <c r="LQ311" s="3"/>
      <c r="LR311" s="3"/>
      <c r="LS311" s="3"/>
      <c r="LT311" s="3"/>
      <c r="LU311" s="3"/>
      <c r="LV311" s="3"/>
      <c r="LW311" s="3"/>
      <c r="LX311" s="3"/>
      <c r="LY311" s="3"/>
      <c r="LZ311" s="3"/>
      <c r="MA311" s="3"/>
      <c r="MB311" s="3"/>
      <c r="MC311" s="3"/>
      <c r="MD311" s="3"/>
      <c r="ME311" s="3"/>
      <c r="MF311" s="3"/>
      <c r="MG311" s="3"/>
      <c r="MH311" s="3"/>
      <c r="MI311" s="3"/>
    </row>
    <row r="312" spans="1:347"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c r="HX312" s="3"/>
      <c r="HY312" s="3"/>
      <c r="HZ312" s="3"/>
      <c r="IA312" s="3"/>
      <c r="IB312" s="3"/>
      <c r="IC312" s="3"/>
      <c r="ID312" s="3"/>
      <c r="IE312" s="3"/>
      <c r="IF312" s="3"/>
      <c r="IG312" s="3"/>
      <c r="IH312" s="3"/>
      <c r="II312" s="3"/>
      <c r="IJ312" s="3"/>
      <c r="IK312" s="3"/>
      <c r="IL312" s="3"/>
      <c r="IM312" s="3"/>
      <c r="IN312" s="3"/>
      <c r="IO312" s="3"/>
      <c r="IP312" s="3"/>
      <c r="IQ312" s="3"/>
      <c r="IR312" s="3"/>
      <c r="IS312" s="3"/>
      <c r="IT312" s="3"/>
      <c r="IU312" s="3"/>
      <c r="IV312" s="3"/>
      <c r="IW312" s="3"/>
      <c r="IX312" s="3"/>
      <c r="IY312" s="3"/>
      <c r="IZ312" s="3"/>
      <c r="JA312" s="3"/>
      <c r="JB312" s="3"/>
      <c r="JC312" s="3"/>
      <c r="JD312" s="3"/>
      <c r="JE312" s="3"/>
      <c r="JF312" s="3"/>
      <c r="JG312" s="3"/>
      <c r="JH312" s="3"/>
      <c r="JI312" s="3"/>
      <c r="JJ312" s="3"/>
      <c r="JK312" s="3"/>
      <c r="JL312" s="3"/>
      <c r="JM312" s="3"/>
      <c r="JN312" s="3"/>
      <c r="JO312" s="3"/>
      <c r="JP312" s="3"/>
      <c r="JQ312" s="3"/>
      <c r="JR312" s="3"/>
      <c r="JS312" s="3"/>
      <c r="JT312" s="3"/>
      <c r="JU312" s="3"/>
      <c r="JV312" s="3"/>
      <c r="JW312" s="3"/>
      <c r="JX312" s="3"/>
      <c r="JY312" s="3"/>
      <c r="JZ312" s="3"/>
      <c r="KA312" s="3"/>
      <c r="KB312" s="3"/>
      <c r="KC312" s="3"/>
      <c r="KD312" s="3"/>
      <c r="KE312" s="3"/>
      <c r="KF312" s="3"/>
      <c r="KG312" s="3"/>
      <c r="KH312" s="3"/>
      <c r="KI312" s="3"/>
      <c r="KJ312" s="3"/>
      <c r="KK312" s="3"/>
      <c r="KL312" s="3"/>
      <c r="KM312" s="3"/>
      <c r="KN312" s="3"/>
      <c r="KO312" s="3"/>
      <c r="KP312" s="3"/>
      <c r="KQ312" s="3"/>
      <c r="KR312" s="3"/>
      <c r="KS312" s="3"/>
      <c r="KT312" s="3"/>
      <c r="KU312" s="3"/>
      <c r="KV312" s="3"/>
      <c r="KW312" s="3"/>
      <c r="KX312" s="3"/>
      <c r="KY312" s="3"/>
      <c r="KZ312" s="3"/>
      <c r="LA312" s="3"/>
      <c r="LB312" s="3"/>
      <c r="LC312" s="3"/>
      <c r="LD312" s="3"/>
      <c r="LE312" s="3"/>
      <c r="LF312" s="3"/>
      <c r="LG312" s="3"/>
      <c r="LH312" s="3"/>
      <c r="LI312" s="3"/>
      <c r="LJ312" s="3"/>
      <c r="LK312" s="3"/>
      <c r="LL312" s="3"/>
      <c r="LM312" s="3"/>
      <c r="LN312" s="3"/>
      <c r="LO312" s="3"/>
      <c r="LP312" s="3"/>
      <c r="LQ312" s="3"/>
      <c r="LR312" s="3"/>
      <c r="LS312" s="3"/>
      <c r="LT312" s="3"/>
      <c r="LU312" s="3"/>
      <c r="LV312" s="3"/>
      <c r="LW312" s="3"/>
      <c r="LX312" s="3"/>
      <c r="LY312" s="3"/>
      <c r="LZ312" s="3"/>
      <c r="MA312" s="3"/>
      <c r="MB312" s="3"/>
      <c r="MC312" s="3"/>
      <c r="MD312" s="3"/>
      <c r="ME312" s="3"/>
      <c r="MF312" s="3"/>
      <c r="MG312" s="3"/>
      <c r="MH312" s="3"/>
      <c r="MI312" s="3"/>
    </row>
    <row r="313" spans="1:347"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c r="HX313" s="3"/>
      <c r="HY313" s="3"/>
      <c r="HZ313" s="3"/>
      <c r="IA313" s="3"/>
      <c r="IB313" s="3"/>
      <c r="IC313" s="3"/>
      <c r="ID313" s="3"/>
      <c r="IE313" s="3"/>
      <c r="IF313" s="3"/>
      <c r="IG313" s="3"/>
      <c r="IH313" s="3"/>
      <c r="II313" s="3"/>
      <c r="IJ313" s="3"/>
      <c r="IK313" s="3"/>
      <c r="IL313" s="3"/>
      <c r="IM313" s="3"/>
      <c r="IN313" s="3"/>
      <c r="IO313" s="3"/>
      <c r="IP313" s="3"/>
      <c r="IQ313" s="3"/>
      <c r="IR313" s="3"/>
      <c r="IS313" s="3"/>
      <c r="IT313" s="3"/>
      <c r="IU313" s="3"/>
      <c r="IV313" s="3"/>
      <c r="IW313" s="3"/>
      <c r="IX313" s="3"/>
      <c r="IY313" s="3"/>
      <c r="IZ313" s="3"/>
      <c r="JA313" s="3"/>
      <c r="JB313" s="3"/>
      <c r="JC313" s="3"/>
      <c r="JD313" s="3"/>
      <c r="JE313" s="3"/>
      <c r="JF313" s="3"/>
      <c r="JG313" s="3"/>
      <c r="JH313" s="3"/>
      <c r="JI313" s="3"/>
      <c r="JJ313" s="3"/>
      <c r="JK313" s="3"/>
      <c r="JL313" s="3"/>
      <c r="JM313" s="3"/>
      <c r="JN313" s="3"/>
      <c r="JO313" s="3"/>
      <c r="JP313" s="3"/>
      <c r="JQ313" s="3"/>
      <c r="JR313" s="3"/>
      <c r="JS313" s="3"/>
      <c r="JT313" s="3"/>
      <c r="JU313" s="3"/>
      <c r="JV313" s="3"/>
      <c r="JW313" s="3"/>
      <c r="JX313" s="3"/>
      <c r="JY313" s="3"/>
      <c r="JZ313" s="3"/>
      <c r="KA313" s="3"/>
      <c r="KB313" s="3"/>
      <c r="KC313" s="3"/>
      <c r="KD313" s="3"/>
      <c r="KE313" s="3"/>
      <c r="KF313" s="3"/>
      <c r="KG313" s="3"/>
      <c r="KH313" s="3"/>
      <c r="KI313" s="3"/>
      <c r="KJ313" s="3"/>
      <c r="KK313" s="3"/>
      <c r="KL313" s="3"/>
      <c r="KM313" s="3"/>
      <c r="KN313" s="3"/>
      <c r="KO313" s="3"/>
      <c r="KP313" s="3"/>
      <c r="KQ313" s="3"/>
      <c r="KR313" s="3"/>
      <c r="KS313" s="3"/>
      <c r="KT313" s="3"/>
      <c r="KU313" s="3"/>
      <c r="KV313" s="3"/>
      <c r="KW313" s="3"/>
      <c r="KX313" s="3"/>
      <c r="KY313" s="3"/>
      <c r="KZ313" s="3"/>
      <c r="LA313" s="3"/>
      <c r="LB313" s="3"/>
      <c r="LC313" s="3"/>
      <c r="LD313" s="3"/>
      <c r="LE313" s="3"/>
      <c r="LF313" s="3"/>
      <c r="LG313" s="3"/>
      <c r="LH313" s="3"/>
      <c r="LI313" s="3"/>
      <c r="LJ313" s="3"/>
      <c r="LK313" s="3"/>
      <c r="LL313" s="3"/>
      <c r="LM313" s="3"/>
      <c r="LN313" s="3"/>
      <c r="LO313" s="3"/>
      <c r="LP313" s="3"/>
      <c r="LQ313" s="3"/>
      <c r="LR313" s="3"/>
      <c r="LS313" s="3"/>
      <c r="LT313" s="3"/>
      <c r="LU313" s="3"/>
      <c r="LV313" s="3"/>
      <c r="LW313" s="3"/>
      <c r="LX313" s="3"/>
      <c r="LY313" s="3"/>
      <c r="LZ313" s="3"/>
      <c r="MA313" s="3"/>
      <c r="MB313" s="3"/>
      <c r="MC313" s="3"/>
      <c r="MD313" s="3"/>
      <c r="ME313" s="3"/>
      <c r="MF313" s="3"/>
      <c r="MG313" s="3"/>
      <c r="MH313" s="3"/>
      <c r="MI313" s="3"/>
    </row>
    <row r="314" spans="1:347"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c r="HX314" s="3"/>
      <c r="HY314" s="3"/>
      <c r="HZ314" s="3"/>
      <c r="IA314" s="3"/>
      <c r="IB314" s="3"/>
      <c r="IC314" s="3"/>
      <c r="ID314" s="3"/>
      <c r="IE314" s="3"/>
      <c r="IF314" s="3"/>
      <c r="IG314" s="3"/>
      <c r="IH314" s="3"/>
      <c r="II314" s="3"/>
      <c r="IJ314" s="3"/>
      <c r="IK314" s="3"/>
      <c r="IL314" s="3"/>
      <c r="IM314" s="3"/>
      <c r="IN314" s="3"/>
      <c r="IO314" s="3"/>
      <c r="IP314" s="3"/>
      <c r="IQ314" s="3"/>
      <c r="IR314" s="3"/>
      <c r="IS314" s="3"/>
      <c r="IT314" s="3"/>
      <c r="IU314" s="3"/>
      <c r="IV314" s="3"/>
      <c r="IW314" s="3"/>
      <c r="IX314" s="3"/>
      <c r="IY314" s="3"/>
      <c r="IZ314" s="3"/>
      <c r="JA314" s="3"/>
      <c r="JB314" s="3"/>
      <c r="JC314" s="3"/>
      <c r="JD314" s="3"/>
      <c r="JE314" s="3"/>
      <c r="JF314" s="3"/>
      <c r="JG314" s="3"/>
      <c r="JH314" s="3"/>
      <c r="JI314" s="3"/>
      <c r="JJ314" s="3"/>
      <c r="JK314" s="3"/>
      <c r="JL314" s="3"/>
      <c r="JM314" s="3"/>
      <c r="JN314" s="3"/>
      <c r="JO314" s="3"/>
      <c r="JP314" s="3"/>
      <c r="JQ314" s="3"/>
      <c r="JR314" s="3"/>
      <c r="JS314" s="3"/>
      <c r="JT314" s="3"/>
      <c r="JU314" s="3"/>
      <c r="JV314" s="3"/>
      <c r="JW314" s="3"/>
      <c r="JX314" s="3"/>
      <c r="JY314" s="3"/>
      <c r="JZ314" s="3"/>
      <c r="KA314" s="3"/>
      <c r="KB314" s="3"/>
      <c r="KC314" s="3"/>
      <c r="KD314" s="3"/>
      <c r="KE314" s="3"/>
      <c r="KF314" s="3"/>
      <c r="KG314" s="3"/>
      <c r="KH314" s="3"/>
      <c r="KI314" s="3"/>
      <c r="KJ314" s="3"/>
      <c r="KK314" s="3"/>
      <c r="KL314" s="3"/>
      <c r="KM314" s="3"/>
      <c r="KN314" s="3"/>
      <c r="KO314" s="3"/>
      <c r="KP314" s="3"/>
      <c r="KQ314" s="3"/>
      <c r="KR314" s="3"/>
      <c r="KS314" s="3"/>
      <c r="KT314" s="3"/>
      <c r="KU314" s="3"/>
      <c r="KV314" s="3"/>
      <c r="KW314" s="3"/>
      <c r="KX314" s="3"/>
      <c r="KY314" s="3"/>
      <c r="KZ314" s="3"/>
      <c r="LA314" s="3"/>
      <c r="LB314" s="3"/>
      <c r="LC314" s="3"/>
      <c r="LD314" s="3"/>
      <c r="LE314" s="3"/>
      <c r="LF314" s="3"/>
      <c r="LG314" s="3"/>
      <c r="LH314" s="3"/>
      <c r="LI314" s="3"/>
      <c r="LJ314" s="3"/>
      <c r="LK314" s="3"/>
      <c r="LL314" s="3"/>
      <c r="LM314" s="3"/>
      <c r="LN314" s="3"/>
      <c r="LO314" s="3"/>
      <c r="LP314" s="3"/>
      <c r="LQ314" s="3"/>
      <c r="LR314" s="3"/>
      <c r="LS314" s="3"/>
      <c r="LT314" s="3"/>
      <c r="LU314" s="3"/>
      <c r="LV314" s="3"/>
      <c r="LW314" s="3"/>
      <c r="LX314" s="3"/>
      <c r="LY314" s="3"/>
      <c r="LZ314" s="3"/>
      <c r="MA314" s="3"/>
      <c r="MB314" s="3"/>
      <c r="MC314" s="3"/>
      <c r="MD314" s="3"/>
      <c r="ME314" s="3"/>
      <c r="MF314" s="3"/>
      <c r="MG314" s="3"/>
      <c r="MH314" s="3"/>
      <c r="MI314" s="3"/>
    </row>
    <row r="315" spans="1:347"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c r="HX315" s="3"/>
      <c r="HY315" s="3"/>
      <c r="HZ315" s="3"/>
      <c r="IA315" s="3"/>
      <c r="IB315" s="3"/>
      <c r="IC315" s="3"/>
      <c r="ID315" s="3"/>
      <c r="IE315" s="3"/>
      <c r="IF315" s="3"/>
      <c r="IG315" s="3"/>
      <c r="IH315" s="3"/>
      <c r="II315" s="3"/>
      <c r="IJ315" s="3"/>
      <c r="IK315" s="3"/>
      <c r="IL315" s="3"/>
      <c r="IM315" s="3"/>
      <c r="IN315" s="3"/>
      <c r="IO315" s="3"/>
      <c r="IP315" s="3"/>
      <c r="IQ315" s="3"/>
      <c r="IR315" s="3"/>
      <c r="IS315" s="3"/>
      <c r="IT315" s="3"/>
      <c r="IU315" s="3"/>
      <c r="IV315" s="3"/>
      <c r="IW315" s="3"/>
      <c r="IX315" s="3"/>
      <c r="IY315" s="3"/>
      <c r="IZ315" s="3"/>
      <c r="JA315" s="3"/>
      <c r="JB315" s="3"/>
      <c r="JC315" s="3"/>
      <c r="JD315" s="3"/>
      <c r="JE315" s="3"/>
      <c r="JF315" s="3"/>
      <c r="JG315" s="3"/>
      <c r="JH315" s="3"/>
      <c r="JI315" s="3"/>
      <c r="JJ315" s="3"/>
      <c r="JK315" s="3"/>
      <c r="JL315" s="3"/>
      <c r="JM315" s="3"/>
      <c r="JN315" s="3"/>
      <c r="JO315" s="3"/>
      <c r="JP315" s="3"/>
      <c r="JQ315" s="3"/>
      <c r="JR315" s="3"/>
      <c r="JS315" s="3"/>
      <c r="JT315" s="3"/>
      <c r="JU315" s="3"/>
      <c r="JV315" s="3"/>
      <c r="JW315" s="3"/>
      <c r="JX315" s="3"/>
      <c r="JY315" s="3"/>
      <c r="JZ315" s="3"/>
      <c r="KA315" s="3"/>
      <c r="KB315" s="3"/>
      <c r="KC315" s="3"/>
      <c r="KD315" s="3"/>
      <c r="KE315" s="3"/>
      <c r="KF315" s="3"/>
      <c r="KG315" s="3"/>
      <c r="KH315" s="3"/>
      <c r="KI315" s="3"/>
      <c r="KJ315" s="3"/>
      <c r="KK315" s="3"/>
      <c r="KL315" s="3"/>
      <c r="KM315" s="3"/>
      <c r="KN315" s="3"/>
      <c r="KO315" s="3"/>
      <c r="KP315" s="3"/>
      <c r="KQ315" s="3"/>
      <c r="KR315" s="3"/>
      <c r="KS315" s="3"/>
      <c r="KT315" s="3"/>
      <c r="KU315" s="3"/>
      <c r="KV315" s="3"/>
      <c r="KW315" s="3"/>
      <c r="KX315" s="3"/>
      <c r="KY315" s="3"/>
      <c r="KZ315" s="3"/>
      <c r="LA315" s="3"/>
      <c r="LB315" s="3"/>
      <c r="LC315" s="3"/>
      <c r="LD315" s="3"/>
      <c r="LE315" s="3"/>
      <c r="LF315" s="3"/>
      <c r="LG315" s="3"/>
      <c r="LH315" s="3"/>
      <c r="LI315" s="3"/>
      <c r="LJ315" s="3"/>
      <c r="LK315" s="3"/>
      <c r="LL315" s="3"/>
      <c r="LM315" s="3"/>
      <c r="LN315" s="3"/>
      <c r="LO315" s="3"/>
      <c r="LP315" s="3"/>
      <c r="LQ315" s="3"/>
      <c r="LR315" s="3"/>
      <c r="LS315" s="3"/>
      <c r="LT315" s="3"/>
      <c r="LU315" s="3"/>
      <c r="LV315" s="3"/>
      <c r="LW315" s="3"/>
      <c r="LX315" s="3"/>
      <c r="LY315" s="3"/>
      <c r="LZ315" s="3"/>
      <c r="MA315" s="3"/>
      <c r="MB315" s="3"/>
      <c r="MC315" s="3"/>
      <c r="MD315" s="3"/>
      <c r="ME315" s="3"/>
      <c r="MF315" s="3"/>
      <c r="MG315" s="3"/>
      <c r="MH315" s="3"/>
      <c r="MI315" s="3"/>
    </row>
    <row r="316" spans="1:347"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c r="HX316" s="3"/>
      <c r="HY316" s="3"/>
      <c r="HZ316" s="3"/>
      <c r="IA316" s="3"/>
      <c r="IB316" s="3"/>
      <c r="IC316" s="3"/>
      <c r="ID316" s="3"/>
      <c r="IE316" s="3"/>
      <c r="IF316" s="3"/>
      <c r="IG316" s="3"/>
      <c r="IH316" s="3"/>
      <c r="II316" s="3"/>
      <c r="IJ316" s="3"/>
      <c r="IK316" s="3"/>
      <c r="IL316" s="3"/>
      <c r="IM316" s="3"/>
      <c r="IN316" s="3"/>
      <c r="IO316" s="3"/>
      <c r="IP316" s="3"/>
      <c r="IQ316" s="3"/>
      <c r="IR316" s="3"/>
      <c r="IS316" s="3"/>
      <c r="IT316" s="3"/>
      <c r="IU316" s="3"/>
      <c r="IV316" s="3"/>
      <c r="IW316" s="3"/>
      <c r="IX316" s="3"/>
      <c r="IY316" s="3"/>
      <c r="IZ316" s="3"/>
      <c r="JA316" s="3"/>
      <c r="JB316" s="3"/>
      <c r="JC316" s="3"/>
      <c r="JD316" s="3"/>
      <c r="JE316" s="3"/>
      <c r="JF316" s="3"/>
      <c r="JG316" s="3"/>
      <c r="JH316" s="3"/>
      <c r="JI316" s="3"/>
      <c r="JJ316" s="3"/>
      <c r="JK316" s="3"/>
      <c r="JL316" s="3"/>
      <c r="JM316" s="3"/>
      <c r="JN316" s="3"/>
      <c r="JO316" s="3"/>
      <c r="JP316" s="3"/>
      <c r="JQ316" s="3"/>
      <c r="JR316" s="3"/>
      <c r="JS316" s="3"/>
      <c r="JT316" s="3"/>
      <c r="JU316" s="3"/>
      <c r="JV316" s="3"/>
      <c r="JW316" s="3"/>
      <c r="JX316" s="3"/>
      <c r="JY316" s="3"/>
      <c r="JZ316" s="3"/>
      <c r="KA316" s="3"/>
      <c r="KB316" s="3"/>
      <c r="KC316" s="3"/>
      <c r="KD316" s="3"/>
      <c r="KE316" s="3"/>
      <c r="KF316" s="3"/>
      <c r="KG316" s="3"/>
      <c r="KH316" s="3"/>
      <c r="KI316" s="3"/>
      <c r="KJ316" s="3"/>
      <c r="KK316" s="3"/>
      <c r="KL316" s="3"/>
      <c r="KM316" s="3"/>
      <c r="KN316" s="3"/>
      <c r="KO316" s="3"/>
      <c r="KP316" s="3"/>
      <c r="KQ316" s="3"/>
      <c r="KR316" s="3"/>
      <c r="KS316" s="3"/>
      <c r="KT316" s="3"/>
      <c r="KU316" s="3"/>
      <c r="KV316" s="3"/>
      <c r="KW316" s="3"/>
      <c r="KX316" s="3"/>
      <c r="KY316" s="3"/>
      <c r="KZ316" s="3"/>
      <c r="LA316" s="3"/>
      <c r="LB316" s="3"/>
      <c r="LC316" s="3"/>
      <c r="LD316" s="3"/>
      <c r="LE316" s="3"/>
      <c r="LF316" s="3"/>
      <c r="LG316" s="3"/>
      <c r="LH316" s="3"/>
      <c r="LI316" s="3"/>
      <c r="LJ316" s="3"/>
      <c r="LK316" s="3"/>
      <c r="LL316" s="3"/>
      <c r="LM316" s="3"/>
      <c r="LN316" s="3"/>
      <c r="LO316" s="3"/>
      <c r="LP316" s="3"/>
      <c r="LQ316" s="3"/>
      <c r="LR316" s="3"/>
      <c r="LS316" s="3"/>
      <c r="LT316" s="3"/>
      <c r="LU316" s="3"/>
      <c r="LV316" s="3"/>
      <c r="LW316" s="3"/>
      <c r="LX316" s="3"/>
      <c r="LY316" s="3"/>
      <c r="LZ316" s="3"/>
      <c r="MA316" s="3"/>
      <c r="MB316" s="3"/>
      <c r="MC316" s="3"/>
      <c r="MD316" s="3"/>
      <c r="ME316" s="3"/>
      <c r="MF316" s="3"/>
      <c r="MG316" s="3"/>
      <c r="MH316" s="3"/>
      <c r="MI316" s="3"/>
    </row>
    <row r="317" spans="1:347"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c r="HX317" s="3"/>
      <c r="HY317" s="3"/>
      <c r="HZ317" s="3"/>
      <c r="IA317" s="3"/>
      <c r="IB317" s="3"/>
      <c r="IC317" s="3"/>
      <c r="ID317" s="3"/>
      <c r="IE317" s="3"/>
      <c r="IF317" s="3"/>
      <c r="IG317" s="3"/>
      <c r="IH317" s="3"/>
      <c r="II317" s="3"/>
      <c r="IJ317" s="3"/>
      <c r="IK317" s="3"/>
      <c r="IL317" s="3"/>
      <c r="IM317" s="3"/>
      <c r="IN317" s="3"/>
      <c r="IO317" s="3"/>
      <c r="IP317" s="3"/>
      <c r="IQ317" s="3"/>
      <c r="IR317" s="3"/>
      <c r="IS317" s="3"/>
      <c r="IT317" s="3"/>
      <c r="IU317" s="3"/>
      <c r="IV317" s="3"/>
      <c r="IW317" s="3"/>
      <c r="IX317" s="3"/>
      <c r="IY317" s="3"/>
      <c r="IZ317" s="3"/>
      <c r="JA317" s="3"/>
      <c r="JB317" s="3"/>
      <c r="JC317" s="3"/>
      <c r="JD317" s="3"/>
      <c r="JE317" s="3"/>
      <c r="JF317" s="3"/>
      <c r="JG317" s="3"/>
      <c r="JH317" s="3"/>
      <c r="JI317" s="3"/>
      <c r="JJ317" s="3"/>
      <c r="JK317" s="3"/>
      <c r="JL317" s="3"/>
      <c r="JM317" s="3"/>
      <c r="JN317" s="3"/>
      <c r="JO317" s="3"/>
      <c r="JP317" s="3"/>
      <c r="JQ317" s="3"/>
      <c r="JR317" s="3"/>
      <c r="JS317" s="3"/>
      <c r="JT317" s="3"/>
      <c r="JU317" s="3"/>
      <c r="JV317" s="3"/>
      <c r="JW317" s="3"/>
      <c r="JX317" s="3"/>
      <c r="JY317" s="3"/>
      <c r="JZ317" s="3"/>
      <c r="KA317" s="3"/>
      <c r="KB317" s="3"/>
      <c r="KC317" s="3"/>
      <c r="KD317" s="3"/>
      <c r="KE317" s="3"/>
      <c r="KF317" s="3"/>
      <c r="KG317" s="3"/>
      <c r="KH317" s="3"/>
      <c r="KI317" s="3"/>
      <c r="KJ317" s="3"/>
      <c r="KK317" s="3"/>
      <c r="KL317" s="3"/>
      <c r="KM317" s="3"/>
      <c r="KN317" s="3"/>
      <c r="KO317" s="3"/>
      <c r="KP317" s="3"/>
      <c r="KQ317" s="3"/>
      <c r="KR317" s="3"/>
      <c r="KS317" s="3"/>
      <c r="KT317" s="3"/>
      <c r="KU317" s="3"/>
      <c r="KV317" s="3"/>
      <c r="KW317" s="3"/>
      <c r="KX317" s="3"/>
      <c r="KY317" s="3"/>
      <c r="KZ317" s="3"/>
      <c r="LA317" s="3"/>
      <c r="LB317" s="3"/>
      <c r="LC317" s="3"/>
      <c r="LD317" s="3"/>
      <c r="LE317" s="3"/>
      <c r="LF317" s="3"/>
      <c r="LG317" s="3"/>
      <c r="LH317" s="3"/>
      <c r="LI317" s="3"/>
      <c r="LJ317" s="3"/>
      <c r="LK317" s="3"/>
      <c r="LL317" s="3"/>
      <c r="LM317" s="3"/>
      <c r="LN317" s="3"/>
      <c r="LO317" s="3"/>
      <c r="LP317" s="3"/>
      <c r="LQ317" s="3"/>
      <c r="LR317" s="3"/>
      <c r="LS317" s="3"/>
      <c r="LT317" s="3"/>
      <c r="LU317" s="3"/>
      <c r="LV317" s="3"/>
      <c r="LW317" s="3"/>
      <c r="LX317" s="3"/>
      <c r="LY317" s="3"/>
      <c r="LZ317" s="3"/>
      <c r="MA317" s="3"/>
      <c r="MB317" s="3"/>
      <c r="MC317" s="3"/>
      <c r="MD317" s="3"/>
      <c r="ME317" s="3"/>
      <c r="MF317" s="3"/>
      <c r="MG317" s="3"/>
      <c r="MH317" s="3"/>
      <c r="MI317" s="3"/>
    </row>
    <row r="318" spans="1:347"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c r="HX318" s="3"/>
      <c r="HY318" s="3"/>
      <c r="HZ318" s="3"/>
      <c r="IA318" s="3"/>
      <c r="IB318" s="3"/>
      <c r="IC318" s="3"/>
      <c r="ID318" s="3"/>
      <c r="IE318" s="3"/>
      <c r="IF318" s="3"/>
      <c r="IG318" s="3"/>
      <c r="IH318" s="3"/>
      <c r="II318" s="3"/>
      <c r="IJ318" s="3"/>
      <c r="IK318" s="3"/>
      <c r="IL318" s="3"/>
      <c r="IM318" s="3"/>
      <c r="IN318" s="3"/>
      <c r="IO318" s="3"/>
      <c r="IP318" s="3"/>
      <c r="IQ318" s="3"/>
      <c r="IR318" s="3"/>
      <c r="IS318" s="3"/>
      <c r="IT318" s="3"/>
      <c r="IU318" s="3"/>
      <c r="IV318" s="3"/>
      <c r="IW318" s="3"/>
      <c r="IX318" s="3"/>
      <c r="IY318" s="3"/>
      <c r="IZ318" s="3"/>
      <c r="JA318" s="3"/>
      <c r="JB318" s="3"/>
      <c r="JC318" s="3"/>
      <c r="JD318" s="3"/>
      <c r="JE318" s="3"/>
      <c r="JF318" s="3"/>
      <c r="JG318" s="3"/>
      <c r="JH318" s="3"/>
      <c r="JI318" s="3"/>
      <c r="JJ318" s="3"/>
      <c r="JK318" s="3"/>
      <c r="JL318" s="3"/>
      <c r="JM318" s="3"/>
      <c r="JN318" s="3"/>
      <c r="JO318" s="3"/>
      <c r="JP318" s="3"/>
      <c r="JQ318" s="3"/>
      <c r="JR318" s="3"/>
      <c r="JS318" s="3"/>
      <c r="JT318" s="3"/>
      <c r="JU318" s="3"/>
      <c r="JV318" s="3"/>
      <c r="JW318" s="3"/>
      <c r="JX318" s="3"/>
      <c r="JY318" s="3"/>
      <c r="JZ318" s="3"/>
      <c r="KA318" s="3"/>
      <c r="KB318" s="3"/>
      <c r="KC318" s="3"/>
      <c r="KD318" s="3"/>
      <c r="KE318" s="3"/>
      <c r="KF318" s="3"/>
      <c r="KG318" s="3"/>
      <c r="KH318" s="3"/>
      <c r="KI318" s="3"/>
      <c r="KJ318" s="3"/>
      <c r="KK318" s="3"/>
      <c r="KL318" s="3"/>
      <c r="KM318" s="3"/>
      <c r="KN318" s="3"/>
      <c r="KO318" s="3"/>
      <c r="KP318" s="3"/>
      <c r="KQ318" s="3"/>
      <c r="KR318" s="3"/>
      <c r="KS318" s="3"/>
      <c r="KT318" s="3"/>
      <c r="KU318" s="3"/>
      <c r="KV318" s="3"/>
      <c r="KW318" s="3"/>
      <c r="KX318" s="3"/>
      <c r="KY318" s="3"/>
      <c r="KZ318" s="3"/>
      <c r="LA318" s="3"/>
      <c r="LB318" s="3"/>
      <c r="LC318" s="3"/>
      <c r="LD318" s="3"/>
      <c r="LE318" s="3"/>
      <c r="LF318" s="3"/>
      <c r="LG318" s="3"/>
      <c r="LH318" s="3"/>
      <c r="LI318" s="3"/>
      <c r="LJ318" s="3"/>
      <c r="LK318" s="3"/>
      <c r="LL318" s="3"/>
      <c r="LM318" s="3"/>
      <c r="LN318" s="3"/>
      <c r="LO318" s="3"/>
      <c r="LP318" s="3"/>
      <c r="LQ318" s="3"/>
      <c r="LR318" s="3"/>
      <c r="LS318" s="3"/>
      <c r="LT318" s="3"/>
      <c r="LU318" s="3"/>
      <c r="LV318" s="3"/>
      <c r="LW318" s="3"/>
      <c r="LX318" s="3"/>
      <c r="LY318" s="3"/>
      <c r="LZ318" s="3"/>
      <c r="MA318" s="3"/>
      <c r="MB318" s="3"/>
      <c r="MC318" s="3"/>
      <c r="MD318" s="3"/>
      <c r="ME318" s="3"/>
      <c r="MF318" s="3"/>
      <c r="MG318" s="3"/>
      <c r="MH318" s="3"/>
      <c r="MI318" s="3"/>
    </row>
    <row r="319" spans="1:347"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c r="HX319" s="3"/>
      <c r="HY319" s="3"/>
      <c r="HZ319" s="3"/>
      <c r="IA319" s="3"/>
      <c r="IB319" s="3"/>
      <c r="IC319" s="3"/>
      <c r="ID319" s="3"/>
      <c r="IE319" s="3"/>
      <c r="IF319" s="3"/>
      <c r="IG319" s="3"/>
      <c r="IH319" s="3"/>
      <c r="II319" s="3"/>
      <c r="IJ319" s="3"/>
      <c r="IK319" s="3"/>
      <c r="IL319" s="3"/>
      <c r="IM319" s="3"/>
      <c r="IN319" s="3"/>
      <c r="IO319" s="3"/>
      <c r="IP319" s="3"/>
      <c r="IQ319" s="3"/>
      <c r="IR319" s="3"/>
      <c r="IS319" s="3"/>
      <c r="IT319" s="3"/>
      <c r="IU319" s="3"/>
      <c r="IV319" s="3"/>
      <c r="IW319" s="3"/>
      <c r="IX319" s="3"/>
      <c r="IY319" s="3"/>
      <c r="IZ319" s="3"/>
      <c r="JA319" s="3"/>
      <c r="JB319" s="3"/>
      <c r="JC319" s="3"/>
      <c r="JD319" s="3"/>
      <c r="JE319" s="3"/>
      <c r="JF319" s="3"/>
      <c r="JG319" s="3"/>
      <c r="JH319" s="3"/>
      <c r="JI319" s="3"/>
      <c r="JJ319" s="3"/>
      <c r="JK319" s="3"/>
      <c r="JL319" s="3"/>
      <c r="JM319" s="3"/>
      <c r="JN319" s="3"/>
      <c r="JO319" s="3"/>
      <c r="JP319" s="3"/>
      <c r="JQ319" s="3"/>
      <c r="JR319" s="3"/>
      <c r="JS319" s="3"/>
      <c r="JT319" s="3"/>
      <c r="JU319" s="3"/>
      <c r="JV319" s="3"/>
      <c r="JW319" s="3"/>
      <c r="JX319" s="3"/>
      <c r="JY319" s="3"/>
      <c r="JZ319" s="3"/>
      <c r="KA319" s="3"/>
      <c r="KB319" s="3"/>
      <c r="KC319" s="3"/>
      <c r="KD319" s="3"/>
      <c r="KE319" s="3"/>
      <c r="KF319" s="3"/>
      <c r="KG319" s="3"/>
      <c r="KH319" s="3"/>
      <c r="KI319" s="3"/>
      <c r="KJ319" s="3"/>
      <c r="KK319" s="3"/>
      <c r="KL319" s="3"/>
      <c r="KM319" s="3"/>
      <c r="KN319" s="3"/>
      <c r="KO319" s="3"/>
      <c r="KP319" s="3"/>
      <c r="KQ319" s="3"/>
      <c r="KR319" s="3"/>
      <c r="KS319" s="3"/>
      <c r="KT319" s="3"/>
      <c r="KU319" s="3"/>
      <c r="KV319" s="3"/>
      <c r="KW319" s="3"/>
      <c r="KX319" s="3"/>
      <c r="KY319" s="3"/>
      <c r="KZ319" s="3"/>
      <c r="LA319" s="3"/>
      <c r="LB319" s="3"/>
      <c r="LC319" s="3"/>
      <c r="LD319" s="3"/>
      <c r="LE319" s="3"/>
      <c r="LF319" s="3"/>
      <c r="LG319" s="3"/>
      <c r="LH319" s="3"/>
      <c r="LI319" s="3"/>
      <c r="LJ319" s="3"/>
      <c r="LK319" s="3"/>
      <c r="LL319" s="3"/>
      <c r="LM319" s="3"/>
      <c r="LN319" s="3"/>
      <c r="LO319" s="3"/>
      <c r="LP319" s="3"/>
      <c r="LQ319" s="3"/>
      <c r="LR319" s="3"/>
      <c r="LS319" s="3"/>
      <c r="LT319" s="3"/>
      <c r="LU319" s="3"/>
      <c r="LV319" s="3"/>
      <c r="LW319" s="3"/>
      <c r="LX319" s="3"/>
      <c r="LY319" s="3"/>
      <c r="LZ319" s="3"/>
      <c r="MA319" s="3"/>
      <c r="MB319" s="3"/>
      <c r="MC319" s="3"/>
      <c r="MD319" s="3"/>
      <c r="ME319" s="3"/>
      <c r="MF319" s="3"/>
      <c r="MG319" s="3"/>
      <c r="MH319" s="3"/>
      <c r="MI319" s="3"/>
    </row>
    <row r="320" spans="1:347"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c r="HX320" s="3"/>
      <c r="HY320" s="3"/>
      <c r="HZ320" s="3"/>
      <c r="IA320" s="3"/>
      <c r="IB320" s="3"/>
      <c r="IC320" s="3"/>
      <c r="ID320" s="3"/>
      <c r="IE320" s="3"/>
      <c r="IF320" s="3"/>
      <c r="IG320" s="3"/>
      <c r="IH320" s="3"/>
      <c r="II320" s="3"/>
      <c r="IJ320" s="3"/>
      <c r="IK320" s="3"/>
      <c r="IL320" s="3"/>
      <c r="IM320" s="3"/>
      <c r="IN320" s="3"/>
      <c r="IO320" s="3"/>
      <c r="IP320" s="3"/>
      <c r="IQ320" s="3"/>
      <c r="IR320" s="3"/>
      <c r="IS320" s="3"/>
      <c r="IT320" s="3"/>
      <c r="IU320" s="3"/>
      <c r="IV320" s="3"/>
      <c r="IW320" s="3"/>
      <c r="IX320" s="3"/>
      <c r="IY320" s="3"/>
      <c r="IZ320" s="3"/>
      <c r="JA320" s="3"/>
      <c r="JB320" s="3"/>
      <c r="JC320" s="3"/>
      <c r="JD320" s="3"/>
      <c r="JE320" s="3"/>
      <c r="JF320" s="3"/>
      <c r="JG320" s="3"/>
      <c r="JH320" s="3"/>
      <c r="JI320" s="3"/>
      <c r="JJ320" s="3"/>
      <c r="JK320" s="3"/>
      <c r="JL320" s="3"/>
      <c r="JM320" s="3"/>
      <c r="JN320" s="3"/>
      <c r="JO320" s="3"/>
      <c r="JP320" s="3"/>
      <c r="JQ320" s="3"/>
      <c r="JR320" s="3"/>
      <c r="JS320" s="3"/>
      <c r="JT320" s="3"/>
      <c r="JU320" s="3"/>
      <c r="JV320" s="3"/>
      <c r="JW320" s="3"/>
      <c r="JX320" s="3"/>
      <c r="JY320" s="3"/>
      <c r="JZ320" s="3"/>
      <c r="KA320" s="3"/>
      <c r="KB320" s="3"/>
      <c r="KC320" s="3"/>
      <c r="KD320" s="3"/>
      <c r="KE320" s="3"/>
      <c r="KF320" s="3"/>
      <c r="KG320" s="3"/>
      <c r="KH320" s="3"/>
      <c r="KI320" s="3"/>
      <c r="KJ320" s="3"/>
      <c r="KK320" s="3"/>
      <c r="KL320" s="3"/>
      <c r="KM320" s="3"/>
      <c r="KN320" s="3"/>
      <c r="KO320" s="3"/>
      <c r="KP320" s="3"/>
      <c r="KQ320" s="3"/>
      <c r="KR320" s="3"/>
      <c r="KS320" s="3"/>
      <c r="KT320" s="3"/>
      <c r="KU320" s="3"/>
      <c r="KV320" s="3"/>
      <c r="KW320" s="3"/>
      <c r="KX320" s="3"/>
      <c r="KY320" s="3"/>
      <c r="KZ320" s="3"/>
      <c r="LA320" s="3"/>
      <c r="LB320" s="3"/>
      <c r="LC320" s="3"/>
      <c r="LD320" s="3"/>
      <c r="LE320" s="3"/>
      <c r="LF320" s="3"/>
      <c r="LG320" s="3"/>
      <c r="LH320" s="3"/>
      <c r="LI320" s="3"/>
      <c r="LJ320" s="3"/>
      <c r="LK320" s="3"/>
      <c r="LL320" s="3"/>
      <c r="LM320" s="3"/>
      <c r="LN320" s="3"/>
      <c r="LO320" s="3"/>
      <c r="LP320" s="3"/>
      <c r="LQ320" s="3"/>
      <c r="LR320" s="3"/>
      <c r="LS320" s="3"/>
      <c r="LT320" s="3"/>
      <c r="LU320" s="3"/>
      <c r="LV320" s="3"/>
      <c r="LW320" s="3"/>
      <c r="LX320" s="3"/>
      <c r="LY320" s="3"/>
      <c r="LZ320" s="3"/>
      <c r="MA320" s="3"/>
      <c r="MB320" s="3"/>
      <c r="MC320" s="3"/>
      <c r="MD320" s="3"/>
      <c r="ME320" s="3"/>
      <c r="MF320" s="3"/>
      <c r="MG320" s="3"/>
      <c r="MH320" s="3"/>
      <c r="MI320" s="3"/>
    </row>
    <row r="321" spans="1:347"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c r="HX321" s="3"/>
      <c r="HY321" s="3"/>
      <c r="HZ321" s="3"/>
      <c r="IA321" s="3"/>
      <c r="IB321" s="3"/>
      <c r="IC321" s="3"/>
      <c r="ID321" s="3"/>
      <c r="IE321" s="3"/>
      <c r="IF321" s="3"/>
      <c r="IG321" s="3"/>
      <c r="IH321" s="3"/>
      <c r="II321" s="3"/>
      <c r="IJ321" s="3"/>
      <c r="IK321" s="3"/>
      <c r="IL321" s="3"/>
      <c r="IM321" s="3"/>
      <c r="IN321" s="3"/>
      <c r="IO321" s="3"/>
      <c r="IP321" s="3"/>
      <c r="IQ321" s="3"/>
      <c r="IR321" s="3"/>
      <c r="IS321" s="3"/>
      <c r="IT321" s="3"/>
      <c r="IU321" s="3"/>
      <c r="IV321" s="3"/>
      <c r="IW321" s="3"/>
      <c r="IX321" s="3"/>
      <c r="IY321" s="3"/>
      <c r="IZ321" s="3"/>
      <c r="JA321" s="3"/>
      <c r="JB321" s="3"/>
      <c r="JC321" s="3"/>
      <c r="JD321" s="3"/>
      <c r="JE321" s="3"/>
      <c r="JF321" s="3"/>
      <c r="JG321" s="3"/>
      <c r="JH321" s="3"/>
      <c r="JI321" s="3"/>
      <c r="JJ321" s="3"/>
      <c r="JK321" s="3"/>
      <c r="JL321" s="3"/>
      <c r="JM321" s="3"/>
      <c r="JN321" s="3"/>
      <c r="JO321" s="3"/>
      <c r="JP321" s="3"/>
      <c r="JQ321" s="3"/>
      <c r="JR321" s="3"/>
      <c r="JS321" s="3"/>
      <c r="JT321" s="3"/>
      <c r="JU321" s="3"/>
      <c r="JV321" s="3"/>
      <c r="JW321" s="3"/>
      <c r="JX321" s="3"/>
      <c r="JY321" s="3"/>
      <c r="JZ321" s="3"/>
      <c r="KA321" s="3"/>
      <c r="KB321" s="3"/>
      <c r="KC321" s="3"/>
      <c r="KD321" s="3"/>
      <c r="KE321" s="3"/>
      <c r="KF321" s="3"/>
      <c r="KG321" s="3"/>
      <c r="KH321" s="3"/>
      <c r="KI321" s="3"/>
      <c r="KJ321" s="3"/>
      <c r="KK321" s="3"/>
      <c r="KL321" s="3"/>
      <c r="KM321" s="3"/>
      <c r="KN321" s="3"/>
      <c r="KO321" s="3"/>
      <c r="KP321" s="3"/>
      <c r="KQ321" s="3"/>
      <c r="KR321" s="3"/>
      <c r="KS321" s="3"/>
      <c r="KT321" s="3"/>
      <c r="KU321" s="3"/>
      <c r="KV321" s="3"/>
      <c r="KW321" s="3"/>
      <c r="KX321" s="3"/>
      <c r="KY321" s="3"/>
      <c r="KZ321" s="3"/>
      <c r="LA321" s="3"/>
      <c r="LB321" s="3"/>
      <c r="LC321" s="3"/>
      <c r="LD321" s="3"/>
      <c r="LE321" s="3"/>
      <c r="LF321" s="3"/>
      <c r="LG321" s="3"/>
      <c r="LH321" s="3"/>
      <c r="LI321" s="3"/>
      <c r="LJ321" s="3"/>
      <c r="LK321" s="3"/>
      <c r="LL321" s="3"/>
      <c r="LM321" s="3"/>
      <c r="LN321" s="3"/>
      <c r="LO321" s="3"/>
      <c r="LP321" s="3"/>
      <c r="LQ321" s="3"/>
      <c r="LR321" s="3"/>
      <c r="LS321" s="3"/>
      <c r="LT321" s="3"/>
      <c r="LU321" s="3"/>
      <c r="LV321" s="3"/>
      <c r="LW321" s="3"/>
      <c r="LX321" s="3"/>
      <c r="LY321" s="3"/>
      <c r="LZ321" s="3"/>
      <c r="MA321" s="3"/>
      <c r="MB321" s="3"/>
      <c r="MC321" s="3"/>
      <c r="MD321" s="3"/>
      <c r="ME321" s="3"/>
      <c r="MF321" s="3"/>
      <c r="MG321" s="3"/>
      <c r="MH321" s="3"/>
      <c r="MI321" s="3"/>
    </row>
    <row r="322" spans="1:347"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c r="HX322" s="3"/>
      <c r="HY322" s="3"/>
      <c r="HZ322" s="3"/>
      <c r="IA322" s="3"/>
      <c r="IB322" s="3"/>
      <c r="IC322" s="3"/>
      <c r="ID322" s="3"/>
      <c r="IE322" s="3"/>
      <c r="IF322" s="3"/>
      <c r="IG322" s="3"/>
      <c r="IH322" s="3"/>
      <c r="II322" s="3"/>
      <c r="IJ322" s="3"/>
      <c r="IK322" s="3"/>
      <c r="IL322" s="3"/>
      <c r="IM322" s="3"/>
      <c r="IN322" s="3"/>
      <c r="IO322" s="3"/>
      <c r="IP322" s="3"/>
      <c r="IQ322" s="3"/>
      <c r="IR322" s="3"/>
      <c r="IS322" s="3"/>
      <c r="IT322" s="3"/>
      <c r="IU322" s="3"/>
      <c r="IV322" s="3"/>
      <c r="IW322" s="3"/>
      <c r="IX322" s="3"/>
      <c r="IY322" s="3"/>
      <c r="IZ322" s="3"/>
      <c r="JA322" s="3"/>
      <c r="JB322" s="3"/>
      <c r="JC322" s="3"/>
      <c r="JD322" s="3"/>
      <c r="JE322" s="3"/>
      <c r="JF322" s="3"/>
      <c r="JG322" s="3"/>
      <c r="JH322" s="3"/>
      <c r="JI322" s="3"/>
      <c r="JJ322" s="3"/>
      <c r="JK322" s="3"/>
      <c r="JL322" s="3"/>
      <c r="JM322" s="3"/>
      <c r="JN322" s="3"/>
      <c r="JO322" s="3"/>
      <c r="JP322" s="3"/>
      <c r="JQ322" s="3"/>
      <c r="JR322" s="3"/>
      <c r="JS322" s="3"/>
      <c r="JT322" s="3"/>
      <c r="JU322" s="3"/>
      <c r="JV322" s="3"/>
      <c r="JW322" s="3"/>
      <c r="JX322" s="3"/>
      <c r="JY322" s="3"/>
      <c r="JZ322" s="3"/>
      <c r="KA322" s="3"/>
      <c r="KB322" s="3"/>
      <c r="KC322" s="3"/>
      <c r="KD322" s="3"/>
      <c r="KE322" s="3"/>
      <c r="KF322" s="3"/>
      <c r="KG322" s="3"/>
      <c r="KH322" s="3"/>
      <c r="KI322" s="3"/>
      <c r="KJ322" s="3"/>
      <c r="KK322" s="3"/>
      <c r="KL322" s="3"/>
      <c r="KM322" s="3"/>
      <c r="KN322" s="3"/>
      <c r="KO322" s="3"/>
      <c r="KP322" s="3"/>
      <c r="KQ322" s="3"/>
      <c r="KR322" s="3"/>
      <c r="KS322" s="3"/>
      <c r="KT322" s="3"/>
      <c r="KU322" s="3"/>
      <c r="KV322" s="3"/>
      <c r="KW322" s="3"/>
      <c r="KX322" s="3"/>
      <c r="KY322" s="3"/>
      <c r="KZ322" s="3"/>
      <c r="LA322" s="3"/>
      <c r="LB322" s="3"/>
      <c r="LC322" s="3"/>
      <c r="LD322" s="3"/>
      <c r="LE322" s="3"/>
      <c r="LF322" s="3"/>
      <c r="LG322" s="3"/>
      <c r="LH322" s="3"/>
      <c r="LI322" s="3"/>
      <c r="LJ322" s="3"/>
      <c r="LK322" s="3"/>
      <c r="LL322" s="3"/>
      <c r="LM322" s="3"/>
      <c r="LN322" s="3"/>
      <c r="LO322" s="3"/>
      <c r="LP322" s="3"/>
      <c r="LQ322" s="3"/>
      <c r="LR322" s="3"/>
      <c r="LS322" s="3"/>
      <c r="LT322" s="3"/>
      <c r="LU322" s="3"/>
      <c r="LV322" s="3"/>
      <c r="LW322" s="3"/>
      <c r="LX322" s="3"/>
      <c r="LY322" s="3"/>
      <c r="LZ322" s="3"/>
      <c r="MA322" s="3"/>
      <c r="MB322" s="3"/>
      <c r="MC322" s="3"/>
      <c r="MD322" s="3"/>
      <c r="ME322" s="3"/>
      <c r="MF322" s="3"/>
      <c r="MG322" s="3"/>
      <c r="MH322" s="3"/>
      <c r="MI322" s="3"/>
    </row>
    <row r="323" spans="1:347"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ID323" s="3"/>
      <c r="IE323" s="3"/>
      <c r="IF323" s="3"/>
      <c r="IG323" s="3"/>
      <c r="IH323" s="3"/>
      <c r="II323" s="3"/>
      <c r="IJ323" s="3"/>
      <c r="IK323" s="3"/>
      <c r="IL323" s="3"/>
      <c r="IM323" s="3"/>
      <c r="IN323" s="3"/>
      <c r="IO323" s="3"/>
      <c r="IP323" s="3"/>
      <c r="IQ323" s="3"/>
      <c r="IR323" s="3"/>
      <c r="IS323" s="3"/>
      <c r="IT323" s="3"/>
      <c r="IU323" s="3"/>
      <c r="IV323" s="3"/>
      <c r="IW323" s="3"/>
      <c r="IX323" s="3"/>
      <c r="IY323" s="3"/>
      <c r="IZ323" s="3"/>
      <c r="JA323" s="3"/>
      <c r="JB323" s="3"/>
      <c r="JC323" s="3"/>
      <c r="JD323" s="3"/>
      <c r="JE323" s="3"/>
      <c r="JF323" s="3"/>
      <c r="JG323" s="3"/>
      <c r="JH323" s="3"/>
      <c r="JI323" s="3"/>
      <c r="JJ323" s="3"/>
      <c r="JK323" s="3"/>
      <c r="JL323" s="3"/>
      <c r="JM323" s="3"/>
      <c r="JN323" s="3"/>
      <c r="JO323" s="3"/>
      <c r="JP323" s="3"/>
      <c r="JQ323" s="3"/>
      <c r="JR323" s="3"/>
      <c r="JS323" s="3"/>
      <c r="JT323" s="3"/>
      <c r="JU323" s="3"/>
      <c r="JV323" s="3"/>
      <c r="JW323" s="3"/>
      <c r="JX323" s="3"/>
      <c r="JY323" s="3"/>
      <c r="JZ323" s="3"/>
      <c r="KA323" s="3"/>
      <c r="KB323" s="3"/>
      <c r="KC323" s="3"/>
      <c r="KD323" s="3"/>
      <c r="KE323" s="3"/>
      <c r="KF323" s="3"/>
      <c r="KG323" s="3"/>
      <c r="KH323" s="3"/>
      <c r="KI323" s="3"/>
      <c r="KJ323" s="3"/>
      <c r="KK323" s="3"/>
      <c r="KL323" s="3"/>
      <c r="KM323" s="3"/>
      <c r="KN323" s="3"/>
      <c r="KO323" s="3"/>
      <c r="KP323" s="3"/>
      <c r="KQ323" s="3"/>
      <c r="KR323" s="3"/>
      <c r="KS323" s="3"/>
      <c r="KT323" s="3"/>
      <c r="KU323" s="3"/>
      <c r="KV323" s="3"/>
      <c r="KW323" s="3"/>
      <c r="KX323" s="3"/>
      <c r="KY323" s="3"/>
      <c r="KZ323" s="3"/>
      <c r="LA323" s="3"/>
      <c r="LB323" s="3"/>
      <c r="LC323" s="3"/>
      <c r="LD323" s="3"/>
      <c r="LE323" s="3"/>
      <c r="LF323" s="3"/>
      <c r="LG323" s="3"/>
      <c r="LH323" s="3"/>
      <c r="LI323" s="3"/>
      <c r="LJ323" s="3"/>
      <c r="LK323" s="3"/>
      <c r="LL323" s="3"/>
      <c r="LM323" s="3"/>
      <c r="LN323" s="3"/>
      <c r="LO323" s="3"/>
      <c r="LP323" s="3"/>
      <c r="LQ323" s="3"/>
      <c r="LR323" s="3"/>
      <c r="LS323" s="3"/>
      <c r="LT323" s="3"/>
      <c r="LU323" s="3"/>
      <c r="LV323" s="3"/>
      <c r="LW323" s="3"/>
      <c r="LX323" s="3"/>
      <c r="LY323" s="3"/>
      <c r="LZ323" s="3"/>
      <c r="MA323" s="3"/>
      <c r="MB323" s="3"/>
      <c r="MC323" s="3"/>
      <c r="MD323" s="3"/>
      <c r="ME323" s="3"/>
      <c r="MF323" s="3"/>
      <c r="MG323" s="3"/>
      <c r="MH323" s="3"/>
      <c r="MI323" s="3"/>
    </row>
    <row r="324" spans="1:347"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ID324" s="3"/>
      <c r="IE324" s="3"/>
      <c r="IF324" s="3"/>
      <c r="IG324" s="3"/>
      <c r="IH324" s="3"/>
      <c r="II324" s="3"/>
      <c r="IJ324" s="3"/>
      <c r="IK324" s="3"/>
      <c r="IL324" s="3"/>
      <c r="IM324" s="3"/>
      <c r="IN324" s="3"/>
      <c r="IO324" s="3"/>
      <c r="IP324" s="3"/>
      <c r="IQ324" s="3"/>
      <c r="IR324" s="3"/>
      <c r="IS324" s="3"/>
      <c r="IT324" s="3"/>
      <c r="IU324" s="3"/>
      <c r="IV324" s="3"/>
      <c r="IW324" s="3"/>
      <c r="IX324" s="3"/>
      <c r="IY324" s="3"/>
      <c r="IZ324" s="3"/>
      <c r="JA324" s="3"/>
      <c r="JB324" s="3"/>
      <c r="JC324" s="3"/>
      <c r="JD324" s="3"/>
      <c r="JE324" s="3"/>
      <c r="JF324" s="3"/>
      <c r="JG324" s="3"/>
      <c r="JH324" s="3"/>
      <c r="JI324" s="3"/>
      <c r="JJ324" s="3"/>
      <c r="JK324" s="3"/>
      <c r="JL324" s="3"/>
      <c r="JM324" s="3"/>
      <c r="JN324" s="3"/>
      <c r="JO324" s="3"/>
      <c r="JP324" s="3"/>
      <c r="JQ324" s="3"/>
      <c r="JR324" s="3"/>
      <c r="JS324" s="3"/>
      <c r="JT324" s="3"/>
      <c r="JU324" s="3"/>
      <c r="JV324" s="3"/>
      <c r="JW324" s="3"/>
      <c r="JX324" s="3"/>
      <c r="JY324" s="3"/>
      <c r="JZ324" s="3"/>
      <c r="KA324" s="3"/>
      <c r="KB324" s="3"/>
      <c r="KC324" s="3"/>
      <c r="KD324" s="3"/>
      <c r="KE324" s="3"/>
      <c r="KF324" s="3"/>
      <c r="KG324" s="3"/>
      <c r="KH324" s="3"/>
      <c r="KI324" s="3"/>
      <c r="KJ324" s="3"/>
      <c r="KK324" s="3"/>
      <c r="KL324" s="3"/>
      <c r="KM324" s="3"/>
      <c r="KN324" s="3"/>
      <c r="KO324" s="3"/>
      <c r="KP324" s="3"/>
      <c r="KQ324" s="3"/>
      <c r="KR324" s="3"/>
      <c r="KS324" s="3"/>
      <c r="KT324" s="3"/>
      <c r="KU324" s="3"/>
      <c r="KV324" s="3"/>
      <c r="KW324" s="3"/>
      <c r="KX324" s="3"/>
      <c r="KY324" s="3"/>
      <c r="KZ324" s="3"/>
      <c r="LA324" s="3"/>
      <c r="LB324" s="3"/>
      <c r="LC324" s="3"/>
      <c r="LD324" s="3"/>
      <c r="LE324" s="3"/>
      <c r="LF324" s="3"/>
      <c r="LG324" s="3"/>
      <c r="LH324" s="3"/>
      <c r="LI324" s="3"/>
      <c r="LJ324" s="3"/>
      <c r="LK324" s="3"/>
      <c r="LL324" s="3"/>
      <c r="LM324" s="3"/>
      <c r="LN324" s="3"/>
      <c r="LO324" s="3"/>
      <c r="LP324" s="3"/>
      <c r="LQ324" s="3"/>
      <c r="LR324" s="3"/>
      <c r="LS324" s="3"/>
      <c r="LT324" s="3"/>
      <c r="LU324" s="3"/>
      <c r="LV324" s="3"/>
      <c r="LW324" s="3"/>
      <c r="LX324" s="3"/>
      <c r="LY324" s="3"/>
      <c r="LZ324" s="3"/>
      <c r="MA324" s="3"/>
      <c r="MB324" s="3"/>
      <c r="MC324" s="3"/>
      <c r="MD324" s="3"/>
      <c r="ME324" s="3"/>
      <c r="MF324" s="3"/>
      <c r="MG324" s="3"/>
      <c r="MH324" s="3"/>
      <c r="MI324" s="3"/>
    </row>
    <row r="325" spans="1:347"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ID325" s="3"/>
      <c r="IE325" s="3"/>
      <c r="IF325" s="3"/>
      <c r="IG325" s="3"/>
      <c r="IH325" s="3"/>
      <c r="II325" s="3"/>
      <c r="IJ325" s="3"/>
      <c r="IK325" s="3"/>
      <c r="IL325" s="3"/>
      <c r="IM325" s="3"/>
      <c r="IN325" s="3"/>
      <c r="IO325" s="3"/>
      <c r="IP325" s="3"/>
      <c r="IQ325" s="3"/>
      <c r="IR325" s="3"/>
      <c r="IS325" s="3"/>
      <c r="IT325" s="3"/>
      <c r="IU325" s="3"/>
      <c r="IV325" s="3"/>
      <c r="IW325" s="3"/>
      <c r="IX325" s="3"/>
      <c r="IY325" s="3"/>
      <c r="IZ325" s="3"/>
      <c r="JA325" s="3"/>
      <c r="JB325" s="3"/>
      <c r="JC325" s="3"/>
      <c r="JD325" s="3"/>
      <c r="JE325" s="3"/>
      <c r="JF325" s="3"/>
      <c r="JG325" s="3"/>
      <c r="JH325" s="3"/>
      <c r="JI325" s="3"/>
      <c r="JJ325" s="3"/>
      <c r="JK325" s="3"/>
      <c r="JL325" s="3"/>
      <c r="JM325" s="3"/>
      <c r="JN325" s="3"/>
      <c r="JO325" s="3"/>
      <c r="JP325" s="3"/>
      <c r="JQ325" s="3"/>
      <c r="JR325" s="3"/>
      <c r="JS325" s="3"/>
      <c r="JT325" s="3"/>
      <c r="JU325" s="3"/>
      <c r="JV325" s="3"/>
      <c r="JW325" s="3"/>
      <c r="JX325" s="3"/>
      <c r="JY325" s="3"/>
      <c r="JZ325" s="3"/>
      <c r="KA325" s="3"/>
      <c r="KB325" s="3"/>
      <c r="KC325" s="3"/>
      <c r="KD325" s="3"/>
      <c r="KE325" s="3"/>
      <c r="KF325" s="3"/>
      <c r="KG325" s="3"/>
      <c r="KH325" s="3"/>
      <c r="KI325" s="3"/>
      <c r="KJ325" s="3"/>
      <c r="KK325" s="3"/>
      <c r="KL325" s="3"/>
      <c r="KM325" s="3"/>
      <c r="KN325" s="3"/>
      <c r="KO325" s="3"/>
      <c r="KP325" s="3"/>
      <c r="KQ325" s="3"/>
      <c r="KR325" s="3"/>
      <c r="KS325" s="3"/>
      <c r="KT325" s="3"/>
      <c r="KU325" s="3"/>
      <c r="KV325" s="3"/>
      <c r="KW325" s="3"/>
      <c r="KX325" s="3"/>
      <c r="KY325" s="3"/>
      <c r="KZ325" s="3"/>
      <c r="LA325" s="3"/>
      <c r="LB325" s="3"/>
      <c r="LC325" s="3"/>
      <c r="LD325" s="3"/>
      <c r="LE325" s="3"/>
      <c r="LF325" s="3"/>
      <c r="LG325" s="3"/>
      <c r="LH325" s="3"/>
      <c r="LI325" s="3"/>
      <c r="LJ325" s="3"/>
      <c r="LK325" s="3"/>
      <c r="LL325" s="3"/>
      <c r="LM325" s="3"/>
      <c r="LN325" s="3"/>
      <c r="LO325" s="3"/>
      <c r="LP325" s="3"/>
      <c r="LQ325" s="3"/>
      <c r="LR325" s="3"/>
      <c r="LS325" s="3"/>
      <c r="LT325" s="3"/>
      <c r="LU325" s="3"/>
      <c r="LV325" s="3"/>
      <c r="LW325" s="3"/>
      <c r="LX325" s="3"/>
      <c r="LY325" s="3"/>
      <c r="LZ325" s="3"/>
      <c r="MA325" s="3"/>
      <c r="MB325" s="3"/>
      <c r="MC325" s="3"/>
      <c r="MD325" s="3"/>
      <c r="ME325" s="3"/>
      <c r="MF325" s="3"/>
      <c r="MG325" s="3"/>
      <c r="MH325" s="3"/>
      <c r="MI325" s="3"/>
    </row>
    <row r="326" spans="1:347"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ID326" s="3"/>
      <c r="IE326" s="3"/>
      <c r="IF326" s="3"/>
      <c r="IG326" s="3"/>
      <c r="IH326" s="3"/>
      <c r="II326" s="3"/>
      <c r="IJ326" s="3"/>
      <c r="IK326" s="3"/>
      <c r="IL326" s="3"/>
      <c r="IM326" s="3"/>
      <c r="IN326" s="3"/>
      <c r="IO326" s="3"/>
      <c r="IP326" s="3"/>
      <c r="IQ326" s="3"/>
      <c r="IR326" s="3"/>
      <c r="IS326" s="3"/>
      <c r="IT326" s="3"/>
      <c r="IU326" s="3"/>
      <c r="IV326" s="3"/>
      <c r="IW326" s="3"/>
      <c r="IX326" s="3"/>
      <c r="IY326" s="3"/>
      <c r="IZ326" s="3"/>
      <c r="JA326" s="3"/>
      <c r="JB326" s="3"/>
      <c r="JC326" s="3"/>
      <c r="JD326" s="3"/>
      <c r="JE326" s="3"/>
      <c r="JF326" s="3"/>
      <c r="JG326" s="3"/>
      <c r="JH326" s="3"/>
      <c r="JI326" s="3"/>
      <c r="JJ326" s="3"/>
      <c r="JK326" s="3"/>
      <c r="JL326" s="3"/>
      <c r="JM326" s="3"/>
      <c r="JN326" s="3"/>
      <c r="JO326" s="3"/>
      <c r="JP326" s="3"/>
      <c r="JQ326" s="3"/>
      <c r="JR326" s="3"/>
      <c r="JS326" s="3"/>
      <c r="JT326" s="3"/>
      <c r="JU326" s="3"/>
      <c r="JV326" s="3"/>
      <c r="JW326" s="3"/>
      <c r="JX326" s="3"/>
      <c r="JY326" s="3"/>
      <c r="JZ326" s="3"/>
      <c r="KA326" s="3"/>
      <c r="KB326" s="3"/>
      <c r="KC326" s="3"/>
      <c r="KD326" s="3"/>
      <c r="KE326" s="3"/>
      <c r="KF326" s="3"/>
      <c r="KG326" s="3"/>
      <c r="KH326" s="3"/>
      <c r="KI326" s="3"/>
      <c r="KJ326" s="3"/>
      <c r="KK326" s="3"/>
      <c r="KL326" s="3"/>
      <c r="KM326" s="3"/>
      <c r="KN326" s="3"/>
      <c r="KO326" s="3"/>
      <c r="KP326" s="3"/>
      <c r="KQ326" s="3"/>
      <c r="KR326" s="3"/>
      <c r="KS326" s="3"/>
      <c r="KT326" s="3"/>
      <c r="KU326" s="3"/>
      <c r="KV326" s="3"/>
      <c r="KW326" s="3"/>
      <c r="KX326" s="3"/>
      <c r="KY326" s="3"/>
      <c r="KZ326" s="3"/>
      <c r="LA326" s="3"/>
      <c r="LB326" s="3"/>
      <c r="LC326" s="3"/>
      <c r="LD326" s="3"/>
      <c r="LE326" s="3"/>
      <c r="LF326" s="3"/>
      <c r="LG326" s="3"/>
      <c r="LH326" s="3"/>
      <c r="LI326" s="3"/>
      <c r="LJ326" s="3"/>
      <c r="LK326" s="3"/>
      <c r="LL326" s="3"/>
      <c r="LM326" s="3"/>
      <c r="LN326" s="3"/>
      <c r="LO326" s="3"/>
      <c r="LP326" s="3"/>
      <c r="LQ326" s="3"/>
      <c r="LR326" s="3"/>
      <c r="LS326" s="3"/>
      <c r="LT326" s="3"/>
      <c r="LU326" s="3"/>
      <c r="LV326" s="3"/>
      <c r="LW326" s="3"/>
      <c r="LX326" s="3"/>
      <c r="LY326" s="3"/>
      <c r="LZ326" s="3"/>
      <c r="MA326" s="3"/>
      <c r="MB326" s="3"/>
      <c r="MC326" s="3"/>
      <c r="MD326" s="3"/>
      <c r="ME326" s="3"/>
      <c r="MF326" s="3"/>
      <c r="MG326" s="3"/>
      <c r="MH326" s="3"/>
      <c r="MI326" s="3"/>
    </row>
    <row r="327" spans="1:347"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ID327" s="3"/>
      <c r="IE327" s="3"/>
      <c r="IF327" s="3"/>
      <c r="IG327" s="3"/>
      <c r="IH327" s="3"/>
      <c r="II327" s="3"/>
      <c r="IJ327" s="3"/>
      <c r="IK327" s="3"/>
      <c r="IL327" s="3"/>
      <c r="IM327" s="3"/>
      <c r="IN327" s="3"/>
      <c r="IO327" s="3"/>
      <c r="IP327" s="3"/>
      <c r="IQ327" s="3"/>
      <c r="IR327" s="3"/>
      <c r="IS327" s="3"/>
      <c r="IT327" s="3"/>
      <c r="IU327" s="3"/>
      <c r="IV327" s="3"/>
      <c r="IW327" s="3"/>
      <c r="IX327" s="3"/>
      <c r="IY327" s="3"/>
      <c r="IZ327" s="3"/>
      <c r="JA327" s="3"/>
      <c r="JB327" s="3"/>
      <c r="JC327" s="3"/>
      <c r="JD327" s="3"/>
      <c r="JE327" s="3"/>
      <c r="JF327" s="3"/>
      <c r="JG327" s="3"/>
      <c r="JH327" s="3"/>
      <c r="JI327" s="3"/>
      <c r="JJ327" s="3"/>
      <c r="JK327" s="3"/>
      <c r="JL327" s="3"/>
      <c r="JM327" s="3"/>
      <c r="JN327" s="3"/>
      <c r="JO327" s="3"/>
      <c r="JP327" s="3"/>
      <c r="JQ327" s="3"/>
      <c r="JR327" s="3"/>
      <c r="JS327" s="3"/>
      <c r="JT327" s="3"/>
      <c r="JU327" s="3"/>
      <c r="JV327" s="3"/>
      <c r="JW327" s="3"/>
      <c r="JX327" s="3"/>
      <c r="JY327" s="3"/>
      <c r="JZ327" s="3"/>
      <c r="KA327" s="3"/>
      <c r="KB327" s="3"/>
      <c r="KC327" s="3"/>
      <c r="KD327" s="3"/>
      <c r="KE327" s="3"/>
      <c r="KF327" s="3"/>
      <c r="KG327" s="3"/>
      <c r="KH327" s="3"/>
      <c r="KI327" s="3"/>
      <c r="KJ327" s="3"/>
      <c r="KK327" s="3"/>
      <c r="KL327" s="3"/>
      <c r="KM327" s="3"/>
      <c r="KN327" s="3"/>
      <c r="KO327" s="3"/>
      <c r="KP327" s="3"/>
      <c r="KQ327" s="3"/>
      <c r="KR327" s="3"/>
      <c r="KS327" s="3"/>
      <c r="KT327" s="3"/>
      <c r="KU327" s="3"/>
      <c r="KV327" s="3"/>
      <c r="KW327" s="3"/>
      <c r="KX327" s="3"/>
      <c r="KY327" s="3"/>
      <c r="KZ327" s="3"/>
      <c r="LA327" s="3"/>
      <c r="LB327" s="3"/>
      <c r="LC327" s="3"/>
      <c r="LD327" s="3"/>
      <c r="LE327" s="3"/>
      <c r="LF327" s="3"/>
      <c r="LG327" s="3"/>
      <c r="LH327" s="3"/>
      <c r="LI327" s="3"/>
      <c r="LJ327" s="3"/>
      <c r="LK327" s="3"/>
      <c r="LL327" s="3"/>
      <c r="LM327" s="3"/>
      <c r="LN327" s="3"/>
      <c r="LO327" s="3"/>
      <c r="LP327" s="3"/>
      <c r="LQ327" s="3"/>
      <c r="LR327" s="3"/>
      <c r="LS327" s="3"/>
      <c r="LT327" s="3"/>
      <c r="LU327" s="3"/>
      <c r="LV327" s="3"/>
      <c r="LW327" s="3"/>
      <c r="LX327" s="3"/>
      <c r="LY327" s="3"/>
      <c r="LZ327" s="3"/>
      <c r="MA327" s="3"/>
      <c r="MB327" s="3"/>
      <c r="MC327" s="3"/>
      <c r="MD327" s="3"/>
      <c r="ME327" s="3"/>
      <c r="MF327" s="3"/>
      <c r="MG327" s="3"/>
      <c r="MH327" s="3"/>
      <c r="MI327" s="3"/>
    </row>
    <row r="328" spans="1:347"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ID328" s="3"/>
      <c r="IE328" s="3"/>
      <c r="IF328" s="3"/>
      <c r="IG328" s="3"/>
      <c r="IH328" s="3"/>
      <c r="II328" s="3"/>
      <c r="IJ328" s="3"/>
      <c r="IK328" s="3"/>
      <c r="IL328" s="3"/>
      <c r="IM328" s="3"/>
      <c r="IN328" s="3"/>
      <c r="IO328" s="3"/>
      <c r="IP328" s="3"/>
      <c r="IQ328" s="3"/>
      <c r="IR328" s="3"/>
      <c r="IS328" s="3"/>
      <c r="IT328" s="3"/>
      <c r="IU328" s="3"/>
      <c r="IV328" s="3"/>
      <c r="IW328" s="3"/>
      <c r="IX328" s="3"/>
      <c r="IY328" s="3"/>
      <c r="IZ328" s="3"/>
      <c r="JA328" s="3"/>
      <c r="JB328" s="3"/>
      <c r="JC328" s="3"/>
      <c r="JD328" s="3"/>
      <c r="JE328" s="3"/>
      <c r="JF328" s="3"/>
      <c r="JG328" s="3"/>
      <c r="JH328" s="3"/>
      <c r="JI328" s="3"/>
      <c r="JJ328" s="3"/>
      <c r="JK328" s="3"/>
      <c r="JL328" s="3"/>
      <c r="JM328" s="3"/>
      <c r="JN328" s="3"/>
      <c r="JO328" s="3"/>
      <c r="JP328" s="3"/>
      <c r="JQ328" s="3"/>
      <c r="JR328" s="3"/>
      <c r="JS328" s="3"/>
      <c r="JT328" s="3"/>
      <c r="JU328" s="3"/>
      <c r="JV328" s="3"/>
      <c r="JW328" s="3"/>
      <c r="JX328" s="3"/>
      <c r="JY328" s="3"/>
      <c r="JZ328" s="3"/>
      <c r="KA328" s="3"/>
      <c r="KB328" s="3"/>
      <c r="KC328" s="3"/>
      <c r="KD328" s="3"/>
      <c r="KE328" s="3"/>
      <c r="KF328" s="3"/>
      <c r="KG328" s="3"/>
      <c r="KH328" s="3"/>
      <c r="KI328" s="3"/>
      <c r="KJ328" s="3"/>
      <c r="KK328" s="3"/>
      <c r="KL328" s="3"/>
      <c r="KM328" s="3"/>
      <c r="KN328" s="3"/>
      <c r="KO328" s="3"/>
      <c r="KP328" s="3"/>
      <c r="KQ328" s="3"/>
      <c r="KR328" s="3"/>
      <c r="KS328" s="3"/>
      <c r="KT328" s="3"/>
      <c r="KU328" s="3"/>
      <c r="KV328" s="3"/>
      <c r="KW328" s="3"/>
      <c r="KX328" s="3"/>
      <c r="KY328" s="3"/>
      <c r="KZ328" s="3"/>
      <c r="LA328" s="3"/>
      <c r="LB328" s="3"/>
      <c r="LC328" s="3"/>
      <c r="LD328" s="3"/>
      <c r="LE328" s="3"/>
      <c r="LF328" s="3"/>
      <c r="LG328" s="3"/>
      <c r="LH328" s="3"/>
      <c r="LI328" s="3"/>
      <c r="LJ328" s="3"/>
      <c r="LK328" s="3"/>
      <c r="LL328" s="3"/>
      <c r="LM328" s="3"/>
      <c r="LN328" s="3"/>
      <c r="LO328" s="3"/>
      <c r="LP328" s="3"/>
      <c r="LQ328" s="3"/>
      <c r="LR328" s="3"/>
      <c r="LS328" s="3"/>
      <c r="LT328" s="3"/>
      <c r="LU328" s="3"/>
      <c r="LV328" s="3"/>
      <c r="LW328" s="3"/>
      <c r="LX328" s="3"/>
      <c r="LY328" s="3"/>
      <c r="LZ328" s="3"/>
      <c r="MA328" s="3"/>
      <c r="MB328" s="3"/>
      <c r="MC328" s="3"/>
      <c r="MD328" s="3"/>
      <c r="ME328" s="3"/>
      <c r="MF328" s="3"/>
      <c r="MG328" s="3"/>
      <c r="MH328" s="3"/>
      <c r="MI328" s="3"/>
    </row>
    <row r="329" spans="1:347"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ID329" s="3"/>
      <c r="IE329" s="3"/>
      <c r="IF329" s="3"/>
      <c r="IG329" s="3"/>
      <c r="IH329" s="3"/>
      <c r="II329" s="3"/>
      <c r="IJ329" s="3"/>
      <c r="IK329" s="3"/>
      <c r="IL329" s="3"/>
      <c r="IM329" s="3"/>
      <c r="IN329" s="3"/>
      <c r="IO329" s="3"/>
      <c r="IP329" s="3"/>
      <c r="IQ329" s="3"/>
      <c r="IR329" s="3"/>
      <c r="IS329" s="3"/>
      <c r="IT329" s="3"/>
      <c r="IU329" s="3"/>
      <c r="IV329" s="3"/>
      <c r="IW329" s="3"/>
      <c r="IX329" s="3"/>
      <c r="IY329" s="3"/>
      <c r="IZ329" s="3"/>
      <c r="JA329" s="3"/>
      <c r="JB329" s="3"/>
      <c r="JC329" s="3"/>
      <c r="JD329" s="3"/>
      <c r="JE329" s="3"/>
      <c r="JF329" s="3"/>
      <c r="JG329" s="3"/>
      <c r="JH329" s="3"/>
      <c r="JI329" s="3"/>
      <c r="JJ329" s="3"/>
      <c r="JK329" s="3"/>
      <c r="JL329" s="3"/>
      <c r="JM329" s="3"/>
      <c r="JN329" s="3"/>
      <c r="JO329" s="3"/>
      <c r="JP329" s="3"/>
      <c r="JQ329" s="3"/>
      <c r="JR329" s="3"/>
      <c r="JS329" s="3"/>
      <c r="JT329" s="3"/>
      <c r="JU329" s="3"/>
      <c r="JV329" s="3"/>
      <c r="JW329" s="3"/>
      <c r="JX329" s="3"/>
      <c r="JY329" s="3"/>
      <c r="JZ329" s="3"/>
      <c r="KA329" s="3"/>
      <c r="KB329" s="3"/>
      <c r="KC329" s="3"/>
      <c r="KD329" s="3"/>
      <c r="KE329" s="3"/>
      <c r="KF329" s="3"/>
      <c r="KG329" s="3"/>
      <c r="KH329" s="3"/>
      <c r="KI329" s="3"/>
      <c r="KJ329" s="3"/>
      <c r="KK329" s="3"/>
      <c r="KL329" s="3"/>
      <c r="KM329" s="3"/>
      <c r="KN329" s="3"/>
      <c r="KO329" s="3"/>
      <c r="KP329" s="3"/>
      <c r="KQ329" s="3"/>
      <c r="KR329" s="3"/>
      <c r="KS329" s="3"/>
      <c r="KT329" s="3"/>
      <c r="KU329" s="3"/>
      <c r="KV329" s="3"/>
      <c r="KW329" s="3"/>
      <c r="KX329" s="3"/>
      <c r="KY329" s="3"/>
      <c r="KZ329" s="3"/>
      <c r="LA329" s="3"/>
      <c r="LB329" s="3"/>
      <c r="LC329" s="3"/>
      <c r="LD329" s="3"/>
      <c r="LE329" s="3"/>
      <c r="LF329" s="3"/>
      <c r="LG329" s="3"/>
      <c r="LH329" s="3"/>
      <c r="LI329" s="3"/>
      <c r="LJ329" s="3"/>
      <c r="LK329" s="3"/>
      <c r="LL329" s="3"/>
      <c r="LM329" s="3"/>
      <c r="LN329" s="3"/>
      <c r="LO329" s="3"/>
      <c r="LP329" s="3"/>
      <c r="LQ329" s="3"/>
      <c r="LR329" s="3"/>
      <c r="LS329" s="3"/>
      <c r="LT329" s="3"/>
      <c r="LU329" s="3"/>
      <c r="LV329" s="3"/>
      <c r="LW329" s="3"/>
      <c r="LX329" s="3"/>
      <c r="LY329" s="3"/>
      <c r="LZ329" s="3"/>
      <c r="MA329" s="3"/>
      <c r="MB329" s="3"/>
      <c r="MC329" s="3"/>
      <c r="MD329" s="3"/>
      <c r="ME329" s="3"/>
      <c r="MF329" s="3"/>
      <c r="MG329" s="3"/>
      <c r="MH329" s="3"/>
      <c r="MI329" s="3"/>
    </row>
    <row r="330" spans="1:347"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ID330" s="3"/>
      <c r="IE330" s="3"/>
      <c r="IF330" s="3"/>
      <c r="IG330" s="3"/>
      <c r="IH330" s="3"/>
      <c r="II330" s="3"/>
      <c r="IJ330" s="3"/>
      <c r="IK330" s="3"/>
      <c r="IL330" s="3"/>
      <c r="IM330" s="3"/>
      <c r="IN330" s="3"/>
      <c r="IO330" s="3"/>
      <c r="IP330" s="3"/>
      <c r="IQ330" s="3"/>
      <c r="IR330" s="3"/>
      <c r="IS330" s="3"/>
      <c r="IT330" s="3"/>
      <c r="IU330" s="3"/>
      <c r="IV330" s="3"/>
      <c r="IW330" s="3"/>
      <c r="IX330" s="3"/>
      <c r="IY330" s="3"/>
      <c r="IZ330" s="3"/>
      <c r="JA330" s="3"/>
      <c r="JB330" s="3"/>
      <c r="JC330" s="3"/>
      <c r="JD330" s="3"/>
      <c r="JE330" s="3"/>
      <c r="JF330" s="3"/>
      <c r="JG330" s="3"/>
      <c r="JH330" s="3"/>
      <c r="JI330" s="3"/>
      <c r="JJ330" s="3"/>
      <c r="JK330" s="3"/>
      <c r="JL330" s="3"/>
      <c r="JM330" s="3"/>
      <c r="JN330" s="3"/>
      <c r="JO330" s="3"/>
      <c r="JP330" s="3"/>
      <c r="JQ330" s="3"/>
      <c r="JR330" s="3"/>
      <c r="JS330" s="3"/>
      <c r="JT330" s="3"/>
      <c r="JU330" s="3"/>
      <c r="JV330" s="3"/>
      <c r="JW330" s="3"/>
      <c r="JX330" s="3"/>
      <c r="JY330" s="3"/>
      <c r="JZ330" s="3"/>
      <c r="KA330" s="3"/>
      <c r="KB330" s="3"/>
      <c r="KC330" s="3"/>
      <c r="KD330" s="3"/>
      <c r="KE330" s="3"/>
      <c r="KF330" s="3"/>
      <c r="KG330" s="3"/>
      <c r="KH330" s="3"/>
      <c r="KI330" s="3"/>
      <c r="KJ330" s="3"/>
      <c r="KK330" s="3"/>
      <c r="KL330" s="3"/>
      <c r="KM330" s="3"/>
      <c r="KN330" s="3"/>
      <c r="KO330" s="3"/>
      <c r="KP330" s="3"/>
      <c r="KQ330" s="3"/>
      <c r="KR330" s="3"/>
      <c r="KS330" s="3"/>
      <c r="KT330" s="3"/>
      <c r="KU330" s="3"/>
      <c r="KV330" s="3"/>
      <c r="KW330" s="3"/>
      <c r="KX330" s="3"/>
      <c r="KY330" s="3"/>
      <c r="KZ330" s="3"/>
      <c r="LA330" s="3"/>
      <c r="LB330" s="3"/>
      <c r="LC330" s="3"/>
      <c r="LD330" s="3"/>
      <c r="LE330" s="3"/>
      <c r="LF330" s="3"/>
      <c r="LG330" s="3"/>
      <c r="LH330" s="3"/>
      <c r="LI330" s="3"/>
      <c r="LJ330" s="3"/>
      <c r="LK330" s="3"/>
      <c r="LL330" s="3"/>
      <c r="LM330" s="3"/>
      <c r="LN330" s="3"/>
      <c r="LO330" s="3"/>
      <c r="LP330" s="3"/>
      <c r="LQ330" s="3"/>
      <c r="LR330" s="3"/>
      <c r="LS330" s="3"/>
      <c r="LT330" s="3"/>
      <c r="LU330" s="3"/>
      <c r="LV330" s="3"/>
      <c r="LW330" s="3"/>
      <c r="LX330" s="3"/>
      <c r="LY330" s="3"/>
      <c r="LZ330" s="3"/>
      <c r="MA330" s="3"/>
      <c r="MB330" s="3"/>
      <c r="MC330" s="3"/>
      <c r="MD330" s="3"/>
      <c r="ME330" s="3"/>
      <c r="MF330" s="3"/>
      <c r="MG330" s="3"/>
      <c r="MH330" s="3"/>
      <c r="MI330" s="3"/>
    </row>
    <row r="331" spans="1:347"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ID331" s="3"/>
      <c r="IE331" s="3"/>
      <c r="IF331" s="3"/>
      <c r="IG331" s="3"/>
      <c r="IH331" s="3"/>
      <c r="II331" s="3"/>
      <c r="IJ331" s="3"/>
      <c r="IK331" s="3"/>
      <c r="IL331" s="3"/>
      <c r="IM331" s="3"/>
      <c r="IN331" s="3"/>
      <c r="IO331" s="3"/>
      <c r="IP331" s="3"/>
      <c r="IQ331" s="3"/>
      <c r="IR331" s="3"/>
      <c r="IS331" s="3"/>
      <c r="IT331" s="3"/>
      <c r="IU331" s="3"/>
      <c r="IV331" s="3"/>
      <c r="IW331" s="3"/>
      <c r="IX331" s="3"/>
      <c r="IY331" s="3"/>
      <c r="IZ331" s="3"/>
      <c r="JA331" s="3"/>
      <c r="JB331" s="3"/>
      <c r="JC331" s="3"/>
      <c r="JD331" s="3"/>
      <c r="JE331" s="3"/>
      <c r="JF331" s="3"/>
      <c r="JG331" s="3"/>
      <c r="JH331" s="3"/>
      <c r="JI331" s="3"/>
      <c r="JJ331" s="3"/>
      <c r="JK331" s="3"/>
      <c r="JL331" s="3"/>
      <c r="JM331" s="3"/>
      <c r="JN331" s="3"/>
      <c r="JO331" s="3"/>
      <c r="JP331" s="3"/>
      <c r="JQ331" s="3"/>
      <c r="JR331" s="3"/>
      <c r="JS331" s="3"/>
      <c r="JT331" s="3"/>
      <c r="JU331" s="3"/>
      <c r="JV331" s="3"/>
      <c r="JW331" s="3"/>
      <c r="JX331" s="3"/>
      <c r="JY331" s="3"/>
      <c r="JZ331" s="3"/>
      <c r="KA331" s="3"/>
      <c r="KB331" s="3"/>
      <c r="KC331" s="3"/>
      <c r="KD331" s="3"/>
      <c r="KE331" s="3"/>
      <c r="KF331" s="3"/>
      <c r="KG331" s="3"/>
      <c r="KH331" s="3"/>
      <c r="KI331" s="3"/>
      <c r="KJ331" s="3"/>
      <c r="KK331" s="3"/>
      <c r="KL331" s="3"/>
      <c r="KM331" s="3"/>
      <c r="KN331" s="3"/>
      <c r="KO331" s="3"/>
      <c r="KP331" s="3"/>
      <c r="KQ331" s="3"/>
      <c r="KR331" s="3"/>
      <c r="KS331" s="3"/>
      <c r="KT331" s="3"/>
      <c r="KU331" s="3"/>
      <c r="KV331" s="3"/>
      <c r="KW331" s="3"/>
      <c r="KX331" s="3"/>
      <c r="KY331" s="3"/>
      <c r="KZ331" s="3"/>
      <c r="LA331" s="3"/>
      <c r="LB331" s="3"/>
      <c r="LC331" s="3"/>
      <c r="LD331" s="3"/>
      <c r="LE331" s="3"/>
      <c r="LF331" s="3"/>
      <c r="LG331" s="3"/>
      <c r="LH331" s="3"/>
      <c r="LI331" s="3"/>
      <c r="LJ331" s="3"/>
      <c r="LK331" s="3"/>
      <c r="LL331" s="3"/>
      <c r="LM331" s="3"/>
      <c r="LN331" s="3"/>
      <c r="LO331" s="3"/>
      <c r="LP331" s="3"/>
      <c r="LQ331" s="3"/>
      <c r="LR331" s="3"/>
      <c r="LS331" s="3"/>
      <c r="LT331" s="3"/>
      <c r="LU331" s="3"/>
      <c r="LV331" s="3"/>
      <c r="LW331" s="3"/>
      <c r="LX331" s="3"/>
      <c r="LY331" s="3"/>
      <c r="LZ331" s="3"/>
      <c r="MA331" s="3"/>
      <c r="MB331" s="3"/>
      <c r="MC331" s="3"/>
      <c r="MD331" s="3"/>
      <c r="ME331" s="3"/>
      <c r="MF331" s="3"/>
      <c r="MG331" s="3"/>
      <c r="MH331" s="3"/>
      <c r="MI331" s="3"/>
    </row>
    <row r="332" spans="1:347"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ID332" s="3"/>
      <c r="IE332" s="3"/>
      <c r="IF332" s="3"/>
      <c r="IG332" s="3"/>
      <c r="IH332" s="3"/>
      <c r="II332" s="3"/>
      <c r="IJ332" s="3"/>
      <c r="IK332" s="3"/>
      <c r="IL332" s="3"/>
      <c r="IM332" s="3"/>
      <c r="IN332" s="3"/>
      <c r="IO332" s="3"/>
      <c r="IP332" s="3"/>
      <c r="IQ332" s="3"/>
      <c r="IR332" s="3"/>
      <c r="IS332" s="3"/>
      <c r="IT332" s="3"/>
      <c r="IU332" s="3"/>
      <c r="IV332" s="3"/>
      <c r="IW332" s="3"/>
      <c r="IX332" s="3"/>
      <c r="IY332" s="3"/>
      <c r="IZ332" s="3"/>
      <c r="JA332" s="3"/>
      <c r="JB332" s="3"/>
      <c r="JC332" s="3"/>
      <c r="JD332" s="3"/>
      <c r="JE332" s="3"/>
      <c r="JF332" s="3"/>
      <c r="JG332" s="3"/>
      <c r="JH332" s="3"/>
      <c r="JI332" s="3"/>
      <c r="JJ332" s="3"/>
      <c r="JK332" s="3"/>
      <c r="JL332" s="3"/>
      <c r="JM332" s="3"/>
      <c r="JN332" s="3"/>
      <c r="JO332" s="3"/>
      <c r="JP332" s="3"/>
      <c r="JQ332" s="3"/>
      <c r="JR332" s="3"/>
      <c r="JS332" s="3"/>
      <c r="JT332" s="3"/>
      <c r="JU332" s="3"/>
      <c r="JV332" s="3"/>
      <c r="JW332" s="3"/>
      <c r="JX332" s="3"/>
      <c r="JY332" s="3"/>
      <c r="JZ332" s="3"/>
      <c r="KA332" s="3"/>
      <c r="KB332" s="3"/>
      <c r="KC332" s="3"/>
      <c r="KD332" s="3"/>
      <c r="KE332" s="3"/>
      <c r="KF332" s="3"/>
      <c r="KG332" s="3"/>
      <c r="KH332" s="3"/>
      <c r="KI332" s="3"/>
      <c r="KJ332" s="3"/>
      <c r="KK332" s="3"/>
      <c r="KL332" s="3"/>
      <c r="KM332" s="3"/>
      <c r="KN332" s="3"/>
      <c r="KO332" s="3"/>
      <c r="KP332" s="3"/>
      <c r="KQ332" s="3"/>
      <c r="KR332" s="3"/>
      <c r="KS332" s="3"/>
      <c r="KT332" s="3"/>
      <c r="KU332" s="3"/>
      <c r="KV332" s="3"/>
      <c r="KW332" s="3"/>
      <c r="KX332" s="3"/>
      <c r="KY332" s="3"/>
      <c r="KZ332" s="3"/>
      <c r="LA332" s="3"/>
      <c r="LB332" s="3"/>
      <c r="LC332" s="3"/>
      <c r="LD332" s="3"/>
      <c r="LE332" s="3"/>
      <c r="LF332" s="3"/>
      <c r="LG332" s="3"/>
      <c r="LH332" s="3"/>
      <c r="LI332" s="3"/>
      <c r="LJ332" s="3"/>
      <c r="LK332" s="3"/>
      <c r="LL332" s="3"/>
      <c r="LM332" s="3"/>
      <c r="LN332" s="3"/>
      <c r="LO332" s="3"/>
      <c r="LP332" s="3"/>
      <c r="LQ332" s="3"/>
      <c r="LR332" s="3"/>
      <c r="LS332" s="3"/>
      <c r="LT332" s="3"/>
      <c r="LU332" s="3"/>
      <c r="LV332" s="3"/>
      <c r="LW332" s="3"/>
      <c r="LX332" s="3"/>
      <c r="LY332" s="3"/>
      <c r="LZ332" s="3"/>
      <c r="MA332" s="3"/>
      <c r="MB332" s="3"/>
      <c r="MC332" s="3"/>
      <c r="MD332" s="3"/>
      <c r="ME332" s="3"/>
      <c r="MF332" s="3"/>
      <c r="MG332" s="3"/>
      <c r="MH332" s="3"/>
      <c r="MI332" s="3"/>
    </row>
    <row r="333" spans="1:347"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ID333" s="3"/>
      <c r="IE333" s="3"/>
      <c r="IF333" s="3"/>
      <c r="IG333" s="3"/>
      <c r="IH333" s="3"/>
      <c r="II333" s="3"/>
      <c r="IJ333" s="3"/>
      <c r="IK333" s="3"/>
      <c r="IL333" s="3"/>
      <c r="IM333" s="3"/>
      <c r="IN333" s="3"/>
      <c r="IO333" s="3"/>
      <c r="IP333" s="3"/>
      <c r="IQ333" s="3"/>
      <c r="IR333" s="3"/>
      <c r="IS333" s="3"/>
      <c r="IT333" s="3"/>
      <c r="IU333" s="3"/>
      <c r="IV333" s="3"/>
      <c r="IW333" s="3"/>
      <c r="IX333" s="3"/>
      <c r="IY333" s="3"/>
      <c r="IZ333" s="3"/>
      <c r="JA333" s="3"/>
      <c r="JB333" s="3"/>
      <c r="JC333" s="3"/>
      <c r="JD333" s="3"/>
      <c r="JE333" s="3"/>
      <c r="JF333" s="3"/>
      <c r="JG333" s="3"/>
      <c r="JH333" s="3"/>
      <c r="JI333" s="3"/>
      <c r="JJ333" s="3"/>
      <c r="JK333" s="3"/>
      <c r="JL333" s="3"/>
      <c r="JM333" s="3"/>
      <c r="JN333" s="3"/>
      <c r="JO333" s="3"/>
      <c r="JP333" s="3"/>
      <c r="JQ333" s="3"/>
      <c r="JR333" s="3"/>
      <c r="JS333" s="3"/>
      <c r="JT333" s="3"/>
      <c r="JU333" s="3"/>
      <c r="JV333" s="3"/>
      <c r="JW333" s="3"/>
      <c r="JX333" s="3"/>
      <c r="JY333" s="3"/>
      <c r="JZ333" s="3"/>
      <c r="KA333" s="3"/>
      <c r="KB333" s="3"/>
      <c r="KC333" s="3"/>
      <c r="KD333" s="3"/>
      <c r="KE333" s="3"/>
      <c r="KF333" s="3"/>
      <c r="KG333" s="3"/>
      <c r="KH333" s="3"/>
      <c r="KI333" s="3"/>
      <c r="KJ333" s="3"/>
      <c r="KK333" s="3"/>
      <c r="KL333" s="3"/>
      <c r="KM333" s="3"/>
      <c r="KN333" s="3"/>
      <c r="KO333" s="3"/>
      <c r="KP333" s="3"/>
      <c r="KQ333" s="3"/>
      <c r="KR333" s="3"/>
      <c r="KS333" s="3"/>
      <c r="KT333" s="3"/>
      <c r="KU333" s="3"/>
      <c r="KV333" s="3"/>
      <c r="KW333" s="3"/>
      <c r="KX333" s="3"/>
      <c r="KY333" s="3"/>
      <c r="KZ333" s="3"/>
      <c r="LA333" s="3"/>
      <c r="LB333" s="3"/>
      <c r="LC333" s="3"/>
      <c r="LD333" s="3"/>
      <c r="LE333" s="3"/>
      <c r="LF333" s="3"/>
      <c r="LG333" s="3"/>
      <c r="LH333" s="3"/>
      <c r="LI333" s="3"/>
      <c r="LJ333" s="3"/>
      <c r="LK333" s="3"/>
      <c r="LL333" s="3"/>
      <c r="LM333" s="3"/>
      <c r="LN333" s="3"/>
      <c r="LO333" s="3"/>
      <c r="LP333" s="3"/>
      <c r="LQ333" s="3"/>
      <c r="LR333" s="3"/>
      <c r="LS333" s="3"/>
      <c r="LT333" s="3"/>
      <c r="LU333" s="3"/>
      <c r="LV333" s="3"/>
      <c r="LW333" s="3"/>
      <c r="LX333" s="3"/>
      <c r="LY333" s="3"/>
      <c r="LZ333" s="3"/>
      <c r="MA333" s="3"/>
      <c r="MB333" s="3"/>
      <c r="MC333" s="3"/>
      <c r="MD333" s="3"/>
      <c r="ME333" s="3"/>
      <c r="MF333" s="3"/>
      <c r="MG333" s="3"/>
      <c r="MH333" s="3"/>
      <c r="MI333" s="3"/>
    </row>
    <row r="334" spans="1:347"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ID334" s="3"/>
      <c r="IE334" s="3"/>
      <c r="IF334" s="3"/>
      <c r="IG334" s="3"/>
      <c r="IH334" s="3"/>
      <c r="II334" s="3"/>
      <c r="IJ334" s="3"/>
      <c r="IK334" s="3"/>
      <c r="IL334" s="3"/>
      <c r="IM334" s="3"/>
      <c r="IN334" s="3"/>
      <c r="IO334" s="3"/>
      <c r="IP334" s="3"/>
      <c r="IQ334" s="3"/>
      <c r="IR334" s="3"/>
      <c r="IS334" s="3"/>
      <c r="IT334" s="3"/>
      <c r="IU334" s="3"/>
      <c r="IV334" s="3"/>
      <c r="IW334" s="3"/>
      <c r="IX334" s="3"/>
      <c r="IY334" s="3"/>
      <c r="IZ334" s="3"/>
      <c r="JA334" s="3"/>
      <c r="JB334" s="3"/>
      <c r="JC334" s="3"/>
      <c r="JD334" s="3"/>
      <c r="JE334" s="3"/>
      <c r="JF334" s="3"/>
      <c r="JG334" s="3"/>
      <c r="JH334" s="3"/>
      <c r="JI334" s="3"/>
      <c r="JJ334" s="3"/>
      <c r="JK334" s="3"/>
      <c r="JL334" s="3"/>
      <c r="JM334" s="3"/>
      <c r="JN334" s="3"/>
      <c r="JO334" s="3"/>
      <c r="JP334" s="3"/>
      <c r="JQ334" s="3"/>
      <c r="JR334" s="3"/>
      <c r="JS334" s="3"/>
      <c r="JT334" s="3"/>
      <c r="JU334" s="3"/>
      <c r="JV334" s="3"/>
      <c r="JW334" s="3"/>
      <c r="JX334" s="3"/>
      <c r="JY334" s="3"/>
      <c r="JZ334" s="3"/>
      <c r="KA334" s="3"/>
      <c r="KB334" s="3"/>
      <c r="KC334" s="3"/>
      <c r="KD334" s="3"/>
      <c r="KE334" s="3"/>
      <c r="KF334" s="3"/>
      <c r="KG334" s="3"/>
      <c r="KH334" s="3"/>
      <c r="KI334" s="3"/>
      <c r="KJ334" s="3"/>
      <c r="KK334" s="3"/>
      <c r="KL334" s="3"/>
      <c r="KM334" s="3"/>
      <c r="KN334" s="3"/>
      <c r="KO334" s="3"/>
      <c r="KP334" s="3"/>
      <c r="KQ334" s="3"/>
      <c r="KR334" s="3"/>
      <c r="KS334" s="3"/>
      <c r="KT334" s="3"/>
      <c r="KU334" s="3"/>
      <c r="KV334" s="3"/>
      <c r="KW334" s="3"/>
      <c r="KX334" s="3"/>
      <c r="KY334" s="3"/>
      <c r="KZ334" s="3"/>
      <c r="LA334" s="3"/>
      <c r="LB334" s="3"/>
      <c r="LC334" s="3"/>
      <c r="LD334" s="3"/>
      <c r="LE334" s="3"/>
      <c r="LF334" s="3"/>
      <c r="LG334" s="3"/>
      <c r="LH334" s="3"/>
      <c r="LI334" s="3"/>
      <c r="LJ334" s="3"/>
      <c r="LK334" s="3"/>
      <c r="LL334" s="3"/>
      <c r="LM334" s="3"/>
      <c r="LN334" s="3"/>
      <c r="LO334" s="3"/>
      <c r="LP334" s="3"/>
      <c r="LQ334" s="3"/>
      <c r="LR334" s="3"/>
      <c r="LS334" s="3"/>
      <c r="LT334" s="3"/>
      <c r="LU334" s="3"/>
      <c r="LV334" s="3"/>
      <c r="LW334" s="3"/>
      <c r="LX334" s="3"/>
      <c r="LY334" s="3"/>
      <c r="LZ334" s="3"/>
      <c r="MA334" s="3"/>
      <c r="MB334" s="3"/>
      <c r="MC334" s="3"/>
      <c r="MD334" s="3"/>
      <c r="ME334" s="3"/>
      <c r="MF334" s="3"/>
      <c r="MG334" s="3"/>
      <c r="MH334" s="3"/>
      <c r="MI334" s="3"/>
    </row>
    <row r="335" spans="1:347"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ID335" s="3"/>
      <c r="IE335" s="3"/>
      <c r="IF335" s="3"/>
      <c r="IG335" s="3"/>
      <c r="IH335" s="3"/>
      <c r="II335" s="3"/>
      <c r="IJ335" s="3"/>
      <c r="IK335" s="3"/>
      <c r="IL335" s="3"/>
      <c r="IM335" s="3"/>
      <c r="IN335" s="3"/>
      <c r="IO335" s="3"/>
      <c r="IP335" s="3"/>
      <c r="IQ335" s="3"/>
      <c r="IR335" s="3"/>
      <c r="IS335" s="3"/>
      <c r="IT335" s="3"/>
      <c r="IU335" s="3"/>
      <c r="IV335" s="3"/>
      <c r="IW335" s="3"/>
      <c r="IX335" s="3"/>
      <c r="IY335" s="3"/>
      <c r="IZ335" s="3"/>
      <c r="JA335" s="3"/>
      <c r="JB335" s="3"/>
      <c r="JC335" s="3"/>
      <c r="JD335" s="3"/>
      <c r="JE335" s="3"/>
      <c r="JF335" s="3"/>
      <c r="JG335" s="3"/>
      <c r="JH335" s="3"/>
      <c r="JI335" s="3"/>
      <c r="JJ335" s="3"/>
      <c r="JK335" s="3"/>
      <c r="JL335" s="3"/>
      <c r="JM335" s="3"/>
      <c r="JN335" s="3"/>
      <c r="JO335" s="3"/>
      <c r="JP335" s="3"/>
      <c r="JQ335" s="3"/>
      <c r="JR335" s="3"/>
      <c r="JS335" s="3"/>
      <c r="JT335" s="3"/>
      <c r="JU335" s="3"/>
      <c r="JV335" s="3"/>
      <c r="JW335" s="3"/>
      <c r="JX335" s="3"/>
      <c r="JY335" s="3"/>
      <c r="JZ335" s="3"/>
      <c r="KA335" s="3"/>
      <c r="KB335" s="3"/>
      <c r="KC335" s="3"/>
      <c r="KD335" s="3"/>
      <c r="KE335" s="3"/>
      <c r="KF335" s="3"/>
      <c r="KG335" s="3"/>
      <c r="KH335" s="3"/>
      <c r="KI335" s="3"/>
      <c r="KJ335" s="3"/>
      <c r="KK335" s="3"/>
      <c r="KL335" s="3"/>
      <c r="KM335" s="3"/>
      <c r="KN335" s="3"/>
      <c r="KO335" s="3"/>
      <c r="KP335" s="3"/>
      <c r="KQ335" s="3"/>
      <c r="KR335" s="3"/>
      <c r="KS335" s="3"/>
      <c r="KT335" s="3"/>
      <c r="KU335" s="3"/>
      <c r="KV335" s="3"/>
      <c r="KW335" s="3"/>
      <c r="KX335" s="3"/>
      <c r="KY335" s="3"/>
      <c r="KZ335" s="3"/>
      <c r="LA335" s="3"/>
      <c r="LB335" s="3"/>
      <c r="LC335" s="3"/>
      <c r="LD335" s="3"/>
      <c r="LE335" s="3"/>
      <c r="LF335" s="3"/>
      <c r="LG335" s="3"/>
      <c r="LH335" s="3"/>
      <c r="LI335" s="3"/>
      <c r="LJ335" s="3"/>
      <c r="LK335" s="3"/>
      <c r="LL335" s="3"/>
      <c r="LM335" s="3"/>
      <c r="LN335" s="3"/>
      <c r="LO335" s="3"/>
      <c r="LP335" s="3"/>
      <c r="LQ335" s="3"/>
      <c r="LR335" s="3"/>
      <c r="LS335" s="3"/>
      <c r="LT335" s="3"/>
      <c r="LU335" s="3"/>
      <c r="LV335" s="3"/>
      <c r="LW335" s="3"/>
      <c r="LX335" s="3"/>
      <c r="LY335" s="3"/>
      <c r="LZ335" s="3"/>
      <c r="MA335" s="3"/>
      <c r="MB335" s="3"/>
      <c r="MC335" s="3"/>
      <c r="MD335" s="3"/>
      <c r="ME335" s="3"/>
      <c r="MF335" s="3"/>
      <c r="MG335" s="3"/>
      <c r="MH335" s="3"/>
      <c r="MI335" s="3"/>
    </row>
    <row r="336" spans="1:347"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ID336" s="3"/>
      <c r="IE336" s="3"/>
      <c r="IF336" s="3"/>
      <c r="IG336" s="3"/>
      <c r="IH336" s="3"/>
      <c r="II336" s="3"/>
      <c r="IJ336" s="3"/>
      <c r="IK336" s="3"/>
      <c r="IL336" s="3"/>
      <c r="IM336" s="3"/>
      <c r="IN336" s="3"/>
      <c r="IO336" s="3"/>
      <c r="IP336" s="3"/>
      <c r="IQ336" s="3"/>
      <c r="IR336" s="3"/>
      <c r="IS336" s="3"/>
      <c r="IT336" s="3"/>
      <c r="IU336" s="3"/>
      <c r="IV336" s="3"/>
      <c r="IW336" s="3"/>
      <c r="IX336" s="3"/>
      <c r="IY336" s="3"/>
      <c r="IZ336" s="3"/>
      <c r="JA336" s="3"/>
      <c r="JB336" s="3"/>
      <c r="JC336" s="3"/>
      <c r="JD336" s="3"/>
      <c r="JE336" s="3"/>
      <c r="JF336" s="3"/>
      <c r="JG336" s="3"/>
      <c r="JH336" s="3"/>
      <c r="JI336" s="3"/>
      <c r="JJ336" s="3"/>
      <c r="JK336" s="3"/>
      <c r="JL336" s="3"/>
      <c r="JM336" s="3"/>
      <c r="JN336" s="3"/>
      <c r="JO336" s="3"/>
      <c r="JP336" s="3"/>
      <c r="JQ336" s="3"/>
      <c r="JR336" s="3"/>
      <c r="JS336" s="3"/>
      <c r="JT336" s="3"/>
      <c r="JU336" s="3"/>
      <c r="JV336" s="3"/>
      <c r="JW336" s="3"/>
      <c r="JX336" s="3"/>
      <c r="JY336" s="3"/>
      <c r="JZ336" s="3"/>
      <c r="KA336" s="3"/>
      <c r="KB336" s="3"/>
      <c r="KC336" s="3"/>
      <c r="KD336" s="3"/>
      <c r="KE336" s="3"/>
      <c r="KF336" s="3"/>
      <c r="KG336" s="3"/>
      <c r="KH336" s="3"/>
      <c r="KI336" s="3"/>
      <c r="KJ336" s="3"/>
      <c r="KK336" s="3"/>
      <c r="KL336" s="3"/>
      <c r="KM336" s="3"/>
      <c r="KN336" s="3"/>
      <c r="KO336" s="3"/>
      <c r="KP336" s="3"/>
      <c r="KQ336" s="3"/>
      <c r="KR336" s="3"/>
      <c r="KS336" s="3"/>
      <c r="KT336" s="3"/>
      <c r="KU336" s="3"/>
      <c r="KV336" s="3"/>
      <c r="KW336" s="3"/>
      <c r="KX336" s="3"/>
      <c r="KY336" s="3"/>
      <c r="KZ336" s="3"/>
      <c r="LA336" s="3"/>
      <c r="LB336" s="3"/>
      <c r="LC336" s="3"/>
      <c r="LD336" s="3"/>
      <c r="LE336" s="3"/>
      <c r="LF336" s="3"/>
      <c r="LG336" s="3"/>
      <c r="LH336" s="3"/>
      <c r="LI336" s="3"/>
      <c r="LJ336" s="3"/>
      <c r="LK336" s="3"/>
      <c r="LL336" s="3"/>
      <c r="LM336" s="3"/>
      <c r="LN336" s="3"/>
      <c r="LO336" s="3"/>
      <c r="LP336" s="3"/>
      <c r="LQ336" s="3"/>
      <c r="LR336" s="3"/>
      <c r="LS336" s="3"/>
      <c r="LT336" s="3"/>
      <c r="LU336" s="3"/>
      <c r="LV336" s="3"/>
      <c r="LW336" s="3"/>
      <c r="LX336" s="3"/>
      <c r="LY336" s="3"/>
      <c r="LZ336" s="3"/>
      <c r="MA336" s="3"/>
      <c r="MB336" s="3"/>
      <c r="MC336" s="3"/>
      <c r="MD336" s="3"/>
      <c r="ME336" s="3"/>
      <c r="MF336" s="3"/>
      <c r="MG336" s="3"/>
      <c r="MH336" s="3"/>
      <c r="MI336" s="3"/>
    </row>
    <row r="337" spans="1:347"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ID337" s="3"/>
      <c r="IE337" s="3"/>
      <c r="IF337" s="3"/>
      <c r="IG337" s="3"/>
      <c r="IH337" s="3"/>
      <c r="II337" s="3"/>
      <c r="IJ337" s="3"/>
      <c r="IK337" s="3"/>
      <c r="IL337" s="3"/>
      <c r="IM337" s="3"/>
      <c r="IN337" s="3"/>
      <c r="IO337" s="3"/>
      <c r="IP337" s="3"/>
      <c r="IQ337" s="3"/>
      <c r="IR337" s="3"/>
      <c r="IS337" s="3"/>
      <c r="IT337" s="3"/>
      <c r="IU337" s="3"/>
      <c r="IV337" s="3"/>
      <c r="IW337" s="3"/>
      <c r="IX337" s="3"/>
      <c r="IY337" s="3"/>
      <c r="IZ337" s="3"/>
      <c r="JA337" s="3"/>
      <c r="JB337" s="3"/>
      <c r="JC337" s="3"/>
      <c r="JD337" s="3"/>
      <c r="JE337" s="3"/>
      <c r="JF337" s="3"/>
      <c r="JG337" s="3"/>
      <c r="JH337" s="3"/>
      <c r="JI337" s="3"/>
      <c r="JJ337" s="3"/>
      <c r="JK337" s="3"/>
      <c r="JL337" s="3"/>
      <c r="JM337" s="3"/>
      <c r="JN337" s="3"/>
      <c r="JO337" s="3"/>
      <c r="JP337" s="3"/>
      <c r="JQ337" s="3"/>
      <c r="JR337" s="3"/>
      <c r="JS337" s="3"/>
      <c r="JT337" s="3"/>
      <c r="JU337" s="3"/>
      <c r="JV337" s="3"/>
      <c r="JW337" s="3"/>
      <c r="JX337" s="3"/>
      <c r="JY337" s="3"/>
      <c r="JZ337" s="3"/>
      <c r="KA337" s="3"/>
      <c r="KB337" s="3"/>
      <c r="KC337" s="3"/>
      <c r="KD337" s="3"/>
      <c r="KE337" s="3"/>
      <c r="KF337" s="3"/>
      <c r="KG337" s="3"/>
      <c r="KH337" s="3"/>
      <c r="KI337" s="3"/>
      <c r="KJ337" s="3"/>
      <c r="KK337" s="3"/>
      <c r="KL337" s="3"/>
      <c r="KM337" s="3"/>
      <c r="KN337" s="3"/>
      <c r="KO337" s="3"/>
      <c r="KP337" s="3"/>
      <c r="KQ337" s="3"/>
      <c r="KR337" s="3"/>
      <c r="KS337" s="3"/>
      <c r="KT337" s="3"/>
      <c r="KU337" s="3"/>
      <c r="KV337" s="3"/>
      <c r="KW337" s="3"/>
      <c r="KX337" s="3"/>
      <c r="KY337" s="3"/>
      <c r="KZ337" s="3"/>
      <c r="LA337" s="3"/>
      <c r="LB337" s="3"/>
      <c r="LC337" s="3"/>
      <c r="LD337" s="3"/>
      <c r="LE337" s="3"/>
      <c r="LF337" s="3"/>
      <c r="LG337" s="3"/>
      <c r="LH337" s="3"/>
      <c r="LI337" s="3"/>
      <c r="LJ337" s="3"/>
      <c r="LK337" s="3"/>
      <c r="LL337" s="3"/>
      <c r="LM337" s="3"/>
      <c r="LN337" s="3"/>
      <c r="LO337" s="3"/>
      <c r="LP337" s="3"/>
      <c r="LQ337" s="3"/>
      <c r="LR337" s="3"/>
      <c r="LS337" s="3"/>
      <c r="LT337" s="3"/>
      <c r="LU337" s="3"/>
      <c r="LV337" s="3"/>
      <c r="LW337" s="3"/>
      <c r="LX337" s="3"/>
      <c r="LY337" s="3"/>
      <c r="LZ337" s="3"/>
      <c r="MA337" s="3"/>
      <c r="MB337" s="3"/>
      <c r="MC337" s="3"/>
      <c r="MD337" s="3"/>
      <c r="ME337" s="3"/>
      <c r="MF337" s="3"/>
      <c r="MG337" s="3"/>
      <c r="MH337" s="3"/>
      <c r="MI337" s="3"/>
    </row>
    <row r="338" spans="1:347"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ID338" s="3"/>
      <c r="IE338" s="3"/>
      <c r="IF338" s="3"/>
      <c r="IG338" s="3"/>
      <c r="IH338" s="3"/>
      <c r="II338" s="3"/>
      <c r="IJ338" s="3"/>
      <c r="IK338" s="3"/>
      <c r="IL338" s="3"/>
      <c r="IM338" s="3"/>
      <c r="IN338" s="3"/>
      <c r="IO338" s="3"/>
      <c r="IP338" s="3"/>
      <c r="IQ338" s="3"/>
      <c r="IR338" s="3"/>
      <c r="IS338" s="3"/>
      <c r="IT338" s="3"/>
      <c r="IU338" s="3"/>
      <c r="IV338" s="3"/>
      <c r="IW338" s="3"/>
      <c r="IX338" s="3"/>
      <c r="IY338" s="3"/>
      <c r="IZ338" s="3"/>
      <c r="JA338" s="3"/>
      <c r="JB338" s="3"/>
      <c r="JC338" s="3"/>
      <c r="JD338" s="3"/>
      <c r="JE338" s="3"/>
      <c r="JF338" s="3"/>
      <c r="JG338" s="3"/>
      <c r="JH338" s="3"/>
      <c r="JI338" s="3"/>
      <c r="JJ338" s="3"/>
      <c r="JK338" s="3"/>
      <c r="JL338" s="3"/>
      <c r="JM338" s="3"/>
      <c r="JN338" s="3"/>
      <c r="JO338" s="3"/>
      <c r="JP338" s="3"/>
      <c r="JQ338" s="3"/>
      <c r="JR338" s="3"/>
      <c r="JS338" s="3"/>
      <c r="JT338" s="3"/>
      <c r="JU338" s="3"/>
      <c r="JV338" s="3"/>
      <c r="JW338" s="3"/>
      <c r="JX338" s="3"/>
      <c r="JY338" s="3"/>
      <c r="JZ338" s="3"/>
      <c r="KA338" s="3"/>
      <c r="KB338" s="3"/>
      <c r="KC338" s="3"/>
      <c r="KD338" s="3"/>
      <c r="KE338" s="3"/>
      <c r="KF338" s="3"/>
      <c r="KG338" s="3"/>
      <c r="KH338" s="3"/>
      <c r="KI338" s="3"/>
      <c r="KJ338" s="3"/>
      <c r="KK338" s="3"/>
      <c r="KL338" s="3"/>
      <c r="KM338" s="3"/>
      <c r="KN338" s="3"/>
      <c r="KO338" s="3"/>
      <c r="KP338" s="3"/>
      <c r="KQ338" s="3"/>
      <c r="KR338" s="3"/>
      <c r="KS338" s="3"/>
      <c r="KT338" s="3"/>
      <c r="KU338" s="3"/>
      <c r="KV338" s="3"/>
      <c r="KW338" s="3"/>
      <c r="KX338" s="3"/>
      <c r="KY338" s="3"/>
      <c r="KZ338" s="3"/>
      <c r="LA338" s="3"/>
      <c r="LB338" s="3"/>
      <c r="LC338" s="3"/>
      <c r="LD338" s="3"/>
      <c r="LE338" s="3"/>
      <c r="LF338" s="3"/>
      <c r="LG338" s="3"/>
      <c r="LH338" s="3"/>
      <c r="LI338" s="3"/>
      <c r="LJ338" s="3"/>
      <c r="LK338" s="3"/>
      <c r="LL338" s="3"/>
      <c r="LM338" s="3"/>
      <c r="LN338" s="3"/>
      <c r="LO338" s="3"/>
      <c r="LP338" s="3"/>
      <c r="LQ338" s="3"/>
      <c r="LR338" s="3"/>
      <c r="LS338" s="3"/>
      <c r="LT338" s="3"/>
      <c r="LU338" s="3"/>
      <c r="LV338" s="3"/>
      <c r="LW338" s="3"/>
      <c r="LX338" s="3"/>
      <c r="LY338" s="3"/>
      <c r="LZ338" s="3"/>
      <c r="MA338" s="3"/>
      <c r="MB338" s="3"/>
      <c r="MC338" s="3"/>
      <c r="MD338" s="3"/>
      <c r="ME338" s="3"/>
      <c r="MF338" s="3"/>
      <c r="MG338" s="3"/>
      <c r="MH338" s="3"/>
      <c r="MI338" s="3"/>
    </row>
    <row r="339" spans="1:347"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c r="LV339" s="3"/>
      <c r="LW339" s="3"/>
      <c r="LX339" s="3"/>
      <c r="LY339" s="3"/>
      <c r="LZ339" s="3"/>
      <c r="MA339" s="3"/>
      <c r="MB339" s="3"/>
      <c r="MC339" s="3"/>
      <c r="MD339" s="3"/>
      <c r="ME339" s="3"/>
      <c r="MF339" s="3"/>
      <c r="MG339" s="3"/>
      <c r="MH339" s="3"/>
      <c r="MI339" s="3"/>
    </row>
    <row r="340" spans="1:347"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c r="LV340" s="3"/>
      <c r="LW340" s="3"/>
      <c r="LX340" s="3"/>
      <c r="LY340" s="3"/>
      <c r="LZ340" s="3"/>
      <c r="MA340" s="3"/>
      <c r="MB340" s="3"/>
      <c r="MC340" s="3"/>
      <c r="MD340" s="3"/>
      <c r="ME340" s="3"/>
      <c r="MF340" s="3"/>
      <c r="MG340" s="3"/>
      <c r="MH340" s="3"/>
      <c r="MI340" s="3"/>
    </row>
    <row r="341" spans="1:347"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c r="LV341" s="3"/>
      <c r="LW341" s="3"/>
      <c r="LX341" s="3"/>
      <c r="LY341" s="3"/>
      <c r="LZ341" s="3"/>
      <c r="MA341" s="3"/>
      <c r="MB341" s="3"/>
      <c r="MC341" s="3"/>
      <c r="MD341" s="3"/>
      <c r="ME341" s="3"/>
      <c r="MF341" s="3"/>
      <c r="MG341" s="3"/>
      <c r="MH341" s="3"/>
      <c r="MI341" s="3"/>
    </row>
    <row r="342" spans="1:347"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c r="HX342" s="3"/>
      <c r="HY342" s="3"/>
      <c r="HZ342" s="3"/>
      <c r="IA342" s="3"/>
      <c r="IB342" s="3"/>
      <c r="IC342" s="3"/>
      <c r="ID342" s="3"/>
      <c r="IE342" s="3"/>
      <c r="IF342" s="3"/>
      <c r="IG342" s="3"/>
      <c r="IH342" s="3"/>
      <c r="II342" s="3"/>
      <c r="IJ342" s="3"/>
      <c r="IK342" s="3"/>
      <c r="IL342" s="3"/>
      <c r="IM342" s="3"/>
      <c r="IN342" s="3"/>
      <c r="IO342" s="3"/>
      <c r="IP342" s="3"/>
      <c r="IQ342" s="3"/>
      <c r="IR342" s="3"/>
      <c r="IS342" s="3"/>
      <c r="IT342" s="3"/>
      <c r="IU342" s="3"/>
      <c r="IV342" s="3"/>
      <c r="IW342" s="3"/>
      <c r="IX342" s="3"/>
      <c r="IY342" s="3"/>
      <c r="IZ342" s="3"/>
      <c r="JA342" s="3"/>
      <c r="JB342" s="3"/>
      <c r="JC342" s="3"/>
      <c r="JD342" s="3"/>
      <c r="JE342" s="3"/>
      <c r="JF342" s="3"/>
      <c r="JG342" s="3"/>
      <c r="JH342" s="3"/>
      <c r="JI342" s="3"/>
      <c r="JJ342" s="3"/>
      <c r="JK342" s="3"/>
      <c r="JL342" s="3"/>
      <c r="JM342" s="3"/>
      <c r="JN342" s="3"/>
      <c r="JO342" s="3"/>
      <c r="JP342" s="3"/>
      <c r="JQ342" s="3"/>
      <c r="JR342" s="3"/>
      <c r="JS342" s="3"/>
      <c r="JT342" s="3"/>
      <c r="JU342" s="3"/>
      <c r="JV342" s="3"/>
      <c r="JW342" s="3"/>
      <c r="JX342" s="3"/>
      <c r="JY342" s="3"/>
      <c r="JZ342" s="3"/>
      <c r="KA342" s="3"/>
      <c r="KB342" s="3"/>
      <c r="KC342" s="3"/>
      <c r="KD342" s="3"/>
      <c r="KE342" s="3"/>
      <c r="KF342" s="3"/>
      <c r="KG342" s="3"/>
      <c r="KH342" s="3"/>
      <c r="KI342" s="3"/>
      <c r="KJ342" s="3"/>
      <c r="KK342" s="3"/>
      <c r="KL342" s="3"/>
      <c r="KM342" s="3"/>
      <c r="KN342" s="3"/>
      <c r="KO342" s="3"/>
      <c r="KP342" s="3"/>
      <c r="KQ342" s="3"/>
      <c r="KR342" s="3"/>
      <c r="KS342" s="3"/>
      <c r="KT342" s="3"/>
      <c r="KU342" s="3"/>
      <c r="KV342" s="3"/>
      <c r="KW342" s="3"/>
      <c r="KX342" s="3"/>
      <c r="KY342" s="3"/>
      <c r="KZ342" s="3"/>
      <c r="LA342" s="3"/>
      <c r="LB342" s="3"/>
      <c r="LC342" s="3"/>
      <c r="LD342" s="3"/>
      <c r="LE342" s="3"/>
      <c r="LF342" s="3"/>
      <c r="LG342" s="3"/>
      <c r="LH342" s="3"/>
      <c r="LI342" s="3"/>
      <c r="LJ342" s="3"/>
      <c r="LK342" s="3"/>
      <c r="LL342" s="3"/>
      <c r="LM342" s="3"/>
      <c r="LN342" s="3"/>
      <c r="LO342" s="3"/>
      <c r="LP342" s="3"/>
      <c r="LQ342" s="3"/>
      <c r="LR342" s="3"/>
      <c r="LS342" s="3"/>
      <c r="LT342" s="3"/>
      <c r="LU342" s="3"/>
      <c r="LV342" s="3"/>
      <c r="LW342" s="3"/>
      <c r="LX342" s="3"/>
      <c r="LY342" s="3"/>
      <c r="LZ342" s="3"/>
      <c r="MA342" s="3"/>
      <c r="MB342" s="3"/>
      <c r="MC342" s="3"/>
      <c r="MD342" s="3"/>
      <c r="ME342" s="3"/>
      <c r="MF342" s="3"/>
      <c r="MG342" s="3"/>
      <c r="MH342" s="3"/>
      <c r="MI342" s="3"/>
    </row>
    <row r="343" spans="1:347"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c r="HX343" s="3"/>
      <c r="HY343" s="3"/>
      <c r="HZ343" s="3"/>
      <c r="IA343" s="3"/>
      <c r="IB343" s="3"/>
      <c r="IC343" s="3"/>
      <c r="ID343" s="3"/>
      <c r="IE343" s="3"/>
      <c r="IF343" s="3"/>
      <c r="IG343" s="3"/>
      <c r="IH343" s="3"/>
      <c r="II343" s="3"/>
      <c r="IJ343" s="3"/>
      <c r="IK343" s="3"/>
      <c r="IL343" s="3"/>
      <c r="IM343" s="3"/>
      <c r="IN343" s="3"/>
      <c r="IO343" s="3"/>
      <c r="IP343" s="3"/>
      <c r="IQ343" s="3"/>
      <c r="IR343" s="3"/>
      <c r="IS343" s="3"/>
      <c r="IT343" s="3"/>
      <c r="IU343" s="3"/>
      <c r="IV343" s="3"/>
      <c r="IW343" s="3"/>
      <c r="IX343" s="3"/>
      <c r="IY343" s="3"/>
      <c r="IZ343" s="3"/>
      <c r="JA343" s="3"/>
      <c r="JB343" s="3"/>
      <c r="JC343" s="3"/>
      <c r="JD343" s="3"/>
      <c r="JE343" s="3"/>
      <c r="JF343" s="3"/>
      <c r="JG343" s="3"/>
      <c r="JH343" s="3"/>
      <c r="JI343" s="3"/>
      <c r="JJ343" s="3"/>
      <c r="JK343" s="3"/>
      <c r="JL343" s="3"/>
      <c r="JM343" s="3"/>
      <c r="JN343" s="3"/>
      <c r="JO343" s="3"/>
      <c r="JP343" s="3"/>
      <c r="JQ343" s="3"/>
      <c r="JR343" s="3"/>
      <c r="JS343" s="3"/>
      <c r="JT343" s="3"/>
      <c r="JU343" s="3"/>
      <c r="JV343" s="3"/>
      <c r="JW343" s="3"/>
      <c r="JX343" s="3"/>
      <c r="JY343" s="3"/>
      <c r="JZ343" s="3"/>
      <c r="KA343" s="3"/>
      <c r="KB343" s="3"/>
      <c r="KC343" s="3"/>
      <c r="KD343" s="3"/>
      <c r="KE343" s="3"/>
      <c r="KF343" s="3"/>
      <c r="KG343" s="3"/>
      <c r="KH343" s="3"/>
      <c r="KI343" s="3"/>
      <c r="KJ343" s="3"/>
      <c r="KK343" s="3"/>
      <c r="KL343" s="3"/>
      <c r="KM343" s="3"/>
      <c r="KN343" s="3"/>
      <c r="KO343" s="3"/>
      <c r="KP343" s="3"/>
      <c r="KQ343" s="3"/>
      <c r="KR343" s="3"/>
      <c r="KS343" s="3"/>
      <c r="KT343" s="3"/>
      <c r="KU343" s="3"/>
      <c r="KV343" s="3"/>
      <c r="KW343" s="3"/>
      <c r="KX343" s="3"/>
      <c r="KY343" s="3"/>
      <c r="KZ343" s="3"/>
      <c r="LA343" s="3"/>
      <c r="LB343" s="3"/>
      <c r="LC343" s="3"/>
      <c r="LD343" s="3"/>
      <c r="LE343" s="3"/>
      <c r="LF343" s="3"/>
      <c r="LG343" s="3"/>
      <c r="LH343" s="3"/>
      <c r="LI343" s="3"/>
      <c r="LJ343" s="3"/>
      <c r="LK343" s="3"/>
      <c r="LL343" s="3"/>
      <c r="LM343" s="3"/>
      <c r="LN343" s="3"/>
      <c r="LO343" s="3"/>
      <c r="LP343" s="3"/>
      <c r="LQ343" s="3"/>
      <c r="LR343" s="3"/>
      <c r="LS343" s="3"/>
      <c r="LT343" s="3"/>
      <c r="LU343" s="3"/>
      <c r="LV343" s="3"/>
      <c r="LW343" s="3"/>
      <c r="LX343" s="3"/>
      <c r="LY343" s="3"/>
      <c r="LZ343" s="3"/>
      <c r="MA343" s="3"/>
      <c r="MB343" s="3"/>
      <c r="MC343" s="3"/>
      <c r="MD343" s="3"/>
      <c r="ME343" s="3"/>
      <c r="MF343" s="3"/>
      <c r="MG343" s="3"/>
      <c r="MH343" s="3"/>
      <c r="MI343" s="3"/>
    </row>
    <row r="344" spans="1:347"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c r="HX344" s="3"/>
      <c r="HY344" s="3"/>
      <c r="HZ344" s="3"/>
      <c r="IA344" s="3"/>
      <c r="IB344" s="3"/>
      <c r="IC344" s="3"/>
      <c r="ID344" s="3"/>
      <c r="IE344" s="3"/>
      <c r="IF344" s="3"/>
      <c r="IG344" s="3"/>
      <c r="IH344" s="3"/>
      <c r="II344" s="3"/>
      <c r="IJ344" s="3"/>
      <c r="IK344" s="3"/>
      <c r="IL344" s="3"/>
      <c r="IM344" s="3"/>
      <c r="IN344" s="3"/>
      <c r="IO344" s="3"/>
      <c r="IP344" s="3"/>
      <c r="IQ344" s="3"/>
      <c r="IR344" s="3"/>
      <c r="IS344" s="3"/>
      <c r="IT344" s="3"/>
      <c r="IU344" s="3"/>
      <c r="IV344" s="3"/>
      <c r="IW344" s="3"/>
      <c r="IX344" s="3"/>
      <c r="IY344" s="3"/>
      <c r="IZ344" s="3"/>
      <c r="JA344" s="3"/>
      <c r="JB344" s="3"/>
      <c r="JC344" s="3"/>
      <c r="JD344" s="3"/>
      <c r="JE344" s="3"/>
      <c r="JF344" s="3"/>
      <c r="JG344" s="3"/>
      <c r="JH344" s="3"/>
      <c r="JI344" s="3"/>
      <c r="JJ344" s="3"/>
      <c r="JK344" s="3"/>
      <c r="JL344" s="3"/>
      <c r="JM344" s="3"/>
      <c r="JN344" s="3"/>
      <c r="JO344" s="3"/>
      <c r="JP344" s="3"/>
      <c r="JQ344" s="3"/>
      <c r="JR344" s="3"/>
      <c r="JS344" s="3"/>
      <c r="JT344" s="3"/>
      <c r="JU344" s="3"/>
      <c r="JV344" s="3"/>
      <c r="JW344" s="3"/>
      <c r="JX344" s="3"/>
      <c r="JY344" s="3"/>
      <c r="JZ344" s="3"/>
      <c r="KA344" s="3"/>
      <c r="KB344" s="3"/>
      <c r="KC344" s="3"/>
      <c r="KD344" s="3"/>
      <c r="KE344" s="3"/>
      <c r="KF344" s="3"/>
      <c r="KG344" s="3"/>
      <c r="KH344" s="3"/>
      <c r="KI344" s="3"/>
      <c r="KJ344" s="3"/>
      <c r="KK344" s="3"/>
      <c r="KL344" s="3"/>
      <c r="KM344" s="3"/>
      <c r="KN344" s="3"/>
      <c r="KO344" s="3"/>
      <c r="KP344" s="3"/>
      <c r="KQ344" s="3"/>
      <c r="KR344" s="3"/>
      <c r="KS344" s="3"/>
      <c r="KT344" s="3"/>
      <c r="KU344" s="3"/>
      <c r="KV344" s="3"/>
      <c r="KW344" s="3"/>
      <c r="KX344" s="3"/>
      <c r="KY344" s="3"/>
      <c r="KZ344" s="3"/>
      <c r="LA344" s="3"/>
      <c r="LB344" s="3"/>
      <c r="LC344" s="3"/>
      <c r="LD344" s="3"/>
      <c r="LE344" s="3"/>
      <c r="LF344" s="3"/>
      <c r="LG344" s="3"/>
      <c r="LH344" s="3"/>
      <c r="LI344" s="3"/>
      <c r="LJ344" s="3"/>
      <c r="LK344" s="3"/>
      <c r="LL344" s="3"/>
      <c r="LM344" s="3"/>
      <c r="LN344" s="3"/>
      <c r="LO344" s="3"/>
      <c r="LP344" s="3"/>
      <c r="LQ344" s="3"/>
      <c r="LR344" s="3"/>
      <c r="LS344" s="3"/>
      <c r="LT344" s="3"/>
      <c r="LU344" s="3"/>
      <c r="LV344" s="3"/>
      <c r="LW344" s="3"/>
      <c r="LX344" s="3"/>
      <c r="LY344" s="3"/>
      <c r="LZ344" s="3"/>
      <c r="MA344" s="3"/>
      <c r="MB344" s="3"/>
      <c r="MC344" s="3"/>
      <c r="MD344" s="3"/>
      <c r="ME344" s="3"/>
      <c r="MF344" s="3"/>
      <c r="MG344" s="3"/>
      <c r="MH344" s="3"/>
      <c r="MI344" s="3"/>
    </row>
    <row r="345" spans="1:347"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c r="HX345" s="3"/>
      <c r="HY345" s="3"/>
      <c r="HZ345" s="3"/>
      <c r="IA345" s="3"/>
      <c r="IB345" s="3"/>
      <c r="IC345" s="3"/>
      <c r="ID345" s="3"/>
      <c r="IE345" s="3"/>
      <c r="IF345" s="3"/>
      <c r="IG345" s="3"/>
      <c r="IH345" s="3"/>
      <c r="II345" s="3"/>
      <c r="IJ345" s="3"/>
      <c r="IK345" s="3"/>
      <c r="IL345" s="3"/>
      <c r="IM345" s="3"/>
      <c r="IN345" s="3"/>
      <c r="IO345" s="3"/>
      <c r="IP345" s="3"/>
      <c r="IQ345" s="3"/>
      <c r="IR345" s="3"/>
      <c r="IS345" s="3"/>
      <c r="IT345" s="3"/>
      <c r="IU345" s="3"/>
      <c r="IV345" s="3"/>
      <c r="IW345" s="3"/>
      <c r="IX345" s="3"/>
      <c r="IY345" s="3"/>
      <c r="IZ345" s="3"/>
      <c r="JA345" s="3"/>
      <c r="JB345" s="3"/>
      <c r="JC345" s="3"/>
      <c r="JD345" s="3"/>
      <c r="JE345" s="3"/>
      <c r="JF345" s="3"/>
      <c r="JG345" s="3"/>
      <c r="JH345" s="3"/>
      <c r="JI345" s="3"/>
      <c r="JJ345" s="3"/>
      <c r="JK345" s="3"/>
      <c r="JL345" s="3"/>
      <c r="JM345" s="3"/>
      <c r="JN345" s="3"/>
      <c r="JO345" s="3"/>
      <c r="JP345" s="3"/>
      <c r="JQ345" s="3"/>
      <c r="JR345" s="3"/>
      <c r="JS345" s="3"/>
      <c r="JT345" s="3"/>
      <c r="JU345" s="3"/>
      <c r="JV345" s="3"/>
      <c r="JW345" s="3"/>
      <c r="JX345" s="3"/>
      <c r="JY345" s="3"/>
      <c r="JZ345" s="3"/>
      <c r="KA345" s="3"/>
      <c r="KB345" s="3"/>
      <c r="KC345" s="3"/>
      <c r="KD345" s="3"/>
      <c r="KE345" s="3"/>
      <c r="KF345" s="3"/>
      <c r="KG345" s="3"/>
      <c r="KH345" s="3"/>
      <c r="KI345" s="3"/>
      <c r="KJ345" s="3"/>
      <c r="KK345" s="3"/>
      <c r="KL345" s="3"/>
      <c r="KM345" s="3"/>
      <c r="KN345" s="3"/>
      <c r="KO345" s="3"/>
      <c r="KP345" s="3"/>
      <c r="KQ345" s="3"/>
      <c r="KR345" s="3"/>
      <c r="KS345" s="3"/>
      <c r="KT345" s="3"/>
      <c r="KU345" s="3"/>
      <c r="KV345" s="3"/>
      <c r="KW345" s="3"/>
      <c r="KX345" s="3"/>
      <c r="KY345" s="3"/>
      <c r="KZ345" s="3"/>
      <c r="LA345" s="3"/>
      <c r="LB345" s="3"/>
      <c r="LC345" s="3"/>
      <c r="LD345" s="3"/>
      <c r="LE345" s="3"/>
      <c r="LF345" s="3"/>
      <c r="LG345" s="3"/>
      <c r="LH345" s="3"/>
      <c r="LI345" s="3"/>
      <c r="LJ345" s="3"/>
      <c r="LK345" s="3"/>
      <c r="LL345" s="3"/>
      <c r="LM345" s="3"/>
      <c r="LN345" s="3"/>
      <c r="LO345" s="3"/>
      <c r="LP345" s="3"/>
      <c r="LQ345" s="3"/>
      <c r="LR345" s="3"/>
      <c r="LS345" s="3"/>
      <c r="LT345" s="3"/>
      <c r="LU345" s="3"/>
      <c r="LV345" s="3"/>
      <c r="LW345" s="3"/>
      <c r="LX345" s="3"/>
      <c r="LY345" s="3"/>
      <c r="LZ345" s="3"/>
      <c r="MA345" s="3"/>
      <c r="MB345" s="3"/>
      <c r="MC345" s="3"/>
      <c r="MD345" s="3"/>
      <c r="ME345" s="3"/>
      <c r="MF345" s="3"/>
      <c r="MG345" s="3"/>
      <c r="MH345" s="3"/>
      <c r="MI345" s="3"/>
    </row>
    <row r="346" spans="1:347"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c r="HX346" s="3"/>
      <c r="HY346" s="3"/>
      <c r="HZ346" s="3"/>
      <c r="IA346" s="3"/>
      <c r="IB346" s="3"/>
      <c r="IC346" s="3"/>
      <c r="ID346" s="3"/>
      <c r="IE346" s="3"/>
      <c r="IF346" s="3"/>
      <c r="IG346" s="3"/>
      <c r="IH346" s="3"/>
      <c r="II346" s="3"/>
      <c r="IJ346" s="3"/>
      <c r="IK346" s="3"/>
      <c r="IL346" s="3"/>
      <c r="IM346" s="3"/>
      <c r="IN346" s="3"/>
      <c r="IO346" s="3"/>
      <c r="IP346" s="3"/>
      <c r="IQ346" s="3"/>
      <c r="IR346" s="3"/>
      <c r="IS346" s="3"/>
      <c r="IT346" s="3"/>
      <c r="IU346" s="3"/>
      <c r="IV346" s="3"/>
      <c r="IW346" s="3"/>
      <c r="IX346" s="3"/>
      <c r="IY346" s="3"/>
      <c r="IZ346" s="3"/>
      <c r="JA346" s="3"/>
      <c r="JB346" s="3"/>
      <c r="JC346" s="3"/>
      <c r="JD346" s="3"/>
      <c r="JE346" s="3"/>
      <c r="JF346" s="3"/>
      <c r="JG346" s="3"/>
      <c r="JH346" s="3"/>
      <c r="JI346" s="3"/>
      <c r="JJ346" s="3"/>
      <c r="JK346" s="3"/>
      <c r="JL346" s="3"/>
      <c r="JM346" s="3"/>
      <c r="JN346" s="3"/>
      <c r="JO346" s="3"/>
      <c r="JP346" s="3"/>
      <c r="JQ346" s="3"/>
      <c r="JR346" s="3"/>
      <c r="JS346" s="3"/>
      <c r="JT346" s="3"/>
      <c r="JU346" s="3"/>
      <c r="JV346" s="3"/>
      <c r="JW346" s="3"/>
      <c r="JX346" s="3"/>
      <c r="JY346" s="3"/>
      <c r="JZ346" s="3"/>
      <c r="KA346" s="3"/>
      <c r="KB346" s="3"/>
      <c r="KC346" s="3"/>
      <c r="KD346" s="3"/>
      <c r="KE346" s="3"/>
      <c r="KF346" s="3"/>
      <c r="KG346" s="3"/>
      <c r="KH346" s="3"/>
      <c r="KI346" s="3"/>
      <c r="KJ346" s="3"/>
      <c r="KK346" s="3"/>
      <c r="KL346" s="3"/>
      <c r="KM346" s="3"/>
      <c r="KN346" s="3"/>
      <c r="KO346" s="3"/>
      <c r="KP346" s="3"/>
      <c r="KQ346" s="3"/>
      <c r="KR346" s="3"/>
      <c r="KS346" s="3"/>
      <c r="KT346" s="3"/>
      <c r="KU346" s="3"/>
      <c r="KV346" s="3"/>
      <c r="KW346" s="3"/>
      <c r="KX346" s="3"/>
      <c r="KY346" s="3"/>
      <c r="KZ346" s="3"/>
      <c r="LA346" s="3"/>
      <c r="LB346" s="3"/>
      <c r="LC346" s="3"/>
      <c r="LD346" s="3"/>
      <c r="LE346" s="3"/>
      <c r="LF346" s="3"/>
      <c r="LG346" s="3"/>
      <c r="LH346" s="3"/>
      <c r="LI346" s="3"/>
      <c r="LJ346" s="3"/>
      <c r="LK346" s="3"/>
      <c r="LL346" s="3"/>
      <c r="LM346" s="3"/>
      <c r="LN346" s="3"/>
      <c r="LO346" s="3"/>
      <c r="LP346" s="3"/>
      <c r="LQ346" s="3"/>
      <c r="LR346" s="3"/>
      <c r="LS346" s="3"/>
      <c r="LT346" s="3"/>
      <c r="LU346" s="3"/>
      <c r="LV346" s="3"/>
      <c r="LW346" s="3"/>
      <c r="LX346" s="3"/>
      <c r="LY346" s="3"/>
      <c r="LZ346" s="3"/>
      <c r="MA346" s="3"/>
      <c r="MB346" s="3"/>
      <c r="MC346" s="3"/>
      <c r="MD346" s="3"/>
      <c r="ME346" s="3"/>
      <c r="MF346" s="3"/>
      <c r="MG346" s="3"/>
      <c r="MH346" s="3"/>
      <c r="MI346" s="3"/>
    </row>
    <row r="347" spans="1:347"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ID347" s="3"/>
      <c r="IE347" s="3"/>
      <c r="IF347" s="3"/>
      <c r="IG347" s="3"/>
      <c r="IH347" s="3"/>
      <c r="II347" s="3"/>
      <c r="IJ347" s="3"/>
      <c r="IK347" s="3"/>
      <c r="IL347" s="3"/>
      <c r="IM347" s="3"/>
      <c r="IN347" s="3"/>
      <c r="IO347" s="3"/>
      <c r="IP347" s="3"/>
      <c r="IQ347" s="3"/>
      <c r="IR347" s="3"/>
      <c r="IS347" s="3"/>
      <c r="IT347" s="3"/>
      <c r="IU347" s="3"/>
      <c r="IV347" s="3"/>
      <c r="IW347" s="3"/>
      <c r="IX347" s="3"/>
      <c r="IY347" s="3"/>
      <c r="IZ347" s="3"/>
      <c r="JA347" s="3"/>
      <c r="JB347" s="3"/>
      <c r="JC347" s="3"/>
      <c r="JD347" s="3"/>
      <c r="JE347" s="3"/>
      <c r="JF347" s="3"/>
      <c r="JG347" s="3"/>
      <c r="JH347" s="3"/>
      <c r="JI347" s="3"/>
      <c r="JJ347" s="3"/>
      <c r="JK347" s="3"/>
      <c r="JL347" s="3"/>
      <c r="JM347" s="3"/>
      <c r="JN347" s="3"/>
      <c r="JO347" s="3"/>
      <c r="JP347" s="3"/>
      <c r="JQ347" s="3"/>
      <c r="JR347" s="3"/>
      <c r="JS347" s="3"/>
      <c r="JT347" s="3"/>
      <c r="JU347" s="3"/>
      <c r="JV347" s="3"/>
      <c r="JW347" s="3"/>
      <c r="JX347" s="3"/>
      <c r="JY347" s="3"/>
      <c r="JZ347" s="3"/>
      <c r="KA347" s="3"/>
      <c r="KB347" s="3"/>
      <c r="KC347" s="3"/>
      <c r="KD347" s="3"/>
      <c r="KE347" s="3"/>
      <c r="KF347" s="3"/>
      <c r="KG347" s="3"/>
      <c r="KH347" s="3"/>
      <c r="KI347" s="3"/>
      <c r="KJ347" s="3"/>
      <c r="KK347" s="3"/>
      <c r="KL347" s="3"/>
      <c r="KM347" s="3"/>
      <c r="KN347" s="3"/>
      <c r="KO347" s="3"/>
      <c r="KP347" s="3"/>
      <c r="KQ347" s="3"/>
      <c r="KR347" s="3"/>
      <c r="KS347" s="3"/>
      <c r="KT347" s="3"/>
      <c r="KU347" s="3"/>
      <c r="KV347" s="3"/>
      <c r="KW347" s="3"/>
      <c r="KX347" s="3"/>
      <c r="KY347" s="3"/>
      <c r="KZ347" s="3"/>
      <c r="LA347" s="3"/>
      <c r="LB347" s="3"/>
      <c r="LC347" s="3"/>
      <c r="LD347" s="3"/>
      <c r="LE347" s="3"/>
      <c r="LF347" s="3"/>
      <c r="LG347" s="3"/>
      <c r="LH347" s="3"/>
      <c r="LI347" s="3"/>
      <c r="LJ347" s="3"/>
      <c r="LK347" s="3"/>
      <c r="LL347" s="3"/>
      <c r="LM347" s="3"/>
      <c r="LN347" s="3"/>
      <c r="LO347" s="3"/>
      <c r="LP347" s="3"/>
      <c r="LQ347" s="3"/>
      <c r="LR347" s="3"/>
      <c r="LS347" s="3"/>
      <c r="LT347" s="3"/>
      <c r="LU347" s="3"/>
      <c r="LV347" s="3"/>
      <c r="LW347" s="3"/>
      <c r="LX347" s="3"/>
      <c r="LY347" s="3"/>
      <c r="LZ347" s="3"/>
      <c r="MA347" s="3"/>
      <c r="MB347" s="3"/>
      <c r="MC347" s="3"/>
      <c r="MD347" s="3"/>
      <c r="ME347" s="3"/>
      <c r="MF347" s="3"/>
      <c r="MG347" s="3"/>
      <c r="MH347" s="3"/>
      <c r="MI347" s="3"/>
    </row>
    <row r="348" spans="1:347"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ID348" s="3"/>
      <c r="IE348" s="3"/>
      <c r="IF348" s="3"/>
      <c r="IG348" s="3"/>
      <c r="IH348" s="3"/>
      <c r="II348" s="3"/>
      <c r="IJ348" s="3"/>
      <c r="IK348" s="3"/>
      <c r="IL348" s="3"/>
      <c r="IM348" s="3"/>
      <c r="IN348" s="3"/>
      <c r="IO348" s="3"/>
      <c r="IP348" s="3"/>
      <c r="IQ348" s="3"/>
      <c r="IR348" s="3"/>
      <c r="IS348" s="3"/>
      <c r="IT348" s="3"/>
      <c r="IU348" s="3"/>
      <c r="IV348" s="3"/>
      <c r="IW348" s="3"/>
      <c r="IX348" s="3"/>
      <c r="IY348" s="3"/>
      <c r="IZ348" s="3"/>
      <c r="JA348" s="3"/>
      <c r="JB348" s="3"/>
      <c r="JC348" s="3"/>
      <c r="JD348" s="3"/>
      <c r="JE348" s="3"/>
      <c r="JF348" s="3"/>
      <c r="JG348" s="3"/>
      <c r="JH348" s="3"/>
      <c r="JI348" s="3"/>
      <c r="JJ348" s="3"/>
      <c r="JK348" s="3"/>
      <c r="JL348" s="3"/>
      <c r="JM348" s="3"/>
      <c r="JN348" s="3"/>
      <c r="JO348" s="3"/>
      <c r="JP348" s="3"/>
      <c r="JQ348" s="3"/>
      <c r="JR348" s="3"/>
      <c r="JS348" s="3"/>
      <c r="JT348" s="3"/>
      <c r="JU348" s="3"/>
      <c r="JV348" s="3"/>
      <c r="JW348" s="3"/>
      <c r="JX348" s="3"/>
      <c r="JY348" s="3"/>
      <c r="JZ348" s="3"/>
      <c r="KA348" s="3"/>
      <c r="KB348" s="3"/>
      <c r="KC348" s="3"/>
      <c r="KD348" s="3"/>
      <c r="KE348" s="3"/>
      <c r="KF348" s="3"/>
      <c r="KG348" s="3"/>
      <c r="KH348" s="3"/>
      <c r="KI348" s="3"/>
      <c r="KJ348" s="3"/>
      <c r="KK348" s="3"/>
      <c r="KL348" s="3"/>
      <c r="KM348" s="3"/>
      <c r="KN348" s="3"/>
      <c r="KO348" s="3"/>
      <c r="KP348" s="3"/>
      <c r="KQ348" s="3"/>
      <c r="KR348" s="3"/>
      <c r="KS348" s="3"/>
      <c r="KT348" s="3"/>
      <c r="KU348" s="3"/>
      <c r="KV348" s="3"/>
      <c r="KW348" s="3"/>
      <c r="KX348" s="3"/>
      <c r="KY348" s="3"/>
      <c r="KZ348" s="3"/>
      <c r="LA348" s="3"/>
      <c r="LB348" s="3"/>
      <c r="LC348" s="3"/>
      <c r="LD348" s="3"/>
      <c r="LE348" s="3"/>
      <c r="LF348" s="3"/>
      <c r="LG348" s="3"/>
      <c r="LH348" s="3"/>
      <c r="LI348" s="3"/>
      <c r="LJ348" s="3"/>
      <c r="LK348" s="3"/>
      <c r="LL348" s="3"/>
      <c r="LM348" s="3"/>
      <c r="LN348" s="3"/>
      <c r="LO348" s="3"/>
      <c r="LP348" s="3"/>
      <c r="LQ348" s="3"/>
      <c r="LR348" s="3"/>
      <c r="LS348" s="3"/>
      <c r="LT348" s="3"/>
      <c r="LU348" s="3"/>
      <c r="LV348" s="3"/>
      <c r="LW348" s="3"/>
      <c r="LX348" s="3"/>
      <c r="LY348" s="3"/>
      <c r="LZ348" s="3"/>
      <c r="MA348" s="3"/>
      <c r="MB348" s="3"/>
      <c r="MC348" s="3"/>
      <c r="MD348" s="3"/>
      <c r="ME348" s="3"/>
      <c r="MF348" s="3"/>
      <c r="MG348" s="3"/>
      <c r="MH348" s="3"/>
      <c r="MI348" s="3"/>
    </row>
    <row r="349" spans="1:347"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ID349" s="3"/>
      <c r="IE349" s="3"/>
      <c r="IF349" s="3"/>
      <c r="IG349" s="3"/>
      <c r="IH349" s="3"/>
      <c r="II349" s="3"/>
      <c r="IJ349" s="3"/>
      <c r="IK349" s="3"/>
      <c r="IL349" s="3"/>
      <c r="IM349" s="3"/>
      <c r="IN349" s="3"/>
      <c r="IO349" s="3"/>
      <c r="IP349" s="3"/>
      <c r="IQ349" s="3"/>
      <c r="IR349" s="3"/>
      <c r="IS349" s="3"/>
      <c r="IT349" s="3"/>
      <c r="IU349" s="3"/>
      <c r="IV349" s="3"/>
      <c r="IW349" s="3"/>
      <c r="IX349" s="3"/>
      <c r="IY349" s="3"/>
      <c r="IZ349" s="3"/>
      <c r="JA349" s="3"/>
      <c r="JB349" s="3"/>
      <c r="JC349" s="3"/>
      <c r="JD349" s="3"/>
      <c r="JE349" s="3"/>
      <c r="JF349" s="3"/>
      <c r="JG349" s="3"/>
      <c r="JH349" s="3"/>
      <c r="JI349" s="3"/>
      <c r="JJ349" s="3"/>
      <c r="JK349" s="3"/>
      <c r="JL349" s="3"/>
      <c r="JM349" s="3"/>
      <c r="JN349" s="3"/>
      <c r="JO349" s="3"/>
      <c r="JP349" s="3"/>
      <c r="JQ349" s="3"/>
      <c r="JR349" s="3"/>
      <c r="JS349" s="3"/>
      <c r="JT349" s="3"/>
      <c r="JU349" s="3"/>
      <c r="JV349" s="3"/>
      <c r="JW349" s="3"/>
      <c r="JX349" s="3"/>
      <c r="JY349" s="3"/>
      <c r="JZ349" s="3"/>
      <c r="KA349" s="3"/>
      <c r="KB349" s="3"/>
      <c r="KC349" s="3"/>
      <c r="KD349" s="3"/>
      <c r="KE349" s="3"/>
      <c r="KF349" s="3"/>
      <c r="KG349" s="3"/>
      <c r="KH349" s="3"/>
      <c r="KI349" s="3"/>
      <c r="KJ349" s="3"/>
      <c r="KK349" s="3"/>
      <c r="KL349" s="3"/>
      <c r="KM349" s="3"/>
      <c r="KN349" s="3"/>
      <c r="KO349" s="3"/>
      <c r="KP349" s="3"/>
      <c r="KQ349" s="3"/>
      <c r="KR349" s="3"/>
      <c r="KS349" s="3"/>
      <c r="KT349" s="3"/>
      <c r="KU349" s="3"/>
      <c r="KV349" s="3"/>
      <c r="KW349" s="3"/>
      <c r="KX349" s="3"/>
      <c r="KY349" s="3"/>
      <c r="KZ349" s="3"/>
      <c r="LA349" s="3"/>
      <c r="LB349" s="3"/>
      <c r="LC349" s="3"/>
      <c r="LD349" s="3"/>
      <c r="LE349" s="3"/>
      <c r="LF349" s="3"/>
      <c r="LG349" s="3"/>
      <c r="LH349" s="3"/>
      <c r="LI349" s="3"/>
      <c r="LJ349" s="3"/>
      <c r="LK349" s="3"/>
      <c r="LL349" s="3"/>
      <c r="LM349" s="3"/>
      <c r="LN349" s="3"/>
      <c r="LO349" s="3"/>
      <c r="LP349" s="3"/>
      <c r="LQ349" s="3"/>
      <c r="LR349" s="3"/>
      <c r="LS349" s="3"/>
      <c r="LT349" s="3"/>
      <c r="LU349" s="3"/>
      <c r="LV349" s="3"/>
      <c r="LW349" s="3"/>
      <c r="LX349" s="3"/>
      <c r="LY349" s="3"/>
      <c r="LZ349" s="3"/>
      <c r="MA349" s="3"/>
      <c r="MB349" s="3"/>
      <c r="MC349" s="3"/>
      <c r="MD349" s="3"/>
      <c r="ME349" s="3"/>
      <c r="MF349" s="3"/>
      <c r="MG349" s="3"/>
      <c r="MH349" s="3"/>
      <c r="MI349" s="3"/>
    </row>
    <row r="350" spans="1:347"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ID350" s="3"/>
      <c r="IE350" s="3"/>
      <c r="IF350" s="3"/>
      <c r="IG350" s="3"/>
      <c r="IH350" s="3"/>
      <c r="II350" s="3"/>
      <c r="IJ350" s="3"/>
      <c r="IK350" s="3"/>
      <c r="IL350" s="3"/>
      <c r="IM350" s="3"/>
      <c r="IN350" s="3"/>
      <c r="IO350" s="3"/>
      <c r="IP350" s="3"/>
      <c r="IQ350" s="3"/>
      <c r="IR350" s="3"/>
      <c r="IS350" s="3"/>
      <c r="IT350" s="3"/>
      <c r="IU350" s="3"/>
      <c r="IV350" s="3"/>
      <c r="IW350" s="3"/>
      <c r="IX350" s="3"/>
      <c r="IY350" s="3"/>
      <c r="IZ350" s="3"/>
      <c r="JA350" s="3"/>
      <c r="JB350" s="3"/>
      <c r="JC350" s="3"/>
      <c r="JD350" s="3"/>
      <c r="JE350" s="3"/>
      <c r="JF350" s="3"/>
      <c r="JG350" s="3"/>
      <c r="JH350" s="3"/>
      <c r="JI350" s="3"/>
      <c r="JJ350" s="3"/>
      <c r="JK350" s="3"/>
      <c r="JL350" s="3"/>
      <c r="JM350" s="3"/>
      <c r="JN350" s="3"/>
      <c r="JO350" s="3"/>
      <c r="JP350" s="3"/>
      <c r="JQ350" s="3"/>
      <c r="JR350" s="3"/>
      <c r="JS350" s="3"/>
      <c r="JT350" s="3"/>
      <c r="JU350" s="3"/>
      <c r="JV350" s="3"/>
      <c r="JW350" s="3"/>
      <c r="JX350" s="3"/>
      <c r="JY350" s="3"/>
      <c r="JZ350" s="3"/>
      <c r="KA350" s="3"/>
      <c r="KB350" s="3"/>
      <c r="KC350" s="3"/>
      <c r="KD350" s="3"/>
      <c r="KE350" s="3"/>
      <c r="KF350" s="3"/>
      <c r="KG350" s="3"/>
      <c r="KH350" s="3"/>
      <c r="KI350" s="3"/>
      <c r="KJ350" s="3"/>
      <c r="KK350" s="3"/>
      <c r="KL350" s="3"/>
      <c r="KM350" s="3"/>
      <c r="KN350" s="3"/>
      <c r="KO350" s="3"/>
      <c r="KP350" s="3"/>
      <c r="KQ350" s="3"/>
      <c r="KR350" s="3"/>
      <c r="KS350" s="3"/>
      <c r="KT350" s="3"/>
      <c r="KU350" s="3"/>
      <c r="KV350" s="3"/>
      <c r="KW350" s="3"/>
      <c r="KX350" s="3"/>
      <c r="KY350" s="3"/>
      <c r="KZ350" s="3"/>
      <c r="LA350" s="3"/>
      <c r="LB350" s="3"/>
      <c r="LC350" s="3"/>
      <c r="LD350" s="3"/>
      <c r="LE350" s="3"/>
      <c r="LF350" s="3"/>
      <c r="LG350" s="3"/>
      <c r="LH350" s="3"/>
      <c r="LI350" s="3"/>
      <c r="LJ350" s="3"/>
      <c r="LK350" s="3"/>
      <c r="LL350" s="3"/>
      <c r="LM350" s="3"/>
      <c r="LN350" s="3"/>
      <c r="LO350" s="3"/>
      <c r="LP350" s="3"/>
      <c r="LQ350" s="3"/>
      <c r="LR350" s="3"/>
      <c r="LS350" s="3"/>
      <c r="LT350" s="3"/>
      <c r="LU350" s="3"/>
      <c r="LV350" s="3"/>
      <c r="LW350" s="3"/>
      <c r="LX350" s="3"/>
      <c r="LY350" s="3"/>
      <c r="LZ350" s="3"/>
      <c r="MA350" s="3"/>
      <c r="MB350" s="3"/>
      <c r="MC350" s="3"/>
      <c r="MD350" s="3"/>
      <c r="ME350" s="3"/>
      <c r="MF350" s="3"/>
      <c r="MG350" s="3"/>
      <c r="MH350" s="3"/>
      <c r="MI350" s="3"/>
    </row>
    <row r="351" spans="1:347"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ID351" s="3"/>
      <c r="IE351" s="3"/>
      <c r="IF351" s="3"/>
      <c r="IG351" s="3"/>
      <c r="IH351" s="3"/>
      <c r="II351" s="3"/>
      <c r="IJ351" s="3"/>
      <c r="IK351" s="3"/>
      <c r="IL351" s="3"/>
      <c r="IM351" s="3"/>
      <c r="IN351" s="3"/>
      <c r="IO351" s="3"/>
      <c r="IP351" s="3"/>
      <c r="IQ351" s="3"/>
      <c r="IR351" s="3"/>
      <c r="IS351" s="3"/>
      <c r="IT351" s="3"/>
      <c r="IU351" s="3"/>
      <c r="IV351" s="3"/>
      <c r="IW351" s="3"/>
      <c r="IX351" s="3"/>
      <c r="IY351" s="3"/>
      <c r="IZ351" s="3"/>
      <c r="JA351" s="3"/>
      <c r="JB351" s="3"/>
      <c r="JC351" s="3"/>
      <c r="JD351" s="3"/>
      <c r="JE351" s="3"/>
      <c r="JF351" s="3"/>
      <c r="JG351" s="3"/>
      <c r="JH351" s="3"/>
      <c r="JI351" s="3"/>
      <c r="JJ351" s="3"/>
      <c r="JK351" s="3"/>
      <c r="JL351" s="3"/>
      <c r="JM351" s="3"/>
      <c r="JN351" s="3"/>
      <c r="JO351" s="3"/>
      <c r="JP351" s="3"/>
      <c r="JQ351" s="3"/>
      <c r="JR351" s="3"/>
      <c r="JS351" s="3"/>
      <c r="JT351" s="3"/>
      <c r="JU351" s="3"/>
      <c r="JV351" s="3"/>
      <c r="JW351" s="3"/>
      <c r="JX351" s="3"/>
      <c r="JY351" s="3"/>
      <c r="JZ351" s="3"/>
      <c r="KA351" s="3"/>
      <c r="KB351" s="3"/>
      <c r="KC351" s="3"/>
      <c r="KD351" s="3"/>
      <c r="KE351" s="3"/>
      <c r="KF351" s="3"/>
      <c r="KG351" s="3"/>
      <c r="KH351" s="3"/>
      <c r="KI351" s="3"/>
      <c r="KJ351" s="3"/>
      <c r="KK351" s="3"/>
      <c r="KL351" s="3"/>
      <c r="KM351" s="3"/>
      <c r="KN351" s="3"/>
      <c r="KO351" s="3"/>
      <c r="KP351" s="3"/>
      <c r="KQ351" s="3"/>
      <c r="KR351" s="3"/>
      <c r="KS351" s="3"/>
      <c r="KT351" s="3"/>
      <c r="KU351" s="3"/>
      <c r="KV351" s="3"/>
      <c r="KW351" s="3"/>
      <c r="KX351" s="3"/>
      <c r="KY351" s="3"/>
      <c r="KZ351" s="3"/>
      <c r="LA351" s="3"/>
      <c r="LB351" s="3"/>
      <c r="LC351" s="3"/>
      <c r="LD351" s="3"/>
      <c r="LE351" s="3"/>
      <c r="LF351" s="3"/>
      <c r="LG351" s="3"/>
      <c r="LH351" s="3"/>
      <c r="LI351" s="3"/>
      <c r="LJ351" s="3"/>
      <c r="LK351" s="3"/>
      <c r="LL351" s="3"/>
      <c r="LM351" s="3"/>
      <c r="LN351" s="3"/>
      <c r="LO351" s="3"/>
      <c r="LP351" s="3"/>
      <c r="LQ351" s="3"/>
      <c r="LR351" s="3"/>
      <c r="LS351" s="3"/>
      <c r="LT351" s="3"/>
      <c r="LU351" s="3"/>
      <c r="LV351" s="3"/>
      <c r="LW351" s="3"/>
      <c r="LX351" s="3"/>
      <c r="LY351" s="3"/>
      <c r="LZ351" s="3"/>
      <c r="MA351" s="3"/>
      <c r="MB351" s="3"/>
      <c r="MC351" s="3"/>
      <c r="MD351" s="3"/>
      <c r="ME351" s="3"/>
      <c r="MF351" s="3"/>
      <c r="MG351" s="3"/>
      <c r="MH351" s="3"/>
      <c r="MI351" s="3"/>
    </row>
    <row r="352" spans="1:347"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ID352" s="3"/>
      <c r="IE352" s="3"/>
      <c r="IF352" s="3"/>
      <c r="IG352" s="3"/>
      <c r="IH352" s="3"/>
      <c r="II352" s="3"/>
      <c r="IJ352" s="3"/>
      <c r="IK352" s="3"/>
      <c r="IL352" s="3"/>
      <c r="IM352" s="3"/>
      <c r="IN352" s="3"/>
      <c r="IO352" s="3"/>
      <c r="IP352" s="3"/>
      <c r="IQ352" s="3"/>
      <c r="IR352" s="3"/>
      <c r="IS352" s="3"/>
      <c r="IT352" s="3"/>
      <c r="IU352" s="3"/>
      <c r="IV352" s="3"/>
      <c r="IW352" s="3"/>
      <c r="IX352" s="3"/>
      <c r="IY352" s="3"/>
      <c r="IZ352" s="3"/>
      <c r="JA352" s="3"/>
      <c r="JB352" s="3"/>
      <c r="JC352" s="3"/>
      <c r="JD352" s="3"/>
      <c r="JE352" s="3"/>
      <c r="JF352" s="3"/>
      <c r="JG352" s="3"/>
      <c r="JH352" s="3"/>
      <c r="JI352" s="3"/>
      <c r="JJ352" s="3"/>
      <c r="JK352" s="3"/>
      <c r="JL352" s="3"/>
      <c r="JM352" s="3"/>
      <c r="JN352" s="3"/>
      <c r="JO352" s="3"/>
      <c r="JP352" s="3"/>
      <c r="JQ352" s="3"/>
      <c r="JR352" s="3"/>
      <c r="JS352" s="3"/>
      <c r="JT352" s="3"/>
      <c r="JU352" s="3"/>
      <c r="JV352" s="3"/>
      <c r="JW352" s="3"/>
      <c r="JX352" s="3"/>
      <c r="JY352" s="3"/>
      <c r="JZ352" s="3"/>
      <c r="KA352" s="3"/>
      <c r="KB352" s="3"/>
      <c r="KC352" s="3"/>
      <c r="KD352" s="3"/>
      <c r="KE352" s="3"/>
      <c r="KF352" s="3"/>
      <c r="KG352" s="3"/>
      <c r="KH352" s="3"/>
      <c r="KI352" s="3"/>
      <c r="KJ352" s="3"/>
      <c r="KK352" s="3"/>
      <c r="KL352" s="3"/>
      <c r="KM352" s="3"/>
      <c r="KN352" s="3"/>
      <c r="KO352" s="3"/>
      <c r="KP352" s="3"/>
      <c r="KQ352" s="3"/>
      <c r="KR352" s="3"/>
      <c r="KS352" s="3"/>
      <c r="KT352" s="3"/>
      <c r="KU352" s="3"/>
      <c r="KV352" s="3"/>
      <c r="KW352" s="3"/>
      <c r="KX352" s="3"/>
      <c r="KY352" s="3"/>
      <c r="KZ352" s="3"/>
      <c r="LA352" s="3"/>
      <c r="LB352" s="3"/>
      <c r="LC352" s="3"/>
      <c r="LD352" s="3"/>
      <c r="LE352" s="3"/>
      <c r="LF352" s="3"/>
      <c r="LG352" s="3"/>
      <c r="LH352" s="3"/>
      <c r="LI352" s="3"/>
      <c r="LJ352" s="3"/>
      <c r="LK352" s="3"/>
      <c r="LL352" s="3"/>
      <c r="LM352" s="3"/>
      <c r="LN352" s="3"/>
      <c r="LO352" s="3"/>
      <c r="LP352" s="3"/>
      <c r="LQ352" s="3"/>
      <c r="LR352" s="3"/>
      <c r="LS352" s="3"/>
      <c r="LT352" s="3"/>
      <c r="LU352" s="3"/>
      <c r="LV352" s="3"/>
      <c r="LW352" s="3"/>
      <c r="LX352" s="3"/>
      <c r="LY352" s="3"/>
      <c r="LZ352" s="3"/>
      <c r="MA352" s="3"/>
      <c r="MB352" s="3"/>
      <c r="MC352" s="3"/>
      <c r="MD352" s="3"/>
      <c r="ME352" s="3"/>
      <c r="MF352" s="3"/>
      <c r="MG352" s="3"/>
      <c r="MH352" s="3"/>
      <c r="MI352" s="3"/>
    </row>
    <row r="353" spans="1:347"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ID353" s="3"/>
      <c r="IE353" s="3"/>
      <c r="IF353" s="3"/>
      <c r="IG353" s="3"/>
      <c r="IH353" s="3"/>
      <c r="II353" s="3"/>
      <c r="IJ353" s="3"/>
      <c r="IK353" s="3"/>
      <c r="IL353" s="3"/>
      <c r="IM353" s="3"/>
      <c r="IN353" s="3"/>
      <c r="IO353" s="3"/>
      <c r="IP353" s="3"/>
      <c r="IQ353" s="3"/>
      <c r="IR353" s="3"/>
      <c r="IS353" s="3"/>
      <c r="IT353" s="3"/>
      <c r="IU353" s="3"/>
      <c r="IV353" s="3"/>
      <c r="IW353" s="3"/>
      <c r="IX353" s="3"/>
      <c r="IY353" s="3"/>
      <c r="IZ353" s="3"/>
      <c r="JA353" s="3"/>
      <c r="JB353" s="3"/>
      <c r="JC353" s="3"/>
      <c r="JD353" s="3"/>
      <c r="JE353" s="3"/>
      <c r="JF353" s="3"/>
      <c r="JG353" s="3"/>
      <c r="JH353" s="3"/>
      <c r="JI353" s="3"/>
      <c r="JJ353" s="3"/>
      <c r="JK353" s="3"/>
      <c r="JL353" s="3"/>
      <c r="JM353" s="3"/>
      <c r="JN353" s="3"/>
      <c r="JO353" s="3"/>
      <c r="JP353" s="3"/>
      <c r="JQ353" s="3"/>
      <c r="JR353" s="3"/>
      <c r="JS353" s="3"/>
      <c r="JT353" s="3"/>
      <c r="JU353" s="3"/>
      <c r="JV353" s="3"/>
      <c r="JW353" s="3"/>
      <c r="JX353" s="3"/>
      <c r="JY353" s="3"/>
      <c r="JZ353" s="3"/>
      <c r="KA353" s="3"/>
      <c r="KB353" s="3"/>
      <c r="KC353" s="3"/>
      <c r="KD353" s="3"/>
      <c r="KE353" s="3"/>
      <c r="KF353" s="3"/>
      <c r="KG353" s="3"/>
      <c r="KH353" s="3"/>
      <c r="KI353" s="3"/>
      <c r="KJ353" s="3"/>
      <c r="KK353" s="3"/>
      <c r="KL353" s="3"/>
      <c r="KM353" s="3"/>
      <c r="KN353" s="3"/>
      <c r="KO353" s="3"/>
      <c r="KP353" s="3"/>
      <c r="KQ353" s="3"/>
      <c r="KR353" s="3"/>
      <c r="KS353" s="3"/>
      <c r="KT353" s="3"/>
      <c r="KU353" s="3"/>
      <c r="KV353" s="3"/>
      <c r="KW353" s="3"/>
      <c r="KX353" s="3"/>
      <c r="KY353" s="3"/>
      <c r="KZ353" s="3"/>
      <c r="LA353" s="3"/>
      <c r="LB353" s="3"/>
      <c r="LC353" s="3"/>
      <c r="LD353" s="3"/>
      <c r="LE353" s="3"/>
      <c r="LF353" s="3"/>
      <c r="LG353" s="3"/>
      <c r="LH353" s="3"/>
      <c r="LI353" s="3"/>
      <c r="LJ353" s="3"/>
      <c r="LK353" s="3"/>
      <c r="LL353" s="3"/>
      <c r="LM353" s="3"/>
      <c r="LN353" s="3"/>
      <c r="LO353" s="3"/>
      <c r="LP353" s="3"/>
      <c r="LQ353" s="3"/>
      <c r="LR353" s="3"/>
      <c r="LS353" s="3"/>
      <c r="LT353" s="3"/>
      <c r="LU353" s="3"/>
      <c r="LV353" s="3"/>
      <c r="LW353" s="3"/>
      <c r="LX353" s="3"/>
      <c r="LY353" s="3"/>
      <c r="LZ353" s="3"/>
      <c r="MA353" s="3"/>
      <c r="MB353" s="3"/>
      <c r="MC353" s="3"/>
      <c r="MD353" s="3"/>
      <c r="ME353" s="3"/>
      <c r="MF353" s="3"/>
      <c r="MG353" s="3"/>
      <c r="MH353" s="3"/>
      <c r="MI353" s="3"/>
    </row>
    <row r="354" spans="1:347"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ID354" s="3"/>
      <c r="IE354" s="3"/>
      <c r="IF354" s="3"/>
      <c r="IG354" s="3"/>
      <c r="IH354" s="3"/>
      <c r="II354" s="3"/>
      <c r="IJ354" s="3"/>
      <c r="IK354" s="3"/>
      <c r="IL354" s="3"/>
      <c r="IM354" s="3"/>
      <c r="IN354" s="3"/>
      <c r="IO354" s="3"/>
      <c r="IP354" s="3"/>
      <c r="IQ354" s="3"/>
      <c r="IR354" s="3"/>
      <c r="IS354" s="3"/>
      <c r="IT354" s="3"/>
      <c r="IU354" s="3"/>
      <c r="IV354" s="3"/>
      <c r="IW354" s="3"/>
      <c r="IX354" s="3"/>
      <c r="IY354" s="3"/>
      <c r="IZ354" s="3"/>
      <c r="JA354" s="3"/>
      <c r="JB354" s="3"/>
      <c r="JC354" s="3"/>
      <c r="JD354" s="3"/>
      <c r="JE354" s="3"/>
      <c r="JF354" s="3"/>
      <c r="JG354" s="3"/>
      <c r="JH354" s="3"/>
      <c r="JI354" s="3"/>
      <c r="JJ354" s="3"/>
      <c r="JK354" s="3"/>
      <c r="JL354" s="3"/>
      <c r="JM354" s="3"/>
      <c r="JN354" s="3"/>
      <c r="JO354" s="3"/>
      <c r="JP354" s="3"/>
      <c r="JQ354" s="3"/>
      <c r="JR354" s="3"/>
      <c r="JS354" s="3"/>
      <c r="JT354" s="3"/>
      <c r="JU354" s="3"/>
      <c r="JV354" s="3"/>
      <c r="JW354" s="3"/>
      <c r="JX354" s="3"/>
      <c r="JY354" s="3"/>
      <c r="JZ354" s="3"/>
      <c r="KA354" s="3"/>
      <c r="KB354" s="3"/>
      <c r="KC354" s="3"/>
      <c r="KD354" s="3"/>
      <c r="KE354" s="3"/>
      <c r="KF354" s="3"/>
      <c r="KG354" s="3"/>
      <c r="KH354" s="3"/>
      <c r="KI354" s="3"/>
      <c r="KJ354" s="3"/>
      <c r="KK354" s="3"/>
      <c r="KL354" s="3"/>
      <c r="KM354" s="3"/>
      <c r="KN354" s="3"/>
      <c r="KO354" s="3"/>
      <c r="KP354" s="3"/>
      <c r="KQ354" s="3"/>
      <c r="KR354" s="3"/>
      <c r="KS354" s="3"/>
      <c r="KT354" s="3"/>
      <c r="KU354" s="3"/>
      <c r="KV354" s="3"/>
      <c r="KW354" s="3"/>
      <c r="KX354" s="3"/>
      <c r="KY354" s="3"/>
      <c r="KZ354" s="3"/>
      <c r="LA354" s="3"/>
      <c r="LB354" s="3"/>
      <c r="LC354" s="3"/>
      <c r="LD354" s="3"/>
      <c r="LE354" s="3"/>
      <c r="LF354" s="3"/>
      <c r="LG354" s="3"/>
      <c r="LH354" s="3"/>
      <c r="LI354" s="3"/>
      <c r="LJ354" s="3"/>
      <c r="LK354" s="3"/>
      <c r="LL354" s="3"/>
      <c r="LM354" s="3"/>
      <c r="LN354" s="3"/>
      <c r="LO354" s="3"/>
      <c r="LP354" s="3"/>
      <c r="LQ354" s="3"/>
      <c r="LR354" s="3"/>
      <c r="LS354" s="3"/>
      <c r="LT354" s="3"/>
      <c r="LU354" s="3"/>
      <c r="LV354" s="3"/>
      <c r="LW354" s="3"/>
      <c r="LX354" s="3"/>
      <c r="LY354" s="3"/>
      <c r="LZ354" s="3"/>
      <c r="MA354" s="3"/>
      <c r="MB354" s="3"/>
      <c r="MC354" s="3"/>
      <c r="MD354" s="3"/>
      <c r="ME354" s="3"/>
      <c r="MF354" s="3"/>
      <c r="MG354" s="3"/>
      <c r="MH354" s="3"/>
      <c r="MI354" s="3"/>
    </row>
    <row r="355" spans="1:347"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ID355" s="3"/>
      <c r="IE355" s="3"/>
      <c r="IF355" s="3"/>
      <c r="IG355" s="3"/>
      <c r="IH355" s="3"/>
      <c r="II355" s="3"/>
      <c r="IJ355" s="3"/>
      <c r="IK355" s="3"/>
      <c r="IL355" s="3"/>
      <c r="IM355" s="3"/>
      <c r="IN355" s="3"/>
      <c r="IO355" s="3"/>
      <c r="IP355" s="3"/>
      <c r="IQ355" s="3"/>
      <c r="IR355" s="3"/>
      <c r="IS355" s="3"/>
      <c r="IT355" s="3"/>
      <c r="IU355" s="3"/>
      <c r="IV355" s="3"/>
      <c r="IW355" s="3"/>
      <c r="IX355" s="3"/>
      <c r="IY355" s="3"/>
      <c r="IZ355" s="3"/>
      <c r="JA355" s="3"/>
      <c r="JB355" s="3"/>
      <c r="JC355" s="3"/>
      <c r="JD355" s="3"/>
      <c r="JE355" s="3"/>
      <c r="JF355" s="3"/>
      <c r="JG355" s="3"/>
      <c r="JH355" s="3"/>
      <c r="JI355" s="3"/>
      <c r="JJ355" s="3"/>
      <c r="JK355" s="3"/>
      <c r="JL355" s="3"/>
      <c r="JM355" s="3"/>
      <c r="JN355" s="3"/>
      <c r="JO355" s="3"/>
      <c r="JP355" s="3"/>
      <c r="JQ355" s="3"/>
      <c r="JR355" s="3"/>
      <c r="JS355" s="3"/>
      <c r="JT355" s="3"/>
      <c r="JU355" s="3"/>
      <c r="JV355" s="3"/>
      <c r="JW355" s="3"/>
      <c r="JX355" s="3"/>
      <c r="JY355" s="3"/>
      <c r="JZ355" s="3"/>
      <c r="KA355" s="3"/>
      <c r="KB355" s="3"/>
      <c r="KC355" s="3"/>
      <c r="KD355" s="3"/>
      <c r="KE355" s="3"/>
      <c r="KF355" s="3"/>
      <c r="KG355" s="3"/>
      <c r="KH355" s="3"/>
      <c r="KI355" s="3"/>
      <c r="KJ355" s="3"/>
      <c r="KK355" s="3"/>
      <c r="KL355" s="3"/>
      <c r="KM355" s="3"/>
      <c r="KN355" s="3"/>
      <c r="KO355" s="3"/>
      <c r="KP355" s="3"/>
      <c r="KQ355" s="3"/>
      <c r="KR355" s="3"/>
      <c r="KS355" s="3"/>
      <c r="KT355" s="3"/>
      <c r="KU355" s="3"/>
      <c r="KV355" s="3"/>
      <c r="KW355" s="3"/>
      <c r="KX355" s="3"/>
      <c r="KY355" s="3"/>
      <c r="KZ355" s="3"/>
      <c r="LA355" s="3"/>
      <c r="LB355" s="3"/>
      <c r="LC355" s="3"/>
      <c r="LD355" s="3"/>
      <c r="LE355" s="3"/>
      <c r="LF355" s="3"/>
      <c r="LG355" s="3"/>
      <c r="LH355" s="3"/>
      <c r="LI355" s="3"/>
      <c r="LJ355" s="3"/>
      <c r="LK355" s="3"/>
      <c r="LL355" s="3"/>
      <c r="LM355" s="3"/>
      <c r="LN355" s="3"/>
      <c r="LO355" s="3"/>
      <c r="LP355" s="3"/>
      <c r="LQ355" s="3"/>
      <c r="LR355" s="3"/>
      <c r="LS355" s="3"/>
      <c r="LT355" s="3"/>
      <c r="LU355" s="3"/>
      <c r="LV355" s="3"/>
      <c r="LW355" s="3"/>
      <c r="LX355" s="3"/>
      <c r="LY355" s="3"/>
      <c r="LZ355" s="3"/>
      <c r="MA355" s="3"/>
      <c r="MB355" s="3"/>
      <c r="MC355" s="3"/>
      <c r="MD355" s="3"/>
      <c r="ME355" s="3"/>
      <c r="MF355" s="3"/>
      <c r="MG355" s="3"/>
      <c r="MH355" s="3"/>
      <c r="MI355" s="3"/>
    </row>
    <row r="356" spans="1:347"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c r="HX356" s="3"/>
      <c r="HY356" s="3"/>
      <c r="HZ356" s="3"/>
      <c r="IA356" s="3"/>
      <c r="IB356" s="3"/>
      <c r="IC356" s="3"/>
      <c r="ID356" s="3"/>
      <c r="IE356" s="3"/>
      <c r="IF356" s="3"/>
      <c r="IG356" s="3"/>
      <c r="IH356" s="3"/>
      <c r="II356" s="3"/>
      <c r="IJ356" s="3"/>
      <c r="IK356" s="3"/>
      <c r="IL356" s="3"/>
      <c r="IM356" s="3"/>
      <c r="IN356" s="3"/>
      <c r="IO356" s="3"/>
      <c r="IP356" s="3"/>
      <c r="IQ356" s="3"/>
      <c r="IR356" s="3"/>
      <c r="IS356" s="3"/>
      <c r="IT356" s="3"/>
      <c r="IU356" s="3"/>
      <c r="IV356" s="3"/>
      <c r="IW356" s="3"/>
      <c r="IX356" s="3"/>
      <c r="IY356" s="3"/>
      <c r="IZ356" s="3"/>
      <c r="JA356" s="3"/>
      <c r="JB356" s="3"/>
      <c r="JC356" s="3"/>
      <c r="JD356" s="3"/>
      <c r="JE356" s="3"/>
      <c r="JF356" s="3"/>
      <c r="JG356" s="3"/>
      <c r="JH356" s="3"/>
      <c r="JI356" s="3"/>
      <c r="JJ356" s="3"/>
      <c r="JK356" s="3"/>
      <c r="JL356" s="3"/>
      <c r="JM356" s="3"/>
      <c r="JN356" s="3"/>
      <c r="JO356" s="3"/>
      <c r="JP356" s="3"/>
      <c r="JQ356" s="3"/>
      <c r="JR356" s="3"/>
      <c r="JS356" s="3"/>
      <c r="JT356" s="3"/>
      <c r="JU356" s="3"/>
      <c r="JV356" s="3"/>
      <c r="JW356" s="3"/>
      <c r="JX356" s="3"/>
      <c r="JY356" s="3"/>
      <c r="JZ356" s="3"/>
      <c r="KA356" s="3"/>
      <c r="KB356" s="3"/>
      <c r="KC356" s="3"/>
      <c r="KD356" s="3"/>
      <c r="KE356" s="3"/>
      <c r="KF356" s="3"/>
      <c r="KG356" s="3"/>
      <c r="KH356" s="3"/>
      <c r="KI356" s="3"/>
      <c r="KJ356" s="3"/>
      <c r="KK356" s="3"/>
      <c r="KL356" s="3"/>
      <c r="KM356" s="3"/>
      <c r="KN356" s="3"/>
      <c r="KO356" s="3"/>
      <c r="KP356" s="3"/>
      <c r="KQ356" s="3"/>
      <c r="KR356" s="3"/>
      <c r="KS356" s="3"/>
      <c r="KT356" s="3"/>
      <c r="KU356" s="3"/>
      <c r="KV356" s="3"/>
      <c r="KW356" s="3"/>
      <c r="KX356" s="3"/>
      <c r="KY356" s="3"/>
      <c r="KZ356" s="3"/>
      <c r="LA356" s="3"/>
      <c r="LB356" s="3"/>
      <c r="LC356" s="3"/>
      <c r="LD356" s="3"/>
      <c r="LE356" s="3"/>
      <c r="LF356" s="3"/>
      <c r="LG356" s="3"/>
      <c r="LH356" s="3"/>
      <c r="LI356" s="3"/>
      <c r="LJ356" s="3"/>
      <c r="LK356" s="3"/>
      <c r="LL356" s="3"/>
      <c r="LM356" s="3"/>
      <c r="LN356" s="3"/>
      <c r="LO356" s="3"/>
      <c r="LP356" s="3"/>
      <c r="LQ356" s="3"/>
      <c r="LR356" s="3"/>
      <c r="LS356" s="3"/>
      <c r="LT356" s="3"/>
      <c r="LU356" s="3"/>
      <c r="LV356" s="3"/>
      <c r="LW356" s="3"/>
      <c r="LX356" s="3"/>
      <c r="LY356" s="3"/>
      <c r="LZ356" s="3"/>
      <c r="MA356" s="3"/>
      <c r="MB356" s="3"/>
      <c r="MC356" s="3"/>
      <c r="MD356" s="3"/>
      <c r="ME356" s="3"/>
      <c r="MF356" s="3"/>
      <c r="MG356" s="3"/>
      <c r="MH356" s="3"/>
      <c r="MI356" s="3"/>
    </row>
    <row r="357" spans="1:347"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c r="HX357" s="3"/>
      <c r="HY357" s="3"/>
      <c r="HZ357" s="3"/>
      <c r="IA357" s="3"/>
      <c r="IB357" s="3"/>
      <c r="IC357" s="3"/>
      <c r="ID357" s="3"/>
      <c r="IE357" s="3"/>
      <c r="IF357" s="3"/>
      <c r="IG357" s="3"/>
      <c r="IH357" s="3"/>
      <c r="II357" s="3"/>
      <c r="IJ357" s="3"/>
      <c r="IK357" s="3"/>
      <c r="IL357" s="3"/>
      <c r="IM357" s="3"/>
      <c r="IN357" s="3"/>
      <c r="IO357" s="3"/>
      <c r="IP357" s="3"/>
      <c r="IQ357" s="3"/>
      <c r="IR357" s="3"/>
      <c r="IS357" s="3"/>
      <c r="IT357" s="3"/>
      <c r="IU357" s="3"/>
      <c r="IV357" s="3"/>
      <c r="IW357" s="3"/>
      <c r="IX357" s="3"/>
      <c r="IY357" s="3"/>
      <c r="IZ357" s="3"/>
      <c r="JA357" s="3"/>
      <c r="JB357" s="3"/>
      <c r="JC357" s="3"/>
      <c r="JD357" s="3"/>
      <c r="JE357" s="3"/>
      <c r="JF357" s="3"/>
      <c r="JG357" s="3"/>
      <c r="JH357" s="3"/>
      <c r="JI357" s="3"/>
      <c r="JJ357" s="3"/>
      <c r="JK357" s="3"/>
      <c r="JL357" s="3"/>
      <c r="JM357" s="3"/>
      <c r="JN357" s="3"/>
      <c r="JO357" s="3"/>
      <c r="JP357" s="3"/>
      <c r="JQ357" s="3"/>
      <c r="JR357" s="3"/>
      <c r="JS357" s="3"/>
      <c r="JT357" s="3"/>
      <c r="JU357" s="3"/>
      <c r="JV357" s="3"/>
      <c r="JW357" s="3"/>
      <c r="JX357" s="3"/>
      <c r="JY357" s="3"/>
      <c r="JZ357" s="3"/>
      <c r="KA357" s="3"/>
      <c r="KB357" s="3"/>
      <c r="KC357" s="3"/>
      <c r="KD357" s="3"/>
      <c r="KE357" s="3"/>
      <c r="KF357" s="3"/>
      <c r="KG357" s="3"/>
      <c r="KH357" s="3"/>
      <c r="KI357" s="3"/>
      <c r="KJ357" s="3"/>
      <c r="KK357" s="3"/>
      <c r="KL357" s="3"/>
      <c r="KM357" s="3"/>
      <c r="KN357" s="3"/>
      <c r="KO357" s="3"/>
      <c r="KP357" s="3"/>
      <c r="KQ357" s="3"/>
      <c r="KR357" s="3"/>
      <c r="KS357" s="3"/>
      <c r="KT357" s="3"/>
      <c r="KU357" s="3"/>
      <c r="KV357" s="3"/>
      <c r="KW357" s="3"/>
      <c r="KX357" s="3"/>
      <c r="KY357" s="3"/>
      <c r="KZ357" s="3"/>
      <c r="LA357" s="3"/>
      <c r="LB357" s="3"/>
      <c r="LC357" s="3"/>
      <c r="LD357" s="3"/>
      <c r="LE357" s="3"/>
      <c r="LF357" s="3"/>
      <c r="LG357" s="3"/>
      <c r="LH357" s="3"/>
      <c r="LI357" s="3"/>
      <c r="LJ357" s="3"/>
      <c r="LK357" s="3"/>
      <c r="LL357" s="3"/>
      <c r="LM357" s="3"/>
      <c r="LN357" s="3"/>
      <c r="LO357" s="3"/>
      <c r="LP357" s="3"/>
      <c r="LQ357" s="3"/>
      <c r="LR357" s="3"/>
      <c r="LS357" s="3"/>
      <c r="LT357" s="3"/>
      <c r="LU357" s="3"/>
      <c r="LV357" s="3"/>
      <c r="LW357" s="3"/>
      <c r="LX357" s="3"/>
      <c r="LY357" s="3"/>
      <c r="LZ357" s="3"/>
      <c r="MA357" s="3"/>
      <c r="MB357" s="3"/>
      <c r="MC357" s="3"/>
      <c r="MD357" s="3"/>
      <c r="ME357" s="3"/>
      <c r="MF357" s="3"/>
      <c r="MG357" s="3"/>
      <c r="MH357" s="3"/>
      <c r="MI357" s="3"/>
    </row>
    <row r="358" spans="1:347"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c r="HX358" s="3"/>
      <c r="HY358" s="3"/>
      <c r="HZ358" s="3"/>
      <c r="IA358" s="3"/>
      <c r="IB358" s="3"/>
      <c r="IC358" s="3"/>
      <c r="ID358" s="3"/>
      <c r="IE358" s="3"/>
      <c r="IF358" s="3"/>
      <c r="IG358" s="3"/>
      <c r="IH358" s="3"/>
      <c r="II358" s="3"/>
      <c r="IJ358" s="3"/>
      <c r="IK358" s="3"/>
      <c r="IL358" s="3"/>
      <c r="IM358" s="3"/>
      <c r="IN358" s="3"/>
      <c r="IO358" s="3"/>
      <c r="IP358" s="3"/>
      <c r="IQ358" s="3"/>
      <c r="IR358" s="3"/>
      <c r="IS358" s="3"/>
      <c r="IT358" s="3"/>
      <c r="IU358" s="3"/>
      <c r="IV358" s="3"/>
      <c r="IW358" s="3"/>
      <c r="IX358" s="3"/>
      <c r="IY358" s="3"/>
      <c r="IZ358" s="3"/>
      <c r="JA358" s="3"/>
      <c r="JB358" s="3"/>
      <c r="JC358" s="3"/>
      <c r="JD358" s="3"/>
      <c r="JE358" s="3"/>
      <c r="JF358" s="3"/>
      <c r="JG358" s="3"/>
      <c r="JH358" s="3"/>
      <c r="JI358" s="3"/>
      <c r="JJ358" s="3"/>
      <c r="JK358" s="3"/>
      <c r="JL358" s="3"/>
      <c r="JM358" s="3"/>
      <c r="JN358" s="3"/>
      <c r="JO358" s="3"/>
      <c r="JP358" s="3"/>
      <c r="JQ358" s="3"/>
      <c r="JR358" s="3"/>
      <c r="JS358" s="3"/>
      <c r="JT358" s="3"/>
      <c r="JU358" s="3"/>
      <c r="JV358" s="3"/>
      <c r="JW358" s="3"/>
      <c r="JX358" s="3"/>
      <c r="JY358" s="3"/>
      <c r="JZ358" s="3"/>
      <c r="KA358" s="3"/>
      <c r="KB358" s="3"/>
      <c r="KC358" s="3"/>
      <c r="KD358" s="3"/>
      <c r="KE358" s="3"/>
      <c r="KF358" s="3"/>
      <c r="KG358" s="3"/>
      <c r="KH358" s="3"/>
      <c r="KI358" s="3"/>
      <c r="KJ358" s="3"/>
      <c r="KK358" s="3"/>
      <c r="KL358" s="3"/>
      <c r="KM358" s="3"/>
      <c r="KN358" s="3"/>
      <c r="KO358" s="3"/>
      <c r="KP358" s="3"/>
      <c r="KQ358" s="3"/>
      <c r="KR358" s="3"/>
      <c r="KS358" s="3"/>
      <c r="KT358" s="3"/>
      <c r="KU358" s="3"/>
      <c r="KV358" s="3"/>
      <c r="KW358" s="3"/>
      <c r="KX358" s="3"/>
      <c r="KY358" s="3"/>
      <c r="KZ358" s="3"/>
      <c r="LA358" s="3"/>
      <c r="LB358" s="3"/>
      <c r="LC358" s="3"/>
      <c r="LD358" s="3"/>
      <c r="LE358" s="3"/>
      <c r="LF358" s="3"/>
      <c r="LG358" s="3"/>
      <c r="LH358" s="3"/>
      <c r="LI358" s="3"/>
      <c r="LJ358" s="3"/>
      <c r="LK358" s="3"/>
      <c r="LL358" s="3"/>
      <c r="LM358" s="3"/>
      <c r="LN358" s="3"/>
      <c r="LO358" s="3"/>
      <c r="LP358" s="3"/>
      <c r="LQ358" s="3"/>
      <c r="LR358" s="3"/>
      <c r="LS358" s="3"/>
      <c r="LT358" s="3"/>
      <c r="LU358" s="3"/>
      <c r="LV358" s="3"/>
      <c r="LW358" s="3"/>
      <c r="LX358" s="3"/>
      <c r="LY358" s="3"/>
      <c r="LZ358" s="3"/>
      <c r="MA358" s="3"/>
      <c r="MB358" s="3"/>
      <c r="MC358" s="3"/>
      <c r="MD358" s="3"/>
      <c r="ME358" s="3"/>
      <c r="MF358" s="3"/>
      <c r="MG358" s="3"/>
      <c r="MH358" s="3"/>
      <c r="MI358" s="3"/>
    </row>
    <row r="359" spans="1:347"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c r="HX359" s="3"/>
      <c r="HY359" s="3"/>
      <c r="HZ359" s="3"/>
      <c r="IA359" s="3"/>
      <c r="IB359" s="3"/>
      <c r="IC359" s="3"/>
      <c r="ID359" s="3"/>
      <c r="IE359" s="3"/>
      <c r="IF359" s="3"/>
      <c r="IG359" s="3"/>
      <c r="IH359" s="3"/>
      <c r="II359" s="3"/>
      <c r="IJ359" s="3"/>
      <c r="IK359" s="3"/>
      <c r="IL359" s="3"/>
      <c r="IM359" s="3"/>
      <c r="IN359" s="3"/>
      <c r="IO359" s="3"/>
      <c r="IP359" s="3"/>
      <c r="IQ359" s="3"/>
      <c r="IR359" s="3"/>
      <c r="IS359" s="3"/>
      <c r="IT359" s="3"/>
      <c r="IU359" s="3"/>
      <c r="IV359" s="3"/>
      <c r="IW359" s="3"/>
      <c r="IX359" s="3"/>
      <c r="IY359" s="3"/>
      <c r="IZ359" s="3"/>
      <c r="JA359" s="3"/>
      <c r="JB359" s="3"/>
      <c r="JC359" s="3"/>
      <c r="JD359" s="3"/>
      <c r="JE359" s="3"/>
      <c r="JF359" s="3"/>
      <c r="JG359" s="3"/>
      <c r="JH359" s="3"/>
      <c r="JI359" s="3"/>
      <c r="JJ359" s="3"/>
      <c r="JK359" s="3"/>
      <c r="JL359" s="3"/>
      <c r="JM359" s="3"/>
      <c r="JN359" s="3"/>
      <c r="JO359" s="3"/>
      <c r="JP359" s="3"/>
      <c r="JQ359" s="3"/>
      <c r="JR359" s="3"/>
      <c r="JS359" s="3"/>
      <c r="JT359" s="3"/>
      <c r="JU359" s="3"/>
      <c r="JV359" s="3"/>
      <c r="JW359" s="3"/>
      <c r="JX359" s="3"/>
      <c r="JY359" s="3"/>
      <c r="JZ359" s="3"/>
      <c r="KA359" s="3"/>
      <c r="KB359" s="3"/>
      <c r="KC359" s="3"/>
      <c r="KD359" s="3"/>
      <c r="KE359" s="3"/>
      <c r="KF359" s="3"/>
      <c r="KG359" s="3"/>
      <c r="KH359" s="3"/>
      <c r="KI359" s="3"/>
      <c r="KJ359" s="3"/>
      <c r="KK359" s="3"/>
      <c r="KL359" s="3"/>
      <c r="KM359" s="3"/>
      <c r="KN359" s="3"/>
      <c r="KO359" s="3"/>
      <c r="KP359" s="3"/>
      <c r="KQ359" s="3"/>
      <c r="KR359" s="3"/>
      <c r="KS359" s="3"/>
      <c r="KT359" s="3"/>
      <c r="KU359" s="3"/>
      <c r="KV359" s="3"/>
      <c r="KW359" s="3"/>
      <c r="KX359" s="3"/>
      <c r="KY359" s="3"/>
      <c r="KZ359" s="3"/>
      <c r="LA359" s="3"/>
      <c r="LB359" s="3"/>
      <c r="LC359" s="3"/>
      <c r="LD359" s="3"/>
      <c r="LE359" s="3"/>
      <c r="LF359" s="3"/>
      <c r="LG359" s="3"/>
      <c r="LH359" s="3"/>
      <c r="LI359" s="3"/>
      <c r="LJ359" s="3"/>
      <c r="LK359" s="3"/>
      <c r="LL359" s="3"/>
      <c r="LM359" s="3"/>
      <c r="LN359" s="3"/>
      <c r="LO359" s="3"/>
      <c r="LP359" s="3"/>
      <c r="LQ359" s="3"/>
      <c r="LR359" s="3"/>
      <c r="LS359" s="3"/>
      <c r="LT359" s="3"/>
      <c r="LU359" s="3"/>
      <c r="LV359" s="3"/>
      <c r="LW359" s="3"/>
      <c r="LX359" s="3"/>
      <c r="LY359" s="3"/>
      <c r="LZ359" s="3"/>
      <c r="MA359" s="3"/>
      <c r="MB359" s="3"/>
      <c r="MC359" s="3"/>
      <c r="MD359" s="3"/>
      <c r="ME359" s="3"/>
      <c r="MF359" s="3"/>
      <c r="MG359" s="3"/>
      <c r="MH359" s="3"/>
      <c r="MI359" s="3"/>
    </row>
    <row r="360" spans="1:347"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c r="HX360" s="3"/>
      <c r="HY360" s="3"/>
      <c r="HZ360" s="3"/>
      <c r="IA360" s="3"/>
      <c r="IB360" s="3"/>
      <c r="IC360" s="3"/>
      <c r="ID360" s="3"/>
      <c r="IE360" s="3"/>
      <c r="IF360" s="3"/>
      <c r="IG360" s="3"/>
      <c r="IH360" s="3"/>
      <c r="II360" s="3"/>
      <c r="IJ360" s="3"/>
      <c r="IK360" s="3"/>
      <c r="IL360" s="3"/>
      <c r="IM360" s="3"/>
      <c r="IN360" s="3"/>
      <c r="IO360" s="3"/>
      <c r="IP360" s="3"/>
      <c r="IQ360" s="3"/>
      <c r="IR360" s="3"/>
      <c r="IS360" s="3"/>
      <c r="IT360" s="3"/>
      <c r="IU360" s="3"/>
      <c r="IV360" s="3"/>
      <c r="IW360" s="3"/>
      <c r="IX360" s="3"/>
      <c r="IY360" s="3"/>
      <c r="IZ360" s="3"/>
      <c r="JA360" s="3"/>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3"/>
      <c r="LV360" s="3"/>
      <c r="LW360" s="3"/>
      <c r="LX360" s="3"/>
      <c r="LY360" s="3"/>
      <c r="LZ360" s="3"/>
      <c r="MA360" s="3"/>
      <c r="MB360" s="3"/>
      <c r="MC360" s="3"/>
      <c r="MD360" s="3"/>
      <c r="ME360" s="3"/>
      <c r="MF360" s="3"/>
      <c r="MG360" s="3"/>
      <c r="MH360" s="3"/>
      <c r="MI360" s="3"/>
    </row>
    <row r="361" spans="1:347"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ID361" s="3"/>
      <c r="IE361" s="3"/>
      <c r="IF361" s="3"/>
      <c r="IG361" s="3"/>
      <c r="IH361" s="3"/>
      <c r="II361" s="3"/>
      <c r="IJ361" s="3"/>
      <c r="IK361" s="3"/>
      <c r="IL361" s="3"/>
      <c r="IM361" s="3"/>
      <c r="IN361" s="3"/>
      <c r="IO361" s="3"/>
      <c r="IP361" s="3"/>
      <c r="IQ361" s="3"/>
      <c r="IR361" s="3"/>
      <c r="IS361" s="3"/>
      <c r="IT361" s="3"/>
      <c r="IU361" s="3"/>
      <c r="IV361" s="3"/>
      <c r="IW361" s="3"/>
      <c r="IX361" s="3"/>
      <c r="IY361" s="3"/>
      <c r="IZ361" s="3"/>
      <c r="JA361" s="3"/>
      <c r="JB361" s="3"/>
      <c r="JC361" s="3"/>
      <c r="JD361" s="3"/>
      <c r="JE361" s="3"/>
      <c r="JF361" s="3"/>
      <c r="JG361" s="3"/>
      <c r="JH361" s="3"/>
      <c r="JI361" s="3"/>
      <c r="JJ361" s="3"/>
      <c r="JK361" s="3"/>
      <c r="JL361" s="3"/>
      <c r="JM361" s="3"/>
      <c r="JN361" s="3"/>
      <c r="JO361" s="3"/>
      <c r="JP361" s="3"/>
      <c r="JQ361" s="3"/>
      <c r="JR361" s="3"/>
      <c r="JS361" s="3"/>
      <c r="JT361" s="3"/>
      <c r="JU361" s="3"/>
      <c r="JV361" s="3"/>
      <c r="JW361" s="3"/>
      <c r="JX361" s="3"/>
      <c r="JY361" s="3"/>
      <c r="JZ361" s="3"/>
      <c r="KA361" s="3"/>
      <c r="KB361" s="3"/>
      <c r="KC361" s="3"/>
      <c r="KD361" s="3"/>
      <c r="KE361" s="3"/>
      <c r="KF361" s="3"/>
      <c r="KG361" s="3"/>
      <c r="KH361" s="3"/>
      <c r="KI361" s="3"/>
      <c r="KJ361" s="3"/>
      <c r="KK361" s="3"/>
      <c r="KL361" s="3"/>
      <c r="KM361" s="3"/>
      <c r="KN361" s="3"/>
      <c r="KO361" s="3"/>
      <c r="KP361" s="3"/>
      <c r="KQ361" s="3"/>
      <c r="KR361" s="3"/>
      <c r="KS361" s="3"/>
      <c r="KT361" s="3"/>
      <c r="KU361" s="3"/>
      <c r="KV361" s="3"/>
      <c r="KW361" s="3"/>
      <c r="KX361" s="3"/>
      <c r="KY361" s="3"/>
      <c r="KZ361" s="3"/>
      <c r="LA361" s="3"/>
      <c r="LB361" s="3"/>
      <c r="LC361" s="3"/>
      <c r="LD361" s="3"/>
      <c r="LE361" s="3"/>
      <c r="LF361" s="3"/>
      <c r="LG361" s="3"/>
      <c r="LH361" s="3"/>
      <c r="LI361" s="3"/>
      <c r="LJ361" s="3"/>
      <c r="LK361" s="3"/>
      <c r="LL361" s="3"/>
      <c r="LM361" s="3"/>
      <c r="LN361" s="3"/>
      <c r="LO361" s="3"/>
      <c r="LP361" s="3"/>
      <c r="LQ361" s="3"/>
      <c r="LR361" s="3"/>
      <c r="LS361" s="3"/>
      <c r="LT361" s="3"/>
      <c r="LU361" s="3"/>
      <c r="LV361" s="3"/>
      <c r="LW361" s="3"/>
      <c r="LX361" s="3"/>
      <c r="LY361" s="3"/>
      <c r="LZ361" s="3"/>
      <c r="MA361" s="3"/>
      <c r="MB361" s="3"/>
      <c r="MC361" s="3"/>
      <c r="MD361" s="3"/>
      <c r="ME361" s="3"/>
      <c r="MF361" s="3"/>
      <c r="MG361" s="3"/>
      <c r="MH361" s="3"/>
      <c r="MI361" s="3"/>
    </row>
    <row r="362" spans="1:347"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c r="HX362" s="3"/>
      <c r="HY362" s="3"/>
      <c r="HZ362" s="3"/>
      <c r="IA362" s="3"/>
      <c r="IB362" s="3"/>
      <c r="IC362" s="3"/>
      <c r="ID362" s="3"/>
      <c r="IE362" s="3"/>
      <c r="IF362" s="3"/>
      <c r="IG362" s="3"/>
      <c r="IH362" s="3"/>
      <c r="II362" s="3"/>
      <c r="IJ362" s="3"/>
      <c r="IK362" s="3"/>
      <c r="IL362" s="3"/>
      <c r="IM362" s="3"/>
      <c r="IN362" s="3"/>
      <c r="IO362" s="3"/>
      <c r="IP362" s="3"/>
      <c r="IQ362" s="3"/>
      <c r="IR362" s="3"/>
      <c r="IS362" s="3"/>
      <c r="IT362" s="3"/>
      <c r="IU362" s="3"/>
      <c r="IV362" s="3"/>
      <c r="IW362" s="3"/>
      <c r="IX362" s="3"/>
      <c r="IY362" s="3"/>
      <c r="IZ362" s="3"/>
      <c r="JA362" s="3"/>
      <c r="JB362" s="3"/>
      <c r="JC362" s="3"/>
      <c r="JD362" s="3"/>
      <c r="JE362" s="3"/>
      <c r="JF362" s="3"/>
      <c r="JG362" s="3"/>
      <c r="JH362" s="3"/>
      <c r="JI362" s="3"/>
      <c r="JJ362" s="3"/>
      <c r="JK362" s="3"/>
      <c r="JL362" s="3"/>
      <c r="JM362" s="3"/>
      <c r="JN362" s="3"/>
      <c r="JO362" s="3"/>
      <c r="JP362" s="3"/>
      <c r="JQ362" s="3"/>
      <c r="JR362" s="3"/>
      <c r="JS362" s="3"/>
      <c r="JT362" s="3"/>
      <c r="JU362" s="3"/>
      <c r="JV362" s="3"/>
      <c r="JW362" s="3"/>
      <c r="JX362" s="3"/>
      <c r="JY362" s="3"/>
      <c r="JZ362" s="3"/>
      <c r="KA362" s="3"/>
      <c r="KB362" s="3"/>
      <c r="KC362" s="3"/>
      <c r="KD362" s="3"/>
      <c r="KE362" s="3"/>
      <c r="KF362" s="3"/>
      <c r="KG362" s="3"/>
      <c r="KH362" s="3"/>
      <c r="KI362" s="3"/>
      <c r="KJ362" s="3"/>
      <c r="KK362" s="3"/>
      <c r="KL362" s="3"/>
      <c r="KM362" s="3"/>
      <c r="KN362" s="3"/>
      <c r="KO362" s="3"/>
      <c r="KP362" s="3"/>
      <c r="KQ362" s="3"/>
      <c r="KR362" s="3"/>
      <c r="KS362" s="3"/>
      <c r="KT362" s="3"/>
      <c r="KU362" s="3"/>
      <c r="KV362" s="3"/>
      <c r="KW362" s="3"/>
      <c r="KX362" s="3"/>
      <c r="KY362" s="3"/>
      <c r="KZ362" s="3"/>
      <c r="LA362" s="3"/>
      <c r="LB362" s="3"/>
      <c r="LC362" s="3"/>
      <c r="LD362" s="3"/>
      <c r="LE362" s="3"/>
      <c r="LF362" s="3"/>
      <c r="LG362" s="3"/>
      <c r="LH362" s="3"/>
      <c r="LI362" s="3"/>
      <c r="LJ362" s="3"/>
      <c r="LK362" s="3"/>
      <c r="LL362" s="3"/>
      <c r="LM362" s="3"/>
      <c r="LN362" s="3"/>
      <c r="LO362" s="3"/>
      <c r="LP362" s="3"/>
      <c r="LQ362" s="3"/>
      <c r="LR362" s="3"/>
      <c r="LS362" s="3"/>
      <c r="LT362" s="3"/>
      <c r="LU362" s="3"/>
      <c r="LV362" s="3"/>
      <c r="LW362" s="3"/>
      <c r="LX362" s="3"/>
      <c r="LY362" s="3"/>
      <c r="LZ362" s="3"/>
      <c r="MA362" s="3"/>
      <c r="MB362" s="3"/>
      <c r="MC362" s="3"/>
      <c r="MD362" s="3"/>
      <c r="ME362" s="3"/>
      <c r="MF362" s="3"/>
      <c r="MG362" s="3"/>
      <c r="MH362" s="3"/>
      <c r="MI362" s="3"/>
    </row>
    <row r="363" spans="1:347"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ID363" s="3"/>
      <c r="IE363" s="3"/>
      <c r="IF363" s="3"/>
      <c r="IG363" s="3"/>
      <c r="IH363" s="3"/>
      <c r="II363" s="3"/>
      <c r="IJ363" s="3"/>
      <c r="IK363" s="3"/>
      <c r="IL363" s="3"/>
      <c r="IM363" s="3"/>
      <c r="IN363" s="3"/>
      <c r="IO363" s="3"/>
      <c r="IP363" s="3"/>
      <c r="IQ363" s="3"/>
      <c r="IR363" s="3"/>
      <c r="IS363" s="3"/>
      <c r="IT363" s="3"/>
      <c r="IU363" s="3"/>
      <c r="IV363" s="3"/>
      <c r="IW363" s="3"/>
      <c r="IX363" s="3"/>
      <c r="IY363" s="3"/>
      <c r="IZ363" s="3"/>
      <c r="JA363" s="3"/>
      <c r="JB363" s="3"/>
      <c r="JC363" s="3"/>
      <c r="JD363" s="3"/>
      <c r="JE363" s="3"/>
      <c r="JF363" s="3"/>
      <c r="JG363" s="3"/>
      <c r="JH363" s="3"/>
      <c r="JI363" s="3"/>
      <c r="JJ363" s="3"/>
      <c r="JK363" s="3"/>
      <c r="JL363" s="3"/>
      <c r="JM363" s="3"/>
      <c r="JN363" s="3"/>
      <c r="JO363" s="3"/>
      <c r="JP363" s="3"/>
      <c r="JQ363" s="3"/>
      <c r="JR363" s="3"/>
      <c r="JS363" s="3"/>
      <c r="JT363" s="3"/>
      <c r="JU363" s="3"/>
      <c r="JV363" s="3"/>
      <c r="JW363" s="3"/>
      <c r="JX363" s="3"/>
      <c r="JY363" s="3"/>
      <c r="JZ363" s="3"/>
      <c r="KA363" s="3"/>
      <c r="KB363" s="3"/>
      <c r="KC363" s="3"/>
      <c r="KD363" s="3"/>
      <c r="KE363" s="3"/>
      <c r="KF363" s="3"/>
      <c r="KG363" s="3"/>
      <c r="KH363" s="3"/>
      <c r="KI363" s="3"/>
      <c r="KJ363" s="3"/>
      <c r="KK363" s="3"/>
      <c r="KL363" s="3"/>
      <c r="KM363" s="3"/>
      <c r="KN363" s="3"/>
      <c r="KO363" s="3"/>
      <c r="KP363" s="3"/>
      <c r="KQ363" s="3"/>
      <c r="KR363" s="3"/>
      <c r="KS363" s="3"/>
      <c r="KT363" s="3"/>
      <c r="KU363" s="3"/>
      <c r="KV363" s="3"/>
      <c r="KW363" s="3"/>
      <c r="KX363" s="3"/>
      <c r="KY363" s="3"/>
      <c r="KZ363" s="3"/>
      <c r="LA363" s="3"/>
      <c r="LB363" s="3"/>
      <c r="LC363" s="3"/>
      <c r="LD363" s="3"/>
      <c r="LE363" s="3"/>
      <c r="LF363" s="3"/>
      <c r="LG363" s="3"/>
      <c r="LH363" s="3"/>
      <c r="LI363" s="3"/>
      <c r="LJ363" s="3"/>
      <c r="LK363" s="3"/>
      <c r="LL363" s="3"/>
      <c r="LM363" s="3"/>
      <c r="LN363" s="3"/>
      <c r="LO363" s="3"/>
      <c r="LP363" s="3"/>
      <c r="LQ363" s="3"/>
      <c r="LR363" s="3"/>
      <c r="LS363" s="3"/>
      <c r="LT363" s="3"/>
      <c r="LU363" s="3"/>
      <c r="LV363" s="3"/>
      <c r="LW363" s="3"/>
      <c r="LX363" s="3"/>
      <c r="LY363" s="3"/>
      <c r="LZ363" s="3"/>
      <c r="MA363" s="3"/>
      <c r="MB363" s="3"/>
      <c r="MC363" s="3"/>
      <c r="MD363" s="3"/>
      <c r="ME363" s="3"/>
      <c r="MF363" s="3"/>
      <c r="MG363" s="3"/>
      <c r="MH363" s="3"/>
      <c r="MI363" s="3"/>
    </row>
    <row r="364" spans="1:347"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c r="LV364" s="3"/>
      <c r="LW364" s="3"/>
      <c r="LX364" s="3"/>
      <c r="LY364" s="3"/>
      <c r="LZ364" s="3"/>
      <c r="MA364" s="3"/>
      <c r="MB364" s="3"/>
      <c r="MC364" s="3"/>
      <c r="MD364" s="3"/>
      <c r="ME364" s="3"/>
      <c r="MF364" s="3"/>
      <c r="MG364" s="3"/>
      <c r="MH364" s="3"/>
      <c r="MI364" s="3"/>
    </row>
    <row r="365" spans="1:347"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ID365" s="3"/>
      <c r="IE365" s="3"/>
      <c r="IF365" s="3"/>
      <c r="IG365" s="3"/>
      <c r="IH365" s="3"/>
      <c r="II365" s="3"/>
      <c r="IJ365" s="3"/>
      <c r="IK365" s="3"/>
      <c r="IL365" s="3"/>
      <c r="IM365" s="3"/>
      <c r="IN365" s="3"/>
      <c r="IO365" s="3"/>
      <c r="IP365" s="3"/>
      <c r="IQ365" s="3"/>
      <c r="IR365" s="3"/>
      <c r="IS365" s="3"/>
      <c r="IT365" s="3"/>
      <c r="IU365" s="3"/>
      <c r="IV365" s="3"/>
      <c r="IW365" s="3"/>
      <c r="IX365" s="3"/>
      <c r="IY365" s="3"/>
      <c r="IZ365" s="3"/>
      <c r="JA365" s="3"/>
      <c r="JB365" s="3"/>
      <c r="JC365" s="3"/>
      <c r="JD365" s="3"/>
      <c r="JE365" s="3"/>
      <c r="JF365" s="3"/>
      <c r="JG365" s="3"/>
      <c r="JH365" s="3"/>
      <c r="JI365" s="3"/>
      <c r="JJ365" s="3"/>
      <c r="JK365" s="3"/>
      <c r="JL365" s="3"/>
      <c r="JM365" s="3"/>
      <c r="JN365" s="3"/>
      <c r="JO365" s="3"/>
      <c r="JP365" s="3"/>
      <c r="JQ365" s="3"/>
      <c r="JR365" s="3"/>
      <c r="JS365" s="3"/>
      <c r="JT365" s="3"/>
      <c r="JU365" s="3"/>
      <c r="JV365" s="3"/>
      <c r="JW365" s="3"/>
      <c r="JX365" s="3"/>
      <c r="JY365" s="3"/>
      <c r="JZ365" s="3"/>
      <c r="KA365" s="3"/>
      <c r="KB365" s="3"/>
      <c r="KC365" s="3"/>
      <c r="KD365" s="3"/>
      <c r="KE365" s="3"/>
      <c r="KF365" s="3"/>
      <c r="KG365" s="3"/>
      <c r="KH365" s="3"/>
      <c r="KI365" s="3"/>
      <c r="KJ365" s="3"/>
      <c r="KK365" s="3"/>
      <c r="KL365" s="3"/>
      <c r="KM365" s="3"/>
      <c r="KN365" s="3"/>
      <c r="KO365" s="3"/>
      <c r="KP365" s="3"/>
      <c r="KQ365" s="3"/>
      <c r="KR365" s="3"/>
      <c r="KS365" s="3"/>
      <c r="KT365" s="3"/>
      <c r="KU365" s="3"/>
      <c r="KV365" s="3"/>
      <c r="KW365" s="3"/>
      <c r="KX365" s="3"/>
      <c r="KY365" s="3"/>
      <c r="KZ365" s="3"/>
      <c r="LA365" s="3"/>
      <c r="LB365" s="3"/>
      <c r="LC365" s="3"/>
      <c r="LD365" s="3"/>
      <c r="LE365" s="3"/>
      <c r="LF365" s="3"/>
      <c r="LG365" s="3"/>
      <c r="LH365" s="3"/>
      <c r="LI365" s="3"/>
      <c r="LJ365" s="3"/>
      <c r="LK365" s="3"/>
      <c r="LL365" s="3"/>
      <c r="LM365" s="3"/>
      <c r="LN365" s="3"/>
      <c r="LO365" s="3"/>
      <c r="LP365" s="3"/>
      <c r="LQ365" s="3"/>
      <c r="LR365" s="3"/>
      <c r="LS365" s="3"/>
      <c r="LT365" s="3"/>
      <c r="LU365" s="3"/>
      <c r="LV365" s="3"/>
      <c r="LW365" s="3"/>
      <c r="LX365" s="3"/>
      <c r="LY365" s="3"/>
      <c r="LZ365" s="3"/>
      <c r="MA365" s="3"/>
      <c r="MB365" s="3"/>
      <c r="MC365" s="3"/>
      <c r="MD365" s="3"/>
      <c r="ME365" s="3"/>
      <c r="MF365" s="3"/>
      <c r="MG365" s="3"/>
      <c r="MH365" s="3"/>
      <c r="MI365" s="3"/>
    </row>
    <row r="366" spans="1:347"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ID366" s="3"/>
      <c r="IE366" s="3"/>
      <c r="IF366" s="3"/>
      <c r="IG366" s="3"/>
      <c r="IH366" s="3"/>
      <c r="II366" s="3"/>
      <c r="IJ366" s="3"/>
      <c r="IK366" s="3"/>
      <c r="IL366" s="3"/>
      <c r="IM366" s="3"/>
      <c r="IN366" s="3"/>
      <c r="IO366" s="3"/>
      <c r="IP366" s="3"/>
      <c r="IQ366" s="3"/>
      <c r="IR366" s="3"/>
      <c r="IS366" s="3"/>
      <c r="IT366" s="3"/>
      <c r="IU366" s="3"/>
      <c r="IV366" s="3"/>
      <c r="IW366" s="3"/>
      <c r="IX366" s="3"/>
      <c r="IY366" s="3"/>
      <c r="IZ366" s="3"/>
      <c r="JA366" s="3"/>
      <c r="JB366" s="3"/>
      <c r="JC366" s="3"/>
      <c r="JD366" s="3"/>
      <c r="JE366" s="3"/>
      <c r="JF366" s="3"/>
      <c r="JG366" s="3"/>
      <c r="JH366" s="3"/>
      <c r="JI366" s="3"/>
      <c r="JJ366" s="3"/>
      <c r="JK366" s="3"/>
      <c r="JL366" s="3"/>
      <c r="JM366" s="3"/>
      <c r="JN366" s="3"/>
      <c r="JO366" s="3"/>
      <c r="JP366" s="3"/>
      <c r="JQ366" s="3"/>
      <c r="JR366" s="3"/>
      <c r="JS366" s="3"/>
      <c r="JT366" s="3"/>
      <c r="JU366" s="3"/>
      <c r="JV366" s="3"/>
      <c r="JW366" s="3"/>
      <c r="JX366" s="3"/>
      <c r="JY366" s="3"/>
      <c r="JZ366" s="3"/>
      <c r="KA366" s="3"/>
      <c r="KB366" s="3"/>
      <c r="KC366" s="3"/>
      <c r="KD366" s="3"/>
      <c r="KE366" s="3"/>
      <c r="KF366" s="3"/>
      <c r="KG366" s="3"/>
      <c r="KH366" s="3"/>
      <c r="KI366" s="3"/>
      <c r="KJ366" s="3"/>
      <c r="KK366" s="3"/>
      <c r="KL366" s="3"/>
      <c r="KM366" s="3"/>
      <c r="KN366" s="3"/>
      <c r="KO366" s="3"/>
      <c r="KP366" s="3"/>
      <c r="KQ366" s="3"/>
      <c r="KR366" s="3"/>
      <c r="KS366" s="3"/>
      <c r="KT366" s="3"/>
      <c r="KU366" s="3"/>
      <c r="KV366" s="3"/>
      <c r="KW366" s="3"/>
      <c r="KX366" s="3"/>
      <c r="KY366" s="3"/>
      <c r="KZ366" s="3"/>
      <c r="LA366" s="3"/>
      <c r="LB366" s="3"/>
      <c r="LC366" s="3"/>
      <c r="LD366" s="3"/>
      <c r="LE366" s="3"/>
      <c r="LF366" s="3"/>
      <c r="LG366" s="3"/>
      <c r="LH366" s="3"/>
      <c r="LI366" s="3"/>
      <c r="LJ366" s="3"/>
      <c r="LK366" s="3"/>
      <c r="LL366" s="3"/>
      <c r="LM366" s="3"/>
      <c r="LN366" s="3"/>
      <c r="LO366" s="3"/>
      <c r="LP366" s="3"/>
      <c r="LQ366" s="3"/>
      <c r="LR366" s="3"/>
      <c r="LS366" s="3"/>
      <c r="LT366" s="3"/>
      <c r="LU366" s="3"/>
      <c r="LV366" s="3"/>
      <c r="LW366" s="3"/>
      <c r="LX366" s="3"/>
      <c r="LY366" s="3"/>
      <c r="LZ366" s="3"/>
      <c r="MA366" s="3"/>
      <c r="MB366" s="3"/>
      <c r="MC366" s="3"/>
      <c r="MD366" s="3"/>
      <c r="ME366" s="3"/>
      <c r="MF366" s="3"/>
      <c r="MG366" s="3"/>
      <c r="MH366" s="3"/>
      <c r="MI366" s="3"/>
    </row>
    <row r="367" spans="1:347"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ID367" s="3"/>
      <c r="IE367" s="3"/>
      <c r="IF367" s="3"/>
      <c r="IG367" s="3"/>
      <c r="IH367" s="3"/>
      <c r="II367" s="3"/>
      <c r="IJ367" s="3"/>
      <c r="IK367" s="3"/>
      <c r="IL367" s="3"/>
      <c r="IM367" s="3"/>
      <c r="IN367" s="3"/>
      <c r="IO367" s="3"/>
      <c r="IP367" s="3"/>
      <c r="IQ367" s="3"/>
      <c r="IR367" s="3"/>
      <c r="IS367" s="3"/>
      <c r="IT367" s="3"/>
      <c r="IU367" s="3"/>
      <c r="IV367" s="3"/>
      <c r="IW367" s="3"/>
      <c r="IX367" s="3"/>
      <c r="IY367" s="3"/>
      <c r="IZ367" s="3"/>
      <c r="JA367" s="3"/>
      <c r="JB367" s="3"/>
      <c r="JC367" s="3"/>
      <c r="JD367" s="3"/>
      <c r="JE367" s="3"/>
      <c r="JF367" s="3"/>
      <c r="JG367" s="3"/>
      <c r="JH367" s="3"/>
      <c r="JI367" s="3"/>
      <c r="JJ367" s="3"/>
      <c r="JK367" s="3"/>
      <c r="JL367" s="3"/>
      <c r="JM367" s="3"/>
      <c r="JN367" s="3"/>
      <c r="JO367" s="3"/>
      <c r="JP367" s="3"/>
      <c r="JQ367" s="3"/>
      <c r="JR367" s="3"/>
      <c r="JS367" s="3"/>
      <c r="JT367" s="3"/>
      <c r="JU367" s="3"/>
      <c r="JV367" s="3"/>
      <c r="JW367" s="3"/>
      <c r="JX367" s="3"/>
      <c r="JY367" s="3"/>
      <c r="JZ367" s="3"/>
      <c r="KA367" s="3"/>
      <c r="KB367" s="3"/>
      <c r="KC367" s="3"/>
      <c r="KD367" s="3"/>
      <c r="KE367" s="3"/>
      <c r="KF367" s="3"/>
      <c r="KG367" s="3"/>
      <c r="KH367" s="3"/>
      <c r="KI367" s="3"/>
      <c r="KJ367" s="3"/>
      <c r="KK367" s="3"/>
      <c r="KL367" s="3"/>
      <c r="KM367" s="3"/>
      <c r="KN367" s="3"/>
      <c r="KO367" s="3"/>
      <c r="KP367" s="3"/>
      <c r="KQ367" s="3"/>
      <c r="KR367" s="3"/>
      <c r="KS367" s="3"/>
      <c r="KT367" s="3"/>
      <c r="KU367" s="3"/>
      <c r="KV367" s="3"/>
      <c r="KW367" s="3"/>
      <c r="KX367" s="3"/>
      <c r="KY367" s="3"/>
      <c r="KZ367" s="3"/>
      <c r="LA367" s="3"/>
      <c r="LB367" s="3"/>
      <c r="LC367" s="3"/>
      <c r="LD367" s="3"/>
      <c r="LE367" s="3"/>
      <c r="LF367" s="3"/>
      <c r="LG367" s="3"/>
      <c r="LH367" s="3"/>
      <c r="LI367" s="3"/>
      <c r="LJ367" s="3"/>
      <c r="LK367" s="3"/>
      <c r="LL367" s="3"/>
      <c r="LM367" s="3"/>
      <c r="LN367" s="3"/>
      <c r="LO367" s="3"/>
      <c r="LP367" s="3"/>
      <c r="LQ367" s="3"/>
      <c r="LR367" s="3"/>
      <c r="LS367" s="3"/>
      <c r="LT367" s="3"/>
      <c r="LU367" s="3"/>
      <c r="LV367" s="3"/>
      <c r="LW367" s="3"/>
      <c r="LX367" s="3"/>
      <c r="LY367" s="3"/>
      <c r="LZ367" s="3"/>
      <c r="MA367" s="3"/>
      <c r="MB367" s="3"/>
      <c r="MC367" s="3"/>
      <c r="MD367" s="3"/>
      <c r="ME367" s="3"/>
      <c r="MF367" s="3"/>
      <c r="MG367" s="3"/>
      <c r="MH367" s="3"/>
      <c r="MI367" s="3"/>
    </row>
    <row r="368" spans="1:347"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ID368" s="3"/>
      <c r="IE368" s="3"/>
      <c r="IF368" s="3"/>
      <c r="IG368" s="3"/>
      <c r="IH368" s="3"/>
      <c r="II368" s="3"/>
      <c r="IJ368" s="3"/>
      <c r="IK368" s="3"/>
      <c r="IL368" s="3"/>
      <c r="IM368" s="3"/>
      <c r="IN368" s="3"/>
      <c r="IO368" s="3"/>
      <c r="IP368" s="3"/>
      <c r="IQ368" s="3"/>
      <c r="IR368" s="3"/>
      <c r="IS368" s="3"/>
      <c r="IT368" s="3"/>
      <c r="IU368" s="3"/>
      <c r="IV368" s="3"/>
      <c r="IW368" s="3"/>
      <c r="IX368" s="3"/>
      <c r="IY368" s="3"/>
      <c r="IZ368" s="3"/>
      <c r="JA368" s="3"/>
      <c r="JB368" s="3"/>
      <c r="JC368" s="3"/>
      <c r="JD368" s="3"/>
      <c r="JE368" s="3"/>
      <c r="JF368" s="3"/>
      <c r="JG368" s="3"/>
      <c r="JH368" s="3"/>
      <c r="JI368" s="3"/>
      <c r="JJ368" s="3"/>
      <c r="JK368" s="3"/>
      <c r="JL368" s="3"/>
      <c r="JM368" s="3"/>
      <c r="JN368" s="3"/>
      <c r="JO368" s="3"/>
      <c r="JP368" s="3"/>
      <c r="JQ368" s="3"/>
      <c r="JR368" s="3"/>
      <c r="JS368" s="3"/>
      <c r="JT368" s="3"/>
      <c r="JU368" s="3"/>
      <c r="JV368" s="3"/>
      <c r="JW368" s="3"/>
      <c r="JX368" s="3"/>
      <c r="JY368" s="3"/>
      <c r="JZ368" s="3"/>
      <c r="KA368" s="3"/>
      <c r="KB368" s="3"/>
      <c r="KC368" s="3"/>
      <c r="KD368" s="3"/>
      <c r="KE368" s="3"/>
      <c r="KF368" s="3"/>
      <c r="KG368" s="3"/>
      <c r="KH368" s="3"/>
      <c r="KI368" s="3"/>
      <c r="KJ368" s="3"/>
      <c r="KK368" s="3"/>
      <c r="KL368" s="3"/>
      <c r="KM368" s="3"/>
      <c r="KN368" s="3"/>
      <c r="KO368" s="3"/>
      <c r="KP368" s="3"/>
      <c r="KQ368" s="3"/>
      <c r="KR368" s="3"/>
      <c r="KS368" s="3"/>
      <c r="KT368" s="3"/>
      <c r="KU368" s="3"/>
      <c r="KV368" s="3"/>
      <c r="KW368" s="3"/>
      <c r="KX368" s="3"/>
      <c r="KY368" s="3"/>
      <c r="KZ368" s="3"/>
      <c r="LA368" s="3"/>
      <c r="LB368" s="3"/>
      <c r="LC368" s="3"/>
      <c r="LD368" s="3"/>
      <c r="LE368" s="3"/>
      <c r="LF368" s="3"/>
      <c r="LG368" s="3"/>
      <c r="LH368" s="3"/>
      <c r="LI368" s="3"/>
      <c r="LJ368" s="3"/>
      <c r="LK368" s="3"/>
      <c r="LL368" s="3"/>
      <c r="LM368" s="3"/>
      <c r="LN368" s="3"/>
      <c r="LO368" s="3"/>
      <c r="LP368" s="3"/>
      <c r="LQ368" s="3"/>
      <c r="LR368" s="3"/>
      <c r="LS368" s="3"/>
      <c r="LT368" s="3"/>
      <c r="LU368" s="3"/>
      <c r="LV368" s="3"/>
      <c r="LW368" s="3"/>
      <c r="LX368" s="3"/>
      <c r="LY368" s="3"/>
      <c r="LZ368" s="3"/>
      <c r="MA368" s="3"/>
      <c r="MB368" s="3"/>
      <c r="MC368" s="3"/>
      <c r="MD368" s="3"/>
      <c r="ME368" s="3"/>
      <c r="MF368" s="3"/>
      <c r="MG368" s="3"/>
      <c r="MH368" s="3"/>
      <c r="MI368" s="3"/>
    </row>
    <row r="369" spans="1:347"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ID369" s="3"/>
      <c r="IE369" s="3"/>
      <c r="IF369" s="3"/>
      <c r="IG369" s="3"/>
      <c r="IH369" s="3"/>
      <c r="II369" s="3"/>
      <c r="IJ369" s="3"/>
      <c r="IK369" s="3"/>
      <c r="IL369" s="3"/>
      <c r="IM369" s="3"/>
      <c r="IN369" s="3"/>
      <c r="IO369" s="3"/>
      <c r="IP369" s="3"/>
      <c r="IQ369" s="3"/>
      <c r="IR369" s="3"/>
      <c r="IS369" s="3"/>
      <c r="IT369" s="3"/>
      <c r="IU369" s="3"/>
      <c r="IV369" s="3"/>
      <c r="IW369" s="3"/>
      <c r="IX369" s="3"/>
      <c r="IY369" s="3"/>
      <c r="IZ369" s="3"/>
      <c r="JA369" s="3"/>
      <c r="JB369" s="3"/>
      <c r="JC369" s="3"/>
      <c r="JD369" s="3"/>
      <c r="JE369" s="3"/>
      <c r="JF369" s="3"/>
      <c r="JG369" s="3"/>
      <c r="JH369" s="3"/>
      <c r="JI369" s="3"/>
      <c r="JJ369" s="3"/>
      <c r="JK369" s="3"/>
      <c r="JL369" s="3"/>
      <c r="JM369" s="3"/>
      <c r="JN369" s="3"/>
      <c r="JO369" s="3"/>
      <c r="JP369" s="3"/>
      <c r="JQ369" s="3"/>
      <c r="JR369" s="3"/>
      <c r="JS369" s="3"/>
      <c r="JT369" s="3"/>
      <c r="JU369" s="3"/>
      <c r="JV369" s="3"/>
      <c r="JW369" s="3"/>
      <c r="JX369" s="3"/>
      <c r="JY369" s="3"/>
      <c r="JZ369" s="3"/>
      <c r="KA369" s="3"/>
      <c r="KB369" s="3"/>
      <c r="KC369" s="3"/>
      <c r="KD369" s="3"/>
      <c r="KE369" s="3"/>
      <c r="KF369" s="3"/>
      <c r="KG369" s="3"/>
      <c r="KH369" s="3"/>
      <c r="KI369" s="3"/>
      <c r="KJ369" s="3"/>
      <c r="KK369" s="3"/>
      <c r="KL369" s="3"/>
      <c r="KM369" s="3"/>
      <c r="KN369" s="3"/>
      <c r="KO369" s="3"/>
      <c r="KP369" s="3"/>
      <c r="KQ369" s="3"/>
      <c r="KR369" s="3"/>
      <c r="KS369" s="3"/>
      <c r="KT369" s="3"/>
      <c r="KU369" s="3"/>
      <c r="KV369" s="3"/>
      <c r="KW369" s="3"/>
      <c r="KX369" s="3"/>
      <c r="KY369" s="3"/>
      <c r="KZ369" s="3"/>
      <c r="LA369" s="3"/>
      <c r="LB369" s="3"/>
      <c r="LC369" s="3"/>
      <c r="LD369" s="3"/>
      <c r="LE369" s="3"/>
      <c r="LF369" s="3"/>
      <c r="LG369" s="3"/>
      <c r="LH369" s="3"/>
      <c r="LI369" s="3"/>
      <c r="LJ369" s="3"/>
      <c r="LK369" s="3"/>
      <c r="LL369" s="3"/>
      <c r="LM369" s="3"/>
      <c r="LN369" s="3"/>
      <c r="LO369" s="3"/>
      <c r="LP369" s="3"/>
      <c r="LQ369" s="3"/>
      <c r="LR369" s="3"/>
      <c r="LS369" s="3"/>
      <c r="LT369" s="3"/>
      <c r="LU369" s="3"/>
      <c r="LV369" s="3"/>
      <c r="LW369" s="3"/>
      <c r="LX369" s="3"/>
      <c r="LY369" s="3"/>
      <c r="LZ369" s="3"/>
      <c r="MA369" s="3"/>
      <c r="MB369" s="3"/>
      <c r="MC369" s="3"/>
      <c r="MD369" s="3"/>
      <c r="ME369" s="3"/>
      <c r="MF369" s="3"/>
      <c r="MG369" s="3"/>
      <c r="MH369" s="3"/>
      <c r="MI369" s="3"/>
    </row>
    <row r="370" spans="1:347"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ID370" s="3"/>
      <c r="IE370" s="3"/>
      <c r="IF370" s="3"/>
      <c r="IG370" s="3"/>
      <c r="IH370" s="3"/>
      <c r="II370" s="3"/>
      <c r="IJ370" s="3"/>
      <c r="IK370" s="3"/>
      <c r="IL370" s="3"/>
      <c r="IM370" s="3"/>
      <c r="IN370" s="3"/>
      <c r="IO370" s="3"/>
      <c r="IP370" s="3"/>
      <c r="IQ370" s="3"/>
      <c r="IR370" s="3"/>
      <c r="IS370" s="3"/>
      <c r="IT370" s="3"/>
      <c r="IU370" s="3"/>
      <c r="IV370" s="3"/>
      <c r="IW370" s="3"/>
      <c r="IX370" s="3"/>
      <c r="IY370" s="3"/>
      <c r="IZ370" s="3"/>
      <c r="JA370" s="3"/>
      <c r="JB370" s="3"/>
      <c r="JC370" s="3"/>
      <c r="JD370" s="3"/>
      <c r="JE370" s="3"/>
      <c r="JF370" s="3"/>
      <c r="JG370" s="3"/>
      <c r="JH370" s="3"/>
      <c r="JI370" s="3"/>
      <c r="JJ370" s="3"/>
      <c r="JK370" s="3"/>
      <c r="JL370" s="3"/>
      <c r="JM370" s="3"/>
      <c r="JN370" s="3"/>
      <c r="JO370" s="3"/>
      <c r="JP370" s="3"/>
      <c r="JQ370" s="3"/>
      <c r="JR370" s="3"/>
      <c r="JS370" s="3"/>
      <c r="JT370" s="3"/>
      <c r="JU370" s="3"/>
      <c r="JV370" s="3"/>
      <c r="JW370" s="3"/>
      <c r="JX370" s="3"/>
      <c r="JY370" s="3"/>
      <c r="JZ370" s="3"/>
      <c r="KA370" s="3"/>
      <c r="KB370" s="3"/>
      <c r="KC370" s="3"/>
      <c r="KD370" s="3"/>
      <c r="KE370" s="3"/>
      <c r="KF370" s="3"/>
      <c r="KG370" s="3"/>
      <c r="KH370" s="3"/>
      <c r="KI370" s="3"/>
      <c r="KJ370" s="3"/>
      <c r="KK370" s="3"/>
      <c r="KL370" s="3"/>
      <c r="KM370" s="3"/>
      <c r="KN370" s="3"/>
      <c r="KO370" s="3"/>
      <c r="KP370" s="3"/>
      <c r="KQ370" s="3"/>
      <c r="KR370" s="3"/>
      <c r="KS370" s="3"/>
      <c r="KT370" s="3"/>
      <c r="KU370" s="3"/>
      <c r="KV370" s="3"/>
      <c r="KW370" s="3"/>
      <c r="KX370" s="3"/>
      <c r="KY370" s="3"/>
      <c r="KZ370" s="3"/>
      <c r="LA370" s="3"/>
      <c r="LB370" s="3"/>
      <c r="LC370" s="3"/>
      <c r="LD370" s="3"/>
      <c r="LE370" s="3"/>
      <c r="LF370" s="3"/>
      <c r="LG370" s="3"/>
      <c r="LH370" s="3"/>
      <c r="LI370" s="3"/>
      <c r="LJ370" s="3"/>
      <c r="LK370" s="3"/>
      <c r="LL370" s="3"/>
      <c r="LM370" s="3"/>
      <c r="LN370" s="3"/>
      <c r="LO370" s="3"/>
      <c r="LP370" s="3"/>
      <c r="LQ370" s="3"/>
      <c r="LR370" s="3"/>
      <c r="LS370" s="3"/>
      <c r="LT370" s="3"/>
      <c r="LU370" s="3"/>
      <c r="LV370" s="3"/>
      <c r="LW370" s="3"/>
      <c r="LX370" s="3"/>
      <c r="LY370" s="3"/>
      <c r="LZ370" s="3"/>
      <c r="MA370" s="3"/>
      <c r="MB370" s="3"/>
      <c r="MC370" s="3"/>
      <c r="MD370" s="3"/>
      <c r="ME370" s="3"/>
      <c r="MF370" s="3"/>
      <c r="MG370" s="3"/>
      <c r="MH370" s="3"/>
      <c r="MI370" s="3"/>
    </row>
    <row r="371" spans="1:347"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c r="HX371" s="3"/>
      <c r="HY371" s="3"/>
      <c r="HZ371" s="3"/>
      <c r="IA371" s="3"/>
      <c r="IB371" s="3"/>
      <c r="IC371" s="3"/>
      <c r="ID371" s="3"/>
      <c r="IE371" s="3"/>
      <c r="IF371" s="3"/>
      <c r="IG371" s="3"/>
      <c r="IH371" s="3"/>
      <c r="II371" s="3"/>
      <c r="IJ371" s="3"/>
      <c r="IK371" s="3"/>
      <c r="IL371" s="3"/>
      <c r="IM371" s="3"/>
      <c r="IN371" s="3"/>
      <c r="IO371" s="3"/>
      <c r="IP371" s="3"/>
      <c r="IQ371" s="3"/>
      <c r="IR371" s="3"/>
      <c r="IS371" s="3"/>
      <c r="IT371" s="3"/>
      <c r="IU371" s="3"/>
      <c r="IV371" s="3"/>
      <c r="IW371" s="3"/>
      <c r="IX371" s="3"/>
      <c r="IY371" s="3"/>
      <c r="IZ371" s="3"/>
      <c r="JA371" s="3"/>
      <c r="JB371" s="3"/>
      <c r="JC371" s="3"/>
      <c r="JD371" s="3"/>
      <c r="JE371" s="3"/>
      <c r="JF371" s="3"/>
      <c r="JG371" s="3"/>
      <c r="JH371" s="3"/>
      <c r="JI371" s="3"/>
      <c r="JJ371" s="3"/>
      <c r="JK371" s="3"/>
      <c r="JL371" s="3"/>
      <c r="JM371" s="3"/>
      <c r="JN371" s="3"/>
      <c r="JO371" s="3"/>
      <c r="JP371" s="3"/>
      <c r="JQ371" s="3"/>
      <c r="JR371" s="3"/>
      <c r="JS371" s="3"/>
      <c r="JT371" s="3"/>
      <c r="JU371" s="3"/>
      <c r="JV371" s="3"/>
      <c r="JW371" s="3"/>
      <c r="JX371" s="3"/>
      <c r="JY371" s="3"/>
      <c r="JZ371" s="3"/>
      <c r="KA371" s="3"/>
      <c r="KB371" s="3"/>
      <c r="KC371" s="3"/>
      <c r="KD371" s="3"/>
      <c r="KE371" s="3"/>
      <c r="KF371" s="3"/>
      <c r="KG371" s="3"/>
      <c r="KH371" s="3"/>
      <c r="KI371" s="3"/>
      <c r="KJ371" s="3"/>
      <c r="KK371" s="3"/>
      <c r="KL371" s="3"/>
      <c r="KM371" s="3"/>
      <c r="KN371" s="3"/>
      <c r="KO371" s="3"/>
      <c r="KP371" s="3"/>
      <c r="KQ371" s="3"/>
      <c r="KR371" s="3"/>
      <c r="KS371" s="3"/>
      <c r="KT371" s="3"/>
      <c r="KU371" s="3"/>
      <c r="KV371" s="3"/>
      <c r="KW371" s="3"/>
      <c r="KX371" s="3"/>
      <c r="KY371" s="3"/>
      <c r="KZ371" s="3"/>
      <c r="LA371" s="3"/>
      <c r="LB371" s="3"/>
      <c r="LC371" s="3"/>
      <c r="LD371" s="3"/>
      <c r="LE371" s="3"/>
      <c r="LF371" s="3"/>
      <c r="LG371" s="3"/>
      <c r="LH371" s="3"/>
      <c r="LI371" s="3"/>
      <c r="LJ371" s="3"/>
      <c r="LK371" s="3"/>
      <c r="LL371" s="3"/>
      <c r="LM371" s="3"/>
      <c r="LN371" s="3"/>
      <c r="LO371" s="3"/>
      <c r="LP371" s="3"/>
      <c r="LQ371" s="3"/>
      <c r="LR371" s="3"/>
      <c r="LS371" s="3"/>
      <c r="LT371" s="3"/>
      <c r="LU371" s="3"/>
      <c r="LV371" s="3"/>
      <c r="LW371" s="3"/>
      <c r="LX371" s="3"/>
      <c r="LY371" s="3"/>
      <c r="LZ371" s="3"/>
      <c r="MA371" s="3"/>
      <c r="MB371" s="3"/>
      <c r="MC371" s="3"/>
      <c r="MD371" s="3"/>
      <c r="ME371" s="3"/>
      <c r="MF371" s="3"/>
      <c r="MG371" s="3"/>
      <c r="MH371" s="3"/>
      <c r="MI371" s="3"/>
    </row>
    <row r="372" spans="1:347"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ID372" s="3"/>
      <c r="IE372" s="3"/>
      <c r="IF372" s="3"/>
      <c r="IG372" s="3"/>
      <c r="IH372" s="3"/>
      <c r="II372" s="3"/>
      <c r="IJ372" s="3"/>
      <c r="IK372" s="3"/>
      <c r="IL372" s="3"/>
      <c r="IM372" s="3"/>
      <c r="IN372" s="3"/>
      <c r="IO372" s="3"/>
      <c r="IP372" s="3"/>
      <c r="IQ372" s="3"/>
      <c r="IR372" s="3"/>
      <c r="IS372" s="3"/>
      <c r="IT372" s="3"/>
      <c r="IU372" s="3"/>
      <c r="IV372" s="3"/>
      <c r="IW372" s="3"/>
      <c r="IX372" s="3"/>
      <c r="IY372" s="3"/>
      <c r="IZ372" s="3"/>
      <c r="JA372" s="3"/>
      <c r="JB372" s="3"/>
      <c r="JC372" s="3"/>
      <c r="JD372" s="3"/>
      <c r="JE372" s="3"/>
      <c r="JF372" s="3"/>
      <c r="JG372" s="3"/>
      <c r="JH372" s="3"/>
      <c r="JI372" s="3"/>
      <c r="JJ372" s="3"/>
      <c r="JK372" s="3"/>
      <c r="JL372" s="3"/>
      <c r="JM372" s="3"/>
      <c r="JN372" s="3"/>
      <c r="JO372" s="3"/>
      <c r="JP372" s="3"/>
      <c r="JQ372" s="3"/>
      <c r="JR372" s="3"/>
      <c r="JS372" s="3"/>
      <c r="JT372" s="3"/>
      <c r="JU372" s="3"/>
      <c r="JV372" s="3"/>
      <c r="JW372" s="3"/>
      <c r="JX372" s="3"/>
      <c r="JY372" s="3"/>
      <c r="JZ372" s="3"/>
      <c r="KA372" s="3"/>
      <c r="KB372" s="3"/>
      <c r="KC372" s="3"/>
      <c r="KD372" s="3"/>
      <c r="KE372" s="3"/>
      <c r="KF372" s="3"/>
      <c r="KG372" s="3"/>
      <c r="KH372" s="3"/>
      <c r="KI372" s="3"/>
      <c r="KJ372" s="3"/>
      <c r="KK372" s="3"/>
      <c r="KL372" s="3"/>
      <c r="KM372" s="3"/>
      <c r="KN372" s="3"/>
      <c r="KO372" s="3"/>
      <c r="KP372" s="3"/>
      <c r="KQ372" s="3"/>
      <c r="KR372" s="3"/>
      <c r="KS372" s="3"/>
      <c r="KT372" s="3"/>
      <c r="KU372" s="3"/>
      <c r="KV372" s="3"/>
      <c r="KW372" s="3"/>
      <c r="KX372" s="3"/>
      <c r="KY372" s="3"/>
      <c r="KZ372" s="3"/>
      <c r="LA372" s="3"/>
      <c r="LB372" s="3"/>
      <c r="LC372" s="3"/>
      <c r="LD372" s="3"/>
      <c r="LE372" s="3"/>
      <c r="LF372" s="3"/>
      <c r="LG372" s="3"/>
      <c r="LH372" s="3"/>
      <c r="LI372" s="3"/>
      <c r="LJ372" s="3"/>
      <c r="LK372" s="3"/>
      <c r="LL372" s="3"/>
      <c r="LM372" s="3"/>
      <c r="LN372" s="3"/>
      <c r="LO372" s="3"/>
      <c r="LP372" s="3"/>
      <c r="LQ372" s="3"/>
      <c r="LR372" s="3"/>
      <c r="LS372" s="3"/>
      <c r="LT372" s="3"/>
      <c r="LU372" s="3"/>
      <c r="LV372" s="3"/>
      <c r="LW372" s="3"/>
      <c r="LX372" s="3"/>
      <c r="LY372" s="3"/>
      <c r="LZ372" s="3"/>
      <c r="MA372" s="3"/>
      <c r="MB372" s="3"/>
      <c r="MC372" s="3"/>
      <c r="MD372" s="3"/>
      <c r="ME372" s="3"/>
      <c r="MF372" s="3"/>
      <c r="MG372" s="3"/>
      <c r="MH372" s="3"/>
      <c r="MI372" s="3"/>
    </row>
    <row r="373" spans="1:347"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c r="HX373" s="3"/>
      <c r="HY373" s="3"/>
      <c r="HZ373" s="3"/>
      <c r="IA373" s="3"/>
      <c r="IB373" s="3"/>
      <c r="IC373" s="3"/>
      <c r="ID373" s="3"/>
      <c r="IE373" s="3"/>
      <c r="IF373" s="3"/>
      <c r="IG373" s="3"/>
      <c r="IH373" s="3"/>
      <c r="II373" s="3"/>
      <c r="IJ373" s="3"/>
      <c r="IK373" s="3"/>
      <c r="IL373" s="3"/>
      <c r="IM373" s="3"/>
      <c r="IN373" s="3"/>
      <c r="IO373" s="3"/>
      <c r="IP373" s="3"/>
      <c r="IQ373" s="3"/>
      <c r="IR373" s="3"/>
      <c r="IS373" s="3"/>
      <c r="IT373" s="3"/>
      <c r="IU373" s="3"/>
      <c r="IV373" s="3"/>
      <c r="IW373" s="3"/>
      <c r="IX373" s="3"/>
      <c r="IY373" s="3"/>
      <c r="IZ373" s="3"/>
      <c r="JA373" s="3"/>
      <c r="JB373" s="3"/>
      <c r="JC373" s="3"/>
      <c r="JD373" s="3"/>
      <c r="JE373" s="3"/>
      <c r="JF373" s="3"/>
      <c r="JG373" s="3"/>
      <c r="JH373" s="3"/>
      <c r="JI373" s="3"/>
      <c r="JJ373" s="3"/>
      <c r="JK373" s="3"/>
      <c r="JL373" s="3"/>
      <c r="JM373" s="3"/>
      <c r="JN373" s="3"/>
      <c r="JO373" s="3"/>
      <c r="JP373" s="3"/>
      <c r="JQ373" s="3"/>
      <c r="JR373" s="3"/>
      <c r="JS373" s="3"/>
      <c r="JT373" s="3"/>
      <c r="JU373" s="3"/>
      <c r="JV373" s="3"/>
      <c r="JW373" s="3"/>
      <c r="JX373" s="3"/>
      <c r="JY373" s="3"/>
      <c r="JZ373" s="3"/>
      <c r="KA373" s="3"/>
      <c r="KB373" s="3"/>
      <c r="KC373" s="3"/>
      <c r="KD373" s="3"/>
      <c r="KE373" s="3"/>
      <c r="KF373" s="3"/>
      <c r="KG373" s="3"/>
      <c r="KH373" s="3"/>
      <c r="KI373" s="3"/>
      <c r="KJ373" s="3"/>
      <c r="KK373" s="3"/>
      <c r="KL373" s="3"/>
      <c r="KM373" s="3"/>
      <c r="KN373" s="3"/>
      <c r="KO373" s="3"/>
      <c r="KP373" s="3"/>
      <c r="KQ373" s="3"/>
      <c r="KR373" s="3"/>
      <c r="KS373" s="3"/>
      <c r="KT373" s="3"/>
      <c r="KU373" s="3"/>
      <c r="KV373" s="3"/>
      <c r="KW373" s="3"/>
      <c r="KX373" s="3"/>
      <c r="KY373" s="3"/>
      <c r="KZ373" s="3"/>
      <c r="LA373" s="3"/>
      <c r="LB373" s="3"/>
      <c r="LC373" s="3"/>
      <c r="LD373" s="3"/>
      <c r="LE373" s="3"/>
      <c r="LF373" s="3"/>
      <c r="LG373" s="3"/>
      <c r="LH373" s="3"/>
      <c r="LI373" s="3"/>
      <c r="LJ373" s="3"/>
      <c r="LK373" s="3"/>
      <c r="LL373" s="3"/>
      <c r="LM373" s="3"/>
      <c r="LN373" s="3"/>
      <c r="LO373" s="3"/>
      <c r="LP373" s="3"/>
      <c r="LQ373" s="3"/>
      <c r="LR373" s="3"/>
      <c r="LS373" s="3"/>
      <c r="LT373" s="3"/>
      <c r="LU373" s="3"/>
      <c r="LV373" s="3"/>
      <c r="LW373" s="3"/>
      <c r="LX373" s="3"/>
      <c r="LY373" s="3"/>
      <c r="LZ373" s="3"/>
      <c r="MA373" s="3"/>
      <c r="MB373" s="3"/>
      <c r="MC373" s="3"/>
      <c r="MD373" s="3"/>
      <c r="ME373" s="3"/>
      <c r="MF373" s="3"/>
      <c r="MG373" s="3"/>
      <c r="MH373" s="3"/>
      <c r="MI373" s="3"/>
    </row>
    <row r="374" spans="1:347"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c r="HX374" s="3"/>
      <c r="HY374" s="3"/>
      <c r="HZ374" s="3"/>
      <c r="IA374" s="3"/>
      <c r="IB374" s="3"/>
      <c r="IC374" s="3"/>
      <c r="ID374" s="3"/>
      <c r="IE374" s="3"/>
      <c r="IF374" s="3"/>
      <c r="IG374" s="3"/>
      <c r="IH374" s="3"/>
      <c r="II374" s="3"/>
      <c r="IJ374" s="3"/>
      <c r="IK374" s="3"/>
      <c r="IL374" s="3"/>
      <c r="IM374" s="3"/>
      <c r="IN374" s="3"/>
      <c r="IO374" s="3"/>
      <c r="IP374" s="3"/>
      <c r="IQ374" s="3"/>
      <c r="IR374" s="3"/>
      <c r="IS374" s="3"/>
      <c r="IT374" s="3"/>
      <c r="IU374" s="3"/>
      <c r="IV374" s="3"/>
      <c r="IW374" s="3"/>
      <c r="IX374" s="3"/>
      <c r="IY374" s="3"/>
      <c r="IZ374" s="3"/>
      <c r="JA374" s="3"/>
      <c r="JB374" s="3"/>
      <c r="JC374" s="3"/>
      <c r="JD374" s="3"/>
      <c r="JE374" s="3"/>
      <c r="JF374" s="3"/>
      <c r="JG374" s="3"/>
      <c r="JH374" s="3"/>
      <c r="JI374" s="3"/>
      <c r="JJ374" s="3"/>
      <c r="JK374" s="3"/>
      <c r="JL374" s="3"/>
      <c r="JM374" s="3"/>
      <c r="JN374" s="3"/>
      <c r="JO374" s="3"/>
      <c r="JP374" s="3"/>
      <c r="JQ374" s="3"/>
      <c r="JR374" s="3"/>
      <c r="JS374" s="3"/>
      <c r="JT374" s="3"/>
      <c r="JU374" s="3"/>
      <c r="JV374" s="3"/>
      <c r="JW374" s="3"/>
      <c r="JX374" s="3"/>
      <c r="JY374" s="3"/>
      <c r="JZ374" s="3"/>
      <c r="KA374" s="3"/>
      <c r="KB374" s="3"/>
      <c r="KC374" s="3"/>
      <c r="KD374" s="3"/>
      <c r="KE374" s="3"/>
      <c r="KF374" s="3"/>
      <c r="KG374" s="3"/>
      <c r="KH374" s="3"/>
      <c r="KI374" s="3"/>
      <c r="KJ374" s="3"/>
      <c r="KK374" s="3"/>
      <c r="KL374" s="3"/>
      <c r="KM374" s="3"/>
      <c r="KN374" s="3"/>
      <c r="KO374" s="3"/>
      <c r="KP374" s="3"/>
      <c r="KQ374" s="3"/>
      <c r="KR374" s="3"/>
      <c r="KS374" s="3"/>
      <c r="KT374" s="3"/>
      <c r="KU374" s="3"/>
      <c r="KV374" s="3"/>
      <c r="KW374" s="3"/>
      <c r="KX374" s="3"/>
      <c r="KY374" s="3"/>
      <c r="KZ374" s="3"/>
      <c r="LA374" s="3"/>
      <c r="LB374" s="3"/>
      <c r="LC374" s="3"/>
      <c r="LD374" s="3"/>
      <c r="LE374" s="3"/>
      <c r="LF374" s="3"/>
      <c r="LG374" s="3"/>
      <c r="LH374" s="3"/>
      <c r="LI374" s="3"/>
      <c r="LJ374" s="3"/>
      <c r="LK374" s="3"/>
      <c r="LL374" s="3"/>
      <c r="LM374" s="3"/>
      <c r="LN374" s="3"/>
      <c r="LO374" s="3"/>
      <c r="LP374" s="3"/>
      <c r="LQ374" s="3"/>
      <c r="LR374" s="3"/>
      <c r="LS374" s="3"/>
      <c r="LT374" s="3"/>
      <c r="LU374" s="3"/>
      <c r="LV374" s="3"/>
      <c r="LW374" s="3"/>
      <c r="LX374" s="3"/>
      <c r="LY374" s="3"/>
      <c r="LZ374" s="3"/>
      <c r="MA374" s="3"/>
      <c r="MB374" s="3"/>
      <c r="MC374" s="3"/>
      <c r="MD374" s="3"/>
      <c r="ME374" s="3"/>
      <c r="MF374" s="3"/>
      <c r="MG374" s="3"/>
      <c r="MH374" s="3"/>
      <c r="MI374" s="3"/>
    </row>
    <row r="375" spans="1:347"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ID375" s="3"/>
      <c r="IE375" s="3"/>
      <c r="IF375" s="3"/>
      <c r="IG375" s="3"/>
      <c r="IH375" s="3"/>
      <c r="II375" s="3"/>
      <c r="IJ375" s="3"/>
      <c r="IK375" s="3"/>
      <c r="IL375" s="3"/>
      <c r="IM375" s="3"/>
      <c r="IN375" s="3"/>
      <c r="IO375" s="3"/>
      <c r="IP375" s="3"/>
      <c r="IQ375" s="3"/>
      <c r="IR375" s="3"/>
      <c r="IS375" s="3"/>
      <c r="IT375" s="3"/>
      <c r="IU375" s="3"/>
      <c r="IV375" s="3"/>
      <c r="IW375" s="3"/>
      <c r="IX375" s="3"/>
      <c r="IY375" s="3"/>
      <c r="IZ375" s="3"/>
      <c r="JA375" s="3"/>
      <c r="JB375" s="3"/>
      <c r="JC375" s="3"/>
      <c r="JD375" s="3"/>
      <c r="JE375" s="3"/>
      <c r="JF375" s="3"/>
      <c r="JG375" s="3"/>
      <c r="JH375" s="3"/>
      <c r="JI375" s="3"/>
      <c r="JJ375" s="3"/>
      <c r="JK375" s="3"/>
      <c r="JL375" s="3"/>
      <c r="JM375" s="3"/>
      <c r="JN375" s="3"/>
      <c r="JO375" s="3"/>
      <c r="JP375" s="3"/>
      <c r="JQ375" s="3"/>
      <c r="JR375" s="3"/>
      <c r="JS375" s="3"/>
      <c r="JT375" s="3"/>
      <c r="JU375" s="3"/>
      <c r="JV375" s="3"/>
      <c r="JW375" s="3"/>
      <c r="JX375" s="3"/>
      <c r="JY375" s="3"/>
      <c r="JZ375" s="3"/>
      <c r="KA375" s="3"/>
      <c r="KB375" s="3"/>
      <c r="KC375" s="3"/>
      <c r="KD375" s="3"/>
      <c r="KE375" s="3"/>
      <c r="KF375" s="3"/>
      <c r="KG375" s="3"/>
      <c r="KH375" s="3"/>
      <c r="KI375" s="3"/>
      <c r="KJ375" s="3"/>
      <c r="KK375" s="3"/>
      <c r="KL375" s="3"/>
      <c r="KM375" s="3"/>
      <c r="KN375" s="3"/>
      <c r="KO375" s="3"/>
      <c r="KP375" s="3"/>
      <c r="KQ375" s="3"/>
      <c r="KR375" s="3"/>
      <c r="KS375" s="3"/>
      <c r="KT375" s="3"/>
      <c r="KU375" s="3"/>
      <c r="KV375" s="3"/>
      <c r="KW375" s="3"/>
      <c r="KX375" s="3"/>
      <c r="KY375" s="3"/>
      <c r="KZ375" s="3"/>
      <c r="LA375" s="3"/>
      <c r="LB375" s="3"/>
      <c r="LC375" s="3"/>
      <c r="LD375" s="3"/>
      <c r="LE375" s="3"/>
      <c r="LF375" s="3"/>
      <c r="LG375" s="3"/>
      <c r="LH375" s="3"/>
      <c r="LI375" s="3"/>
      <c r="LJ375" s="3"/>
      <c r="LK375" s="3"/>
      <c r="LL375" s="3"/>
      <c r="LM375" s="3"/>
      <c r="LN375" s="3"/>
      <c r="LO375" s="3"/>
      <c r="LP375" s="3"/>
      <c r="LQ375" s="3"/>
      <c r="LR375" s="3"/>
      <c r="LS375" s="3"/>
      <c r="LT375" s="3"/>
      <c r="LU375" s="3"/>
      <c r="LV375" s="3"/>
      <c r="LW375" s="3"/>
      <c r="LX375" s="3"/>
      <c r="LY375" s="3"/>
      <c r="LZ375" s="3"/>
      <c r="MA375" s="3"/>
      <c r="MB375" s="3"/>
      <c r="MC375" s="3"/>
      <c r="MD375" s="3"/>
      <c r="ME375" s="3"/>
      <c r="MF375" s="3"/>
      <c r="MG375" s="3"/>
      <c r="MH375" s="3"/>
      <c r="MI375" s="3"/>
    </row>
    <row r="376" spans="1:347"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ID376" s="3"/>
      <c r="IE376" s="3"/>
      <c r="IF376" s="3"/>
      <c r="IG376" s="3"/>
      <c r="IH376" s="3"/>
      <c r="II376" s="3"/>
      <c r="IJ376" s="3"/>
      <c r="IK376" s="3"/>
      <c r="IL376" s="3"/>
      <c r="IM376" s="3"/>
      <c r="IN376" s="3"/>
      <c r="IO376" s="3"/>
      <c r="IP376" s="3"/>
      <c r="IQ376" s="3"/>
      <c r="IR376" s="3"/>
      <c r="IS376" s="3"/>
      <c r="IT376" s="3"/>
      <c r="IU376" s="3"/>
      <c r="IV376" s="3"/>
      <c r="IW376" s="3"/>
      <c r="IX376" s="3"/>
      <c r="IY376" s="3"/>
      <c r="IZ376" s="3"/>
      <c r="JA376" s="3"/>
      <c r="JB376" s="3"/>
      <c r="JC376" s="3"/>
      <c r="JD376" s="3"/>
      <c r="JE376" s="3"/>
      <c r="JF376" s="3"/>
      <c r="JG376" s="3"/>
      <c r="JH376" s="3"/>
      <c r="JI376" s="3"/>
      <c r="JJ376" s="3"/>
      <c r="JK376" s="3"/>
      <c r="JL376" s="3"/>
      <c r="JM376" s="3"/>
      <c r="JN376" s="3"/>
      <c r="JO376" s="3"/>
      <c r="JP376" s="3"/>
      <c r="JQ376" s="3"/>
      <c r="JR376" s="3"/>
      <c r="JS376" s="3"/>
      <c r="JT376" s="3"/>
      <c r="JU376" s="3"/>
      <c r="JV376" s="3"/>
      <c r="JW376" s="3"/>
      <c r="JX376" s="3"/>
      <c r="JY376" s="3"/>
      <c r="JZ376" s="3"/>
      <c r="KA376" s="3"/>
      <c r="KB376" s="3"/>
      <c r="KC376" s="3"/>
      <c r="KD376" s="3"/>
      <c r="KE376" s="3"/>
      <c r="KF376" s="3"/>
      <c r="KG376" s="3"/>
      <c r="KH376" s="3"/>
      <c r="KI376" s="3"/>
      <c r="KJ376" s="3"/>
      <c r="KK376" s="3"/>
      <c r="KL376" s="3"/>
      <c r="KM376" s="3"/>
      <c r="KN376" s="3"/>
      <c r="KO376" s="3"/>
      <c r="KP376" s="3"/>
      <c r="KQ376" s="3"/>
      <c r="KR376" s="3"/>
      <c r="KS376" s="3"/>
      <c r="KT376" s="3"/>
      <c r="KU376" s="3"/>
      <c r="KV376" s="3"/>
      <c r="KW376" s="3"/>
      <c r="KX376" s="3"/>
      <c r="KY376" s="3"/>
      <c r="KZ376" s="3"/>
      <c r="LA376" s="3"/>
      <c r="LB376" s="3"/>
      <c r="LC376" s="3"/>
      <c r="LD376" s="3"/>
      <c r="LE376" s="3"/>
      <c r="LF376" s="3"/>
      <c r="LG376" s="3"/>
      <c r="LH376" s="3"/>
      <c r="LI376" s="3"/>
      <c r="LJ376" s="3"/>
      <c r="LK376" s="3"/>
      <c r="LL376" s="3"/>
      <c r="LM376" s="3"/>
      <c r="LN376" s="3"/>
      <c r="LO376" s="3"/>
      <c r="LP376" s="3"/>
      <c r="LQ376" s="3"/>
      <c r="LR376" s="3"/>
      <c r="LS376" s="3"/>
      <c r="LT376" s="3"/>
      <c r="LU376" s="3"/>
      <c r="LV376" s="3"/>
      <c r="LW376" s="3"/>
      <c r="LX376" s="3"/>
      <c r="LY376" s="3"/>
      <c r="LZ376" s="3"/>
      <c r="MA376" s="3"/>
      <c r="MB376" s="3"/>
      <c r="MC376" s="3"/>
      <c r="MD376" s="3"/>
      <c r="ME376" s="3"/>
      <c r="MF376" s="3"/>
      <c r="MG376" s="3"/>
      <c r="MH376" s="3"/>
      <c r="MI376" s="3"/>
    </row>
    <row r="377" spans="1:347"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c r="HX377" s="3"/>
      <c r="HY377" s="3"/>
      <c r="HZ377" s="3"/>
      <c r="IA377" s="3"/>
      <c r="IB377" s="3"/>
      <c r="IC377" s="3"/>
      <c r="ID377" s="3"/>
      <c r="IE377" s="3"/>
      <c r="IF377" s="3"/>
      <c r="IG377" s="3"/>
      <c r="IH377" s="3"/>
      <c r="II377" s="3"/>
      <c r="IJ377" s="3"/>
      <c r="IK377" s="3"/>
      <c r="IL377" s="3"/>
      <c r="IM377" s="3"/>
      <c r="IN377" s="3"/>
      <c r="IO377" s="3"/>
      <c r="IP377" s="3"/>
      <c r="IQ377" s="3"/>
      <c r="IR377" s="3"/>
      <c r="IS377" s="3"/>
      <c r="IT377" s="3"/>
      <c r="IU377" s="3"/>
      <c r="IV377" s="3"/>
      <c r="IW377" s="3"/>
      <c r="IX377" s="3"/>
      <c r="IY377" s="3"/>
      <c r="IZ377" s="3"/>
      <c r="JA377" s="3"/>
      <c r="JB377" s="3"/>
      <c r="JC377" s="3"/>
      <c r="JD377" s="3"/>
      <c r="JE377" s="3"/>
      <c r="JF377" s="3"/>
      <c r="JG377" s="3"/>
      <c r="JH377" s="3"/>
      <c r="JI377" s="3"/>
      <c r="JJ377" s="3"/>
      <c r="JK377" s="3"/>
      <c r="JL377" s="3"/>
      <c r="JM377" s="3"/>
      <c r="JN377" s="3"/>
      <c r="JO377" s="3"/>
      <c r="JP377" s="3"/>
      <c r="JQ377" s="3"/>
      <c r="JR377" s="3"/>
      <c r="JS377" s="3"/>
      <c r="JT377" s="3"/>
      <c r="JU377" s="3"/>
      <c r="JV377" s="3"/>
      <c r="JW377" s="3"/>
      <c r="JX377" s="3"/>
      <c r="JY377" s="3"/>
      <c r="JZ377" s="3"/>
      <c r="KA377" s="3"/>
      <c r="KB377" s="3"/>
      <c r="KC377" s="3"/>
      <c r="KD377" s="3"/>
      <c r="KE377" s="3"/>
      <c r="KF377" s="3"/>
      <c r="KG377" s="3"/>
      <c r="KH377" s="3"/>
      <c r="KI377" s="3"/>
      <c r="KJ377" s="3"/>
      <c r="KK377" s="3"/>
      <c r="KL377" s="3"/>
      <c r="KM377" s="3"/>
      <c r="KN377" s="3"/>
      <c r="KO377" s="3"/>
      <c r="KP377" s="3"/>
      <c r="KQ377" s="3"/>
      <c r="KR377" s="3"/>
      <c r="KS377" s="3"/>
      <c r="KT377" s="3"/>
      <c r="KU377" s="3"/>
      <c r="KV377" s="3"/>
      <c r="KW377" s="3"/>
      <c r="KX377" s="3"/>
      <c r="KY377" s="3"/>
      <c r="KZ377" s="3"/>
      <c r="LA377" s="3"/>
      <c r="LB377" s="3"/>
      <c r="LC377" s="3"/>
      <c r="LD377" s="3"/>
      <c r="LE377" s="3"/>
      <c r="LF377" s="3"/>
      <c r="LG377" s="3"/>
      <c r="LH377" s="3"/>
      <c r="LI377" s="3"/>
      <c r="LJ377" s="3"/>
      <c r="LK377" s="3"/>
      <c r="LL377" s="3"/>
      <c r="LM377" s="3"/>
      <c r="LN377" s="3"/>
      <c r="LO377" s="3"/>
      <c r="LP377" s="3"/>
      <c r="LQ377" s="3"/>
      <c r="LR377" s="3"/>
      <c r="LS377" s="3"/>
      <c r="LT377" s="3"/>
      <c r="LU377" s="3"/>
      <c r="LV377" s="3"/>
      <c r="LW377" s="3"/>
      <c r="LX377" s="3"/>
      <c r="LY377" s="3"/>
      <c r="LZ377" s="3"/>
      <c r="MA377" s="3"/>
      <c r="MB377" s="3"/>
      <c r="MC377" s="3"/>
      <c r="MD377" s="3"/>
      <c r="ME377" s="3"/>
      <c r="MF377" s="3"/>
      <c r="MG377" s="3"/>
      <c r="MH377" s="3"/>
      <c r="MI377" s="3"/>
    </row>
    <row r="378" spans="1:347"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ID378" s="3"/>
      <c r="IE378" s="3"/>
      <c r="IF378" s="3"/>
      <c r="IG378" s="3"/>
      <c r="IH378" s="3"/>
      <c r="II378" s="3"/>
      <c r="IJ378" s="3"/>
      <c r="IK378" s="3"/>
      <c r="IL378" s="3"/>
      <c r="IM378" s="3"/>
      <c r="IN378" s="3"/>
      <c r="IO378" s="3"/>
      <c r="IP378" s="3"/>
      <c r="IQ378" s="3"/>
      <c r="IR378" s="3"/>
      <c r="IS378" s="3"/>
      <c r="IT378" s="3"/>
      <c r="IU378" s="3"/>
      <c r="IV378" s="3"/>
      <c r="IW378" s="3"/>
      <c r="IX378" s="3"/>
      <c r="IY378" s="3"/>
      <c r="IZ378" s="3"/>
      <c r="JA378" s="3"/>
      <c r="JB378" s="3"/>
      <c r="JC378" s="3"/>
      <c r="JD378" s="3"/>
      <c r="JE378" s="3"/>
      <c r="JF378" s="3"/>
      <c r="JG378" s="3"/>
      <c r="JH378" s="3"/>
      <c r="JI378" s="3"/>
      <c r="JJ378" s="3"/>
      <c r="JK378" s="3"/>
      <c r="JL378" s="3"/>
      <c r="JM378" s="3"/>
      <c r="JN378" s="3"/>
      <c r="JO378" s="3"/>
      <c r="JP378" s="3"/>
      <c r="JQ378" s="3"/>
      <c r="JR378" s="3"/>
      <c r="JS378" s="3"/>
      <c r="JT378" s="3"/>
      <c r="JU378" s="3"/>
      <c r="JV378" s="3"/>
      <c r="JW378" s="3"/>
      <c r="JX378" s="3"/>
      <c r="JY378" s="3"/>
      <c r="JZ378" s="3"/>
      <c r="KA378" s="3"/>
      <c r="KB378" s="3"/>
      <c r="KC378" s="3"/>
      <c r="KD378" s="3"/>
      <c r="KE378" s="3"/>
      <c r="KF378" s="3"/>
      <c r="KG378" s="3"/>
      <c r="KH378" s="3"/>
      <c r="KI378" s="3"/>
      <c r="KJ378" s="3"/>
      <c r="KK378" s="3"/>
      <c r="KL378" s="3"/>
      <c r="KM378" s="3"/>
      <c r="KN378" s="3"/>
      <c r="KO378" s="3"/>
      <c r="KP378" s="3"/>
      <c r="KQ378" s="3"/>
      <c r="KR378" s="3"/>
      <c r="KS378" s="3"/>
      <c r="KT378" s="3"/>
      <c r="KU378" s="3"/>
      <c r="KV378" s="3"/>
      <c r="KW378" s="3"/>
      <c r="KX378" s="3"/>
      <c r="KY378" s="3"/>
      <c r="KZ378" s="3"/>
      <c r="LA378" s="3"/>
      <c r="LB378" s="3"/>
      <c r="LC378" s="3"/>
      <c r="LD378" s="3"/>
      <c r="LE378" s="3"/>
      <c r="LF378" s="3"/>
      <c r="LG378" s="3"/>
      <c r="LH378" s="3"/>
      <c r="LI378" s="3"/>
      <c r="LJ378" s="3"/>
      <c r="LK378" s="3"/>
      <c r="LL378" s="3"/>
      <c r="LM378" s="3"/>
      <c r="LN378" s="3"/>
      <c r="LO378" s="3"/>
      <c r="LP378" s="3"/>
      <c r="LQ378" s="3"/>
      <c r="LR378" s="3"/>
      <c r="LS378" s="3"/>
      <c r="LT378" s="3"/>
      <c r="LU378" s="3"/>
      <c r="LV378" s="3"/>
      <c r="LW378" s="3"/>
      <c r="LX378" s="3"/>
      <c r="LY378" s="3"/>
      <c r="LZ378" s="3"/>
      <c r="MA378" s="3"/>
      <c r="MB378" s="3"/>
      <c r="MC378" s="3"/>
      <c r="MD378" s="3"/>
      <c r="ME378" s="3"/>
      <c r="MF378" s="3"/>
      <c r="MG378" s="3"/>
      <c r="MH378" s="3"/>
      <c r="MI378" s="3"/>
    </row>
    <row r="379" spans="1:347"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c r="HX379" s="3"/>
      <c r="HY379" s="3"/>
      <c r="HZ379" s="3"/>
      <c r="IA379" s="3"/>
      <c r="IB379" s="3"/>
      <c r="IC379" s="3"/>
      <c r="ID379" s="3"/>
      <c r="IE379" s="3"/>
      <c r="IF379" s="3"/>
      <c r="IG379" s="3"/>
      <c r="IH379" s="3"/>
      <c r="II379" s="3"/>
      <c r="IJ379" s="3"/>
      <c r="IK379" s="3"/>
      <c r="IL379" s="3"/>
      <c r="IM379" s="3"/>
      <c r="IN379" s="3"/>
      <c r="IO379" s="3"/>
      <c r="IP379" s="3"/>
      <c r="IQ379" s="3"/>
      <c r="IR379" s="3"/>
      <c r="IS379" s="3"/>
      <c r="IT379" s="3"/>
      <c r="IU379" s="3"/>
      <c r="IV379" s="3"/>
      <c r="IW379" s="3"/>
      <c r="IX379" s="3"/>
      <c r="IY379" s="3"/>
      <c r="IZ379" s="3"/>
      <c r="JA379" s="3"/>
      <c r="JB379" s="3"/>
      <c r="JC379" s="3"/>
      <c r="JD379" s="3"/>
      <c r="JE379" s="3"/>
      <c r="JF379" s="3"/>
      <c r="JG379" s="3"/>
      <c r="JH379" s="3"/>
      <c r="JI379" s="3"/>
      <c r="JJ379" s="3"/>
      <c r="JK379" s="3"/>
      <c r="JL379" s="3"/>
      <c r="JM379" s="3"/>
      <c r="JN379" s="3"/>
      <c r="JO379" s="3"/>
      <c r="JP379" s="3"/>
      <c r="JQ379" s="3"/>
      <c r="JR379" s="3"/>
      <c r="JS379" s="3"/>
      <c r="JT379" s="3"/>
      <c r="JU379" s="3"/>
      <c r="JV379" s="3"/>
      <c r="JW379" s="3"/>
      <c r="JX379" s="3"/>
      <c r="JY379" s="3"/>
      <c r="JZ379" s="3"/>
      <c r="KA379" s="3"/>
      <c r="KB379" s="3"/>
      <c r="KC379" s="3"/>
      <c r="KD379" s="3"/>
      <c r="KE379" s="3"/>
      <c r="KF379" s="3"/>
      <c r="KG379" s="3"/>
      <c r="KH379" s="3"/>
      <c r="KI379" s="3"/>
      <c r="KJ379" s="3"/>
      <c r="KK379" s="3"/>
      <c r="KL379" s="3"/>
      <c r="KM379" s="3"/>
      <c r="KN379" s="3"/>
      <c r="KO379" s="3"/>
      <c r="KP379" s="3"/>
      <c r="KQ379" s="3"/>
      <c r="KR379" s="3"/>
      <c r="KS379" s="3"/>
      <c r="KT379" s="3"/>
      <c r="KU379" s="3"/>
      <c r="KV379" s="3"/>
      <c r="KW379" s="3"/>
      <c r="KX379" s="3"/>
      <c r="KY379" s="3"/>
      <c r="KZ379" s="3"/>
      <c r="LA379" s="3"/>
      <c r="LB379" s="3"/>
      <c r="LC379" s="3"/>
      <c r="LD379" s="3"/>
      <c r="LE379" s="3"/>
      <c r="LF379" s="3"/>
      <c r="LG379" s="3"/>
      <c r="LH379" s="3"/>
      <c r="LI379" s="3"/>
      <c r="LJ379" s="3"/>
      <c r="LK379" s="3"/>
      <c r="LL379" s="3"/>
      <c r="LM379" s="3"/>
      <c r="LN379" s="3"/>
      <c r="LO379" s="3"/>
      <c r="LP379" s="3"/>
      <c r="LQ379" s="3"/>
      <c r="LR379" s="3"/>
      <c r="LS379" s="3"/>
      <c r="LT379" s="3"/>
      <c r="LU379" s="3"/>
      <c r="LV379" s="3"/>
      <c r="LW379" s="3"/>
      <c r="LX379" s="3"/>
      <c r="LY379" s="3"/>
      <c r="LZ379" s="3"/>
      <c r="MA379" s="3"/>
      <c r="MB379" s="3"/>
      <c r="MC379" s="3"/>
      <c r="MD379" s="3"/>
      <c r="ME379" s="3"/>
      <c r="MF379" s="3"/>
      <c r="MG379" s="3"/>
      <c r="MH379" s="3"/>
      <c r="MI379" s="3"/>
    </row>
    <row r="380" spans="1:347"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c r="HX380" s="3"/>
      <c r="HY380" s="3"/>
      <c r="HZ380" s="3"/>
      <c r="IA380" s="3"/>
      <c r="IB380" s="3"/>
      <c r="IC380" s="3"/>
      <c r="ID380" s="3"/>
      <c r="IE380" s="3"/>
      <c r="IF380" s="3"/>
      <c r="IG380" s="3"/>
      <c r="IH380" s="3"/>
      <c r="II380" s="3"/>
      <c r="IJ380" s="3"/>
      <c r="IK380" s="3"/>
      <c r="IL380" s="3"/>
      <c r="IM380" s="3"/>
      <c r="IN380" s="3"/>
      <c r="IO380" s="3"/>
      <c r="IP380" s="3"/>
      <c r="IQ380" s="3"/>
      <c r="IR380" s="3"/>
      <c r="IS380" s="3"/>
      <c r="IT380" s="3"/>
      <c r="IU380" s="3"/>
      <c r="IV380" s="3"/>
      <c r="IW380" s="3"/>
      <c r="IX380" s="3"/>
      <c r="IY380" s="3"/>
      <c r="IZ380" s="3"/>
      <c r="JA380" s="3"/>
      <c r="JB380" s="3"/>
      <c r="JC380" s="3"/>
      <c r="JD380" s="3"/>
      <c r="JE380" s="3"/>
      <c r="JF380" s="3"/>
      <c r="JG380" s="3"/>
      <c r="JH380" s="3"/>
      <c r="JI380" s="3"/>
      <c r="JJ380" s="3"/>
      <c r="JK380" s="3"/>
      <c r="JL380" s="3"/>
      <c r="JM380" s="3"/>
      <c r="JN380" s="3"/>
      <c r="JO380" s="3"/>
      <c r="JP380" s="3"/>
      <c r="JQ380" s="3"/>
      <c r="JR380" s="3"/>
      <c r="JS380" s="3"/>
      <c r="JT380" s="3"/>
      <c r="JU380" s="3"/>
      <c r="JV380" s="3"/>
      <c r="JW380" s="3"/>
      <c r="JX380" s="3"/>
      <c r="JY380" s="3"/>
      <c r="JZ380" s="3"/>
      <c r="KA380" s="3"/>
      <c r="KB380" s="3"/>
      <c r="KC380" s="3"/>
      <c r="KD380" s="3"/>
      <c r="KE380" s="3"/>
      <c r="KF380" s="3"/>
      <c r="KG380" s="3"/>
      <c r="KH380" s="3"/>
      <c r="KI380" s="3"/>
      <c r="KJ380" s="3"/>
      <c r="KK380" s="3"/>
      <c r="KL380" s="3"/>
      <c r="KM380" s="3"/>
      <c r="KN380" s="3"/>
      <c r="KO380" s="3"/>
      <c r="KP380" s="3"/>
      <c r="KQ380" s="3"/>
      <c r="KR380" s="3"/>
      <c r="KS380" s="3"/>
      <c r="KT380" s="3"/>
      <c r="KU380" s="3"/>
      <c r="KV380" s="3"/>
      <c r="KW380" s="3"/>
      <c r="KX380" s="3"/>
      <c r="KY380" s="3"/>
      <c r="KZ380" s="3"/>
      <c r="LA380" s="3"/>
      <c r="LB380" s="3"/>
      <c r="LC380" s="3"/>
      <c r="LD380" s="3"/>
      <c r="LE380" s="3"/>
      <c r="LF380" s="3"/>
      <c r="LG380" s="3"/>
      <c r="LH380" s="3"/>
      <c r="LI380" s="3"/>
      <c r="LJ380" s="3"/>
      <c r="LK380" s="3"/>
      <c r="LL380" s="3"/>
      <c r="LM380" s="3"/>
      <c r="LN380" s="3"/>
      <c r="LO380" s="3"/>
      <c r="LP380" s="3"/>
      <c r="LQ380" s="3"/>
      <c r="LR380" s="3"/>
      <c r="LS380" s="3"/>
      <c r="LT380" s="3"/>
      <c r="LU380" s="3"/>
      <c r="LV380" s="3"/>
      <c r="LW380" s="3"/>
      <c r="LX380" s="3"/>
      <c r="LY380" s="3"/>
      <c r="LZ380" s="3"/>
      <c r="MA380" s="3"/>
      <c r="MB380" s="3"/>
      <c r="MC380" s="3"/>
      <c r="MD380" s="3"/>
      <c r="ME380" s="3"/>
      <c r="MF380" s="3"/>
      <c r="MG380" s="3"/>
      <c r="MH380" s="3"/>
      <c r="MI380" s="3"/>
    </row>
    <row r="381" spans="1:347"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ID381" s="3"/>
      <c r="IE381" s="3"/>
      <c r="IF381" s="3"/>
      <c r="IG381" s="3"/>
      <c r="IH381" s="3"/>
      <c r="II381" s="3"/>
      <c r="IJ381" s="3"/>
      <c r="IK381" s="3"/>
      <c r="IL381" s="3"/>
      <c r="IM381" s="3"/>
      <c r="IN381" s="3"/>
      <c r="IO381" s="3"/>
      <c r="IP381" s="3"/>
      <c r="IQ381" s="3"/>
      <c r="IR381" s="3"/>
      <c r="IS381" s="3"/>
      <c r="IT381" s="3"/>
      <c r="IU381" s="3"/>
      <c r="IV381" s="3"/>
      <c r="IW381" s="3"/>
      <c r="IX381" s="3"/>
      <c r="IY381" s="3"/>
      <c r="IZ381" s="3"/>
      <c r="JA381" s="3"/>
      <c r="JB381" s="3"/>
      <c r="JC381" s="3"/>
      <c r="JD381" s="3"/>
      <c r="JE381" s="3"/>
      <c r="JF381" s="3"/>
      <c r="JG381" s="3"/>
      <c r="JH381" s="3"/>
      <c r="JI381" s="3"/>
      <c r="JJ381" s="3"/>
      <c r="JK381" s="3"/>
      <c r="JL381" s="3"/>
      <c r="JM381" s="3"/>
      <c r="JN381" s="3"/>
      <c r="JO381" s="3"/>
      <c r="JP381" s="3"/>
      <c r="JQ381" s="3"/>
      <c r="JR381" s="3"/>
      <c r="JS381" s="3"/>
      <c r="JT381" s="3"/>
      <c r="JU381" s="3"/>
      <c r="JV381" s="3"/>
      <c r="JW381" s="3"/>
      <c r="JX381" s="3"/>
      <c r="JY381" s="3"/>
      <c r="JZ381" s="3"/>
      <c r="KA381" s="3"/>
      <c r="KB381" s="3"/>
      <c r="KC381" s="3"/>
      <c r="KD381" s="3"/>
      <c r="KE381" s="3"/>
      <c r="KF381" s="3"/>
      <c r="KG381" s="3"/>
      <c r="KH381" s="3"/>
      <c r="KI381" s="3"/>
      <c r="KJ381" s="3"/>
      <c r="KK381" s="3"/>
      <c r="KL381" s="3"/>
      <c r="KM381" s="3"/>
      <c r="KN381" s="3"/>
      <c r="KO381" s="3"/>
      <c r="KP381" s="3"/>
      <c r="KQ381" s="3"/>
      <c r="KR381" s="3"/>
      <c r="KS381" s="3"/>
      <c r="KT381" s="3"/>
      <c r="KU381" s="3"/>
      <c r="KV381" s="3"/>
      <c r="KW381" s="3"/>
      <c r="KX381" s="3"/>
      <c r="KY381" s="3"/>
      <c r="KZ381" s="3"/>
      <c r="LA381" s="3"/>
      <c r="LB381" s="3"/>
      <c r="LC381" s="3"/>
      <c r="LD381" s="3"/>
      <c r="LE381" s="3"/>
      <c r="LF381" s="3"/>
      <c r="LG381" s="3"/>
      <c r="LH381" s="3"/>
      <c r="LI381" s="3"/>
      <c r="LJ381" s="3"/>
      <c r="LK381" s="3"/>
      <c r="LL381" s="3"/>
      <c r="LM381" s="3"/>
      <c r="LN381" s="3"/>
      <c r="LO381" s="3"/>
      <c r="LP381" s="3"/>
      <c r="LQ381" s="3"/>
      <c r="LR381" s="3"/>
      <c r="LS381" s="3"/>
      <c r="LT381" s="3"/>
      <c r="LU381" s="3"/>
      <c r="LV381" s="3"/>
      <c r="LW381" s="3"/>
      <c r="LX381" s="3"/>
      <c r="LY381" s="3"/>
      <c r="LZ381" s="3"/>
      <c r="MA381" s="3"/>
      <c r="MB381" s="3"/>
      <c r="MC381" s="3"/>
      <c r="MD381" s="3"/>
      <c r="ME381" s="3"/>
      <c r="MF381" s="3"/>
      <c r="MG381" s="3"/>
      <c r="MH381" s="3"/>
      <c r="MI381" s="3"/>
    </row>
    <row r="382" spans="1:347"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ID382" s="3"/>
      <c r="IE382" s="3"/>
      <c r="IF382" s="3"/>
      <c r="IG382" s="3"/>
      <c r="IH382" s="3"/>
      <c r="II382" s="3"/>
      <c r="IJ382" s="3"/>
      <c r="IK382" s="3"/>
      <c r="IL382" s="3"/>
      <c r="IM382" s="3"/>
      <c r="IN382" s="3"/>
      <c r="IO382" s="3"/>
      <c r="IP382" s="3"/>
      <c r="IQ382" s="3"/>
      <c r="IR382" s="3"/>
      <c r="IS382" s="3"/>
      <c r="IT382" s="3"/>
      <c r="IU382" s="3"/>
      <c r="IV382" s="3"/>
      <c r="IW382" s="3"/>
      <c r="IX382" s="3"/>
      <c r="IY382" s="3"/>
      <c r="IZ382" s="3"/>
      <c r="JA382" s="3"/>
      <c r="JB382" s="3"/>
      <c r="JC382" s="3"/>
      <c r="JD382" s="3"/>
      <c r="JE382" s="3"/>
      <c r="JF382" s="3"/>
      <c r="JG382" s="3"/>
      <c r="JH382" s="3"/>
      <c r="JI382" s="3"/>
      <c r="JJ382" s="3"/>
      <c r="JK382" s="3"/>
      <c r="JL382" s="3"/>
      <c r="JM382" s="3"/>
      <c r="JN382" s="3"/>
      <c r="JO382" s="3"/>
      <c r="JP382" s="3"/>
      <c r="JQ382" s="3"/>
      <c r="JR382" s="3"/>
      <c r="JS382" s="3"/>
      <c r="JT382" s="3"/>
      <c r="JU382" s="3"/>
      <c r="JV382" s="3"/>
      <c r="JW382" s="3"/>
      <c r="JX382" s="3"/>
      <c r="JY382" s="3"/>
      <c r="JZ382" s="3"/>
      <c r="KA382" s="3"/>
      <c r="KB382" s="3"/>
      <c r="KC382" s="3"/>
      <c r="KD382" s="3"/>
      <c r="KE382" s="3"/>
      <c r="KF382" s="3"/>
      <c r="KG382" s="3"/>
      <c r="KH382" s="3"/>
      <c r="KI382" s="3"/>
      <c r="KJ382" s="3"/>
      <c r="KK382" s="3"/>
      <c r="KL382" s="3"/>
      <c r="KM382" s="3"/>
      <c r="KN382" s="3"/>
      <c r="KO382" s="3"/>
      <c r="KP382" s="3"/>
      <c r="KQ382" s="3"/>
      <c r="KR382" s="3"/>
      <c r="KS382" s="3"/>
      <c r="KT382" s="3"/>
      <c r="KU382" s="3"/>
      <c r="KV382" s="3"/>
      <c r="KW382" s="3"/>
      <c r="KX382" s="3"/>
      <c r="KY382" s="3"/>
      <c r="KZ382" s="3"/>
      <c r="LA382" s="3"/>
      <c r="LB382" s="3"/>
      <c r="LC382" s="3"/>
      <c r="LD382" s="3"/>
      <c r="LE382" s="3"/>
      <c r="LF382" s="3"/>
      <c r="LG382" s="3"/>
      <c r="LH382" s="3"/>
      <c r="LI382" s="3"/>
      <c r="LJ382" s="3"/>
      <c r="LK382" s="3"/>
      <c r="LL382" s="3"/>
      <c r="LM382" s="3"/>
      <c r="LN382" s="3"/>
      <c r="LO382" s="3"/>
      <c r="LP382" s="3"/>
      <c r="LQ382" s="3"/>
      <c r="LR382" s="3"/>
      <c r="LS382" s="3"/>
      <c r="LT382" s="3"/>
      <c r="LU382" s="3"/>
      <c r="LV382" s="3"/>
      <c r="LW382" s="3"/>
      <c r="LX382" s="3"/>
      <c r="LY382" s="3"/>
      <c r="LZ382" s="3"/>
      <c r="MA382" s="3"/>
      <c r="MB382" s="3"/>
      <c r="MC382" s="3"/>
      <c r="MD382" s="3"/>
      <c r="ME382" s="3"/>
      <c r="MF382" s="3"/>
      <c r="MG382" s="3"/>
      <c r="MH382" s="3"/>
      <c r="MI382" s="3"/>
    </row>
    <row r="383" spans="1:347"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ID383" s="3"/>
      <c r="IE383" s="3"/>
      <c r="IF383" s="3"/>
      <c r="IG383" s="3"/>
      <c r="IH383" s="3"/>
      <c r="II383" s="3"/>
      <c r="IJ383" s="3"/>
      <c r="IK383" s="3"/>
      <c r="IL383" s="3"/>
      <c r="IM383" s="3"/>
      <c r="IN383" s="3"/>
      <c r="IO383" s="3"/>
      <c r="IP383" s="3"/>
      <c r="IQ383" s="3"/>
      <c r="IR383" s="3"/>
      <c r="IS383" s="3"/>
      <c r="IT383" s="3"/>
      <c r="IU383" s="3"/>
      <c r="IV383" s="3"/>
      <c r="IW383" s="3"/>
      <c r="IX383" s="3"/>
      <c r="IY383" s="3"/>
      <c r="IZ383" s="3"/>
      <c r="JA383" s="3"/>
      <c r="JB383" s="3"/>
      <c r="JC383" s="3"/>
      <c r="JD383" s="3"/>
      <c r="JE383" s="3"/>
      <c r="JF383" s="3"/>
      <c r="JG383" s="3"/>
      <c r="JH383" s="3"/>
      <c r="JI383" s="3"/>
      <c r="JJ383" s="3"/>
      <c r="JK383" s="3"/>
      <c r="JL383" s="3"/>
      <c r="JM383" s="3"/>
      <c r="JN383" s="3"/>
      <c r="JO383" s="3"/>
      <c r="JP383" s="3"/>
      <c r="JQ383" s="3"/>
      <c r="JR383" s="3"/>
      <c r="JS383" s="3"/>
      <c r="JT383" s="3"/>
      <c r="JU383" s="3"/>
      <c r="JV383" s="3"/>
      <c r="JW383" s="3"/>
      <c r="JX383" s="3"/>
      <c r="JY383" s="3"/>
      <c r="JZ383" s="3"/>
      <c r="KA383" s="3"/>
      <c r="KB383" s="3"/>
      <c r="KC383" s="3"/>
      <c r="KD383" s="3"/>
      <c r="KE383" s="3"/>
      <c r="KF383" s="3"/>
      <c r="KG383" s="3"/>
      <c r="KH383" s="3"/>
      <c r="KI383" s="3"/>
      <c r="KJ383" s="3"/>
      <c r="KK383" s="3"/>
      <c r="KL383" s="3"/>
      <c r="KM383" s="3"/>
      <c r="KN383" s="3"/>
      <c r="KO383" s="3"/>
      <c r="KP383" s="3"/>
      <c r="KQ383" s="3"/>
      <c r="KR383" s="3"/>
      <c r="KS383" s="3"/>
      <c r="KT383" s="3"/>
      <c r="KU383" s="3"/>
      <c r="KV383" s="3"/>
      <c r="KW383" s="3"/>
      <c r="KX383" s="3"/>
      <c r="KY383" s="3"/>
      <c r="KZ383" s="3"/>
      <c r="LA383" s="3"/>
      <c r="LB383" s="3"/>
      <c r="LC383" s="3"/>
      <c r="LD383" s="3"/>
      <c r="LE383" s="3"/>
      <c r="LF383" s="3"/>
      <c r="LG383" s="3"/>
      <c r="LH383" s="3"/>
      <c r="LI383" s="3"/>
      <c r="LJ383" s="3"/>
      <c r="LK383" s="3"/>
      <c r="LL383" s="3"/>
      <c r="LM383" s="3"/>
      <c r="LN383" s="3"/>
      <c r="LO383" s="3"/>
      <c r="LP383" s="3"/>
      <c r="LQ383" s="3"/>
      <c r="LR383" s="3"/>
      <c r="LS383" s="3"/>
      <c r="LT383" s="3"/>
      <c r="LU383" s="3"/>
      <c r="LV383" s="3"/>
      <c r="LW383" s="3"/>
      <c r="LX383" s="3"/>
      <c r="LY383" s="3"/>
      <c r="LZ383" s="3"/>
      <c r="MA383" s="3"/>
      <c r="MB383" s="3"/>
      <c r="MC383" s="3"/>
      <c r="MD383" s="3"/>
      <c r="ME383" s="3"/>
      <c r="MF383" s="3"/>
      <c r="MG383" s="3"/>
      <c r="MH383" s="3"/>
      <c r="MI383" s="3"/>
    </row>
    <row r="384" spans="1:347"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ID384" s="3"/>
      <c r="IE384" s="3"/>
      <c r="IF384" s="3"/>
      <c r="IG384" s="3"/>
      <c r="IH384" s="3"/>
      <c r="II384" s="3"/>
      <c r="IJ384" s="3"/>
      <c r="IK384" s="3"/>
      <c r="IL384" s="3"/>
      <c r="IM384" s="3"/>
      <c r="IN384" s="3"/>
      <c r="IO384" s="3"/>
      <c r="IP384" s="3"/>
      <c r="IQ384" s="3"/>
      <c r="IR384" s="3"/>
      <c r="IS384" s="3"/>
      <c r="IT384" s="3"/>
      <c r="IU384" s="3"/>
      <c r="IV384" s="3"/>
      <c r="IW384" s="3"/>
      <c r="IX384" s="3"/>
      <c r="IY384" s="3"/>
      <c r="IZ384" s="3"/>
      <c r="JA384" s="3"/>
      <c r="JB384" s="3"/>
      <c r="JC384" s="3"/>
      <c r="JD384" s="3"/>
      <c r="JE384" s="3"/>
      <c r="JF384" s="3"/>
      <c r="JG384" s="3"/>
      <c r="JH384" s="3"/>
      <c r="JI384" s="3"/>
      <c r="JJ384" s="3"/>
      <c r="JK384" s="3"/>
      <c r="JL384" s="3"/>
      <c r="JM384" s="3"/>
      <c r="JN384" s="3"/>
      <c r="JO384" s="3"/>
      <c r="JP384" s="3"/>
      <c r="JQ384" s="3"/>
      <c r="JR384" s="3"/>
      <c r="JS384" s="3"/>
      <c r="JT384" s="3"/>
      <c r="JU384" s="3"/>
      <c r="JV384" s="3"/>
      <c r="JW384" s="3"/>
      <c r="JX384" s="3"/>
      <c r="JY384" s="3"/>
      <c r="JZ384" s="3"/>
      <c r="KA384" s="3"/>
      <c r="KB384" s="3"/>
      <c r="KC384" s="3"/>
      <c r="KD384" s="3"/>
      <c r="KE384" s="3"/>
      <c r="KF384" s="3"/>
      <c r="KG384" s="3"/>
      <c r="KH384" s="3"/>
      <c r="KI384" s="3"/>
      <c r="KJ384" s="3"/>
      <c r="KK384" s="3"/>
      <c r="KL384" s="3"/>
      <c r="KM384" s="3"/>
      <c r="KN384" s="3"/>
      <c r="KO384" s="3"/>
      <c r="KP384" s="3"/>
      <c r="KQ384" s="3"/>
      <c r="KR384" s="3"/>
      <c r="KS384" s="3"/>
      <c r="KT384" s="3"/>
      <c r="KU384" s="3"/>
      <c r="KV384" s="3"/>
      <c r="KW384" s="3"/>
      <c r="KX384" s="3"/>
      <c r="KY384" s="3"/>
      <c r="KZ384" s="3"/>
      <c r="LA384" s="3"/>
      <c r="LB384" s="3"/>
      <c r="LC384" s="3"/>
      <c r="LD384" s="3"/>
      <c r="LE384" s="3"/>
      <c r="LF384" s="3"/>
      <c r="LG384" s="3"/>
      <c r="LH384" s="3"/>
      <c r="LI384" s="3"/>
      <c r="LJ384" s="3"/>
      <c r="LK384" s="3"/>
      <c r="LL384" s="3"/>
      <c r="LM384" s="3"/>
      <c r="LN384" s="3"/>
      <c r="LO384" s="3"/>
      <c r="LP384" s="3"/>
      <c r="LQ384" s="3"/>
      <c r="LR384" s="3"/>
      <c r="LS384" s="3"/>
      <c r="LT384" s="3"/>
      <c r="LU384" s="3"/>
      <c r="LV384" s="3"/>
      <c r="LW384" s="3"/>
      <c r="LX384" s="3"/>
      <c r="LY384" s="3"/>
      <c r="LZ384" s="3"/>
      <c r="MA384" s="3"/>
      <c r="MB384" s="3"/>
      <c r="MC384" s="3"/>
      <c r="MD384" s="3"/>
      <c r="ME384" s="3"/>
      <c r="MF384" s="3"/>
      <c r="MG384" s="3"/>
      <c r="MH384" s="3"/>
      <c r="MI384" s="3"/>
    </row>
    <row r="385" spans="1:347"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c r="LV385" s="3"/>
      <c r="LW385" s="3"/>
      <c r="LX385" s="3"/>
      <c r="LY385" s="3"/>
      <c r="LZ385" s="3"/>
      <c r="MA385" s="3"/>
      <c r="MB385" s="3"/>
      <c r="MC385" s="3"/>
      <c r="MD385" s="3"/>
      <c r="ME385" s="3"/>
      <c r="MF385" s="3"/>
      <c r="MG385" s="3"/>
      <c r="MH385" s="3"/>
      <c r="MI385" s="3"/>
    </row>
    <row r="386" spans="1:347"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c r="LV386" s="3"/>
      <c r="LW386" s="3"/>
      <c r="LX386" s="3"/>
      <c r="LY386" s="3"/>
      <c r="LZ386" s="3"/>
      <c r="MA386" s="3"/>
      <c r="MB386" s="3"/>
      <c r="MC386" s="3"/>
      <c r="MD386" s="3"/>
      <c r="ME386" s="3"/>
      <c r="MF386" s="3"/>
      <c r="MG386" s="3"/>
      <c r="MH386" s="3"/>
      <c r="MI386" s="3"/>
    </row>
    <row r="387" spans="1:347"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c r="LV387" s="3"/>
      <c r="LW387" s="3"/>
      <c r="LX387" s="3"/>
      <c r="LY387" s="3"/>
      <c r="LZ387" s="3"/>
      <c r="MA387" s="3"/>
      <c r="MB387" s="3"/>
      <c r="MC387" s="3"/>
      <c r="MD387" s="3"/>
      <c r="ME387" s="3"/>
      <c r="MF387" s="3"/>
      <c r="MG387" s="3"/>
      <c r="MH387" s="3"/>
      <c r="MI387" s="3"/>
    </row>
    <row r="388" spans="1:347"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c r="LV388" s="3"/>
      <c r="LW388" s="3"/>
      <c r="LX388" s="3"/>
      <c r="LY388" s="3"/>
      <c r="LZ388" s="3"/>
      <c r="MA388" s="3"/>
      <c r="MB388" s="3"/>
      <c r="MC388" s="3"/>
      <c r="MD388" s="3"/>
      <c r="ME388" s="3"/>
      <c r="MF388" s="3"/>
      <c r="MG388" s="3"/>
      <c r="MH388" s="3"/>
      <c r="MI388" s="3"/>
    </row>
    <row r="389" spans="1:347"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c r="LV389" s="3"/>
      <c r="LW389" s="3"/>
      <c r="LX389" s="3"/>
      <c r="LY389" s="3"/>
      <c r="LZ389" s="3"/>
      <c r="MA389" s="3"/>
      <c r="MB389" s="3"/>
      <c r="MC389" s="3"/>
      <c r="MD389" s="3"/>
      <c r="ME389" s="3"/>
      <c r="MF389" s="3"/>
      <c r="MG389" s="3"/>
      <c r="MH389" s="3"/>
      <c r="MI389" s="3"/>
    </row>
    <row r="390" spans="1:347"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c r="LV390" s="3"/>
      <c r="LW390" s="3"/>
      <c r="LX390" s="3"/>
      <c r="LY390" s="3"/>
      <c r="LZ390" s="3"/>
      <c r="MA390" s="3"/>
      <c r="MB390" s="3"/>
      <c r="MC390" s="3"/>
      <c r="MD390" s="3"/>
      <c r="ME390" s="3"/>
      <c r="MF390" s="3"/>
      <c r="MG390" s="3"/>
      <c r="MH390" s="3"/>
      <c r="MI390" s="3"/>
    </row>
    <row r="391" spans="1:347"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c r="LV391" s="3"/>
      <c r="LW391" s="3"/>
      <c r="LX391" s="3"/>
      <c r="LY391" s="3"/>
      <c r="LZ391" s="3"/>
      <c r="MA391" s="3"/>
      <c r="MB391" s="3"/>
      <c r="MC391" s="3"/>
      <c r="MD391" s="3"/>
      <c r="ME391" s="3"/>
      <c r="MF391" s="3"/>
      <c r="MG391" s="3"/>
      <c r="MH391" s="3"/>
      <c r="MI391" s="3"/>
    </row>
    <row r="392" spans="1:347"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c r="LV392" s="3"/>
      <c r="LW392" s="3"/>
      <c r="LX392" s="3"/>
      <c r="LY392" s="3"/>
      <c r="LZ392" s="3"/>
      <c r="MA392" s="3"/>
      <c r="MB392" s="3"/>
      <c r="MC392" s="3"/>
      <c r="MD392" s="3"/>
      <c r="ME392" s="3"/>
      <c r="MF392" s="3"/>
      <c r="MG392" s="3"/>
      <c r="MH392" s="3"/>
      <c r="MI392" s="3"/>
    </row>
    <row r="393" spans="1:347"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c r="LV393" s="3"/>
      <c r="LW393" s="3"/>
      <c r="LX393" s="3"/>
      <c r="LY393" s="3"/>
      <c r="LZ393" s="3"/>
      <c r="MA393" s="3"/>
      <c r="MB393" s="3"/>
      <c r="MC393" s="3"/>
      <c r="MD393" s="3"/>
      <c r="ME393" s="3"/>
      <c r="MF393" s="3"/>
      <c r="MG393" s="3"/>
      <c r="MH393" s="3"/>
      <c r="MI393" s="3"/>
    </row>
    <row r="394" spans="1:347"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c r="LV394" s="3"/>
      <c r="LW394" s="3"/>
      <c r="LX394" s="3"/>
      <c r="LY394" s="3"/>
      <c r="LZ394" s="3"/>
      <c r="MA394" s="3"/>
      <c r="MB394" s="3"/>
      <c r="MC394" s="3"/>
      <c r="MD394" s="3"/>
      <c r="ME394" s="3"/>
      <c r="MF394" s="3"/>
      <c r="MG394" s="3"/>
      <c r="MH394" s="3"/>
      <c r="MI394" s="3"/>
    </row>
    <row r="395" spans="1:347"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c r="LV395" s="3"/>
      <c r="LW395" s="3"/>
      <c r="LX395" s="3"/>
      <c r="LY395" s="3"/>
      <c r="LZ395" s="3"/>
      <c r="MA395" s="3"/>
      <c r="MB395" s="3"/>
      <c r="MC395" s="3"/>
      <c r="MD395" s="3"/>
      <c r="ME395" s="3"/>
      <c r="MF395" s="3"/>
      <c r="MG395" s="3"/>
      <c r="MH395" s="3"/>
      <c r="MI395" s="3"/>
    </row>
    <row r="396" spans="1:347"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c r="LV396" s="3"/>
      <c r="LW396" s="3"/>
      <c r="LX396" s="3"/>
      <c r="LY396" s="3"/>
      <c r="LZ396" s="3"/>
      <c r="MA396" s="3"/>
      <c r="MB396" s="3"/>
      <c r="MC396" s="3"/>
      <c r="MD396" s="3"/>
      <c r="ME396" s="3"/>
      <c r="MF396" s="3"/>
      <c r="MG396" s="3"/>
      <c r="MH396" s="3"/>
      <c r="MI396" s="3"/>
    </row>
    <row r="397" spans="1:347"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c r="LV397" s="3"/>
      <c r="LW397" s="3"/>
      <c r="LX397" s="3"/>
      <c r="LY397" s="3"/>
      <c r="LZ397" s="3"/>
      <c r="MA397" s="3"/>
      <c r="MB397" s="3"/>
      <c r="MC397" s="3"/>
      <c r="MD397" s="3"/>
      <c r="ME397" s="3"/>
      <c r="MF397" s="3"/>
      <c r="MG397" s="3"/>
      <c r="MH397" s="3"/>
      <c r="MI397" s="3"/>
    </row>
    <row r="398" spans="1:347"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c r="LV398" s="3"/>
      <c r="LW398" s="3"/>
      <c r="LX398" s="3"/>
      <c r="LY398" s="3"/>
      <c r="LZ398" s="3"/>
      <c r="MA398" s="3"/>
      <c r="MB398" s="3"/>
      <c r="MC398" s="3"/>
      <c r="MD398" s="3"/>
      <c r="ME398" s="3"/>
      <c r="MF398" s="3"/>
      <c r="MG398" s="3"/>
      <c r="MH398" s="3"/>
      <c r="MI398" s="3"/>
    </row>
    <row r="399" spans="1:347"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c r="LV399" s="3"/>
      <c r="LW399" s="3"/>
      <c r="LX399" s="3"/>
      <c r="LY399" s="3"/>
      <c r="LZ399" s="3"/>
      <c r="MA399" s="3"/>
      <c r="MB399" s="3"/>
      <c r="MC399" s="3"/>
      <c r="MD399" s="3"/>
      <c r="ME399" s="3"/>
      <c r="MF399" s="3"/>
      <c r="MG399" s="3"/>
      <c r="MH399" s="3"/>
      <c r="MI399" s="3"/>
    </row>
    <row r="400" spans="1:347"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c r="LV400" s="3"/>
      <c r="LW400" s="3"/>
      <c r="LX400" s="3"/>
      <c r="LY400" s="3"/>
      <c r="LZ400" s="3"/>
      <c r="MA400" s="3"/>
      <c r="MB400" s="3"/>
      <c r="MC400" s="3"/>
      <c r="MD400" s="3"/>
      <c r="ME400" s="3"/>
      <c r="MF400" s="3"/>
      <c r="MG400" s="3"/>
      <c r="MH400" s="3"/>
      <c r="MI400" s="3"/>
    </row>
    <row r="401" spans="1:347"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c r="LV401" s="3"/>
      <c r="LW401" s="3"/>
      <c r="LX401" s="3"/>
      <c r="LY401" s="3"/>
      <c r="LZ401" s="3"/>
      <c r="MA401" s="3"/>
      <c r="MB401" s="3"/>
      <c r="MC401" s="3"/>
      <c r="MD401" s="3"/>
      <c r="ME401" s="3"/>
      <c r="MF401" s="3"/>
      <c r="MG401" s="3"/>
      <c r="MH401" s="3"/>
      <c r="MI401" s="3"/>
    </row>
    <row r="402" spans="1:347"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ID402" s="3"/>
      <c r="IE402" s="3"/>
      <c r="IF402" s="3"/>
      <c r="IG402" s="3"/>
      <c r="IH402" s="3"/>
      <c r="II402" s="3"/>
      <c r="IJ402" s="3"/>
      <c r="IK402" s="3"/>
      <c r="IL402" s="3"/>
      <c r="IM402" s="3"/>
      <c r="IN402" s="3"/>
      <c r="IO402" s="3"/>
      <c r="IP402" s="3"/>
      <c r="IQ402" s="3"/>
      <c r="IR402" s="3"/>
      <c r="IS402" s="3"/>
      <c r="IT402" s="3"/>
      <c r="IU402" s="3"/>
      <c r="IV402" s="3"/>
      <c r="IW402" s="3"/>
      <c r="IX402" s="3"/>
      <c r="IY402" s="3"/>
      <c r="IZ402" s="3"/>
      <c r="JA402" s="3"/>
      <c r="JB402" s="3"/>
      <c r="JC402" s="3"/>
      <c r="JD402" s="3"/>
      <c r="JE402" s="3"/>
      <c r="JF402" s="3"/>
      <c r="JG402" s="3"/>
      <c r="JH402" s="3"/>
      <c r="JI402" s="3"/>
      <c r="JJ402" s="3"/>
      <c r="JK402" s="3"/>
      <c r="JL402" s="3"/>
      <c r="JM402" s="3"/>
      <c r="JN402" s="3"/>
      <c r="JO402" s="3"/>
      <c r="JP402" s="3"/>
      <c r="JQ402" s="3"/>
      <c r="JR402" s="3"/>
      <c r="JS402" s="3"/>
      <c r="JT402" s="3"/>
      <c r="JU402" s="3"/>
      <c r="JV402" s="3"/>
      <c r="JW402" s="3"/>
      <c r="JX402" s="3"/>
      <c r="JY402" s="3"/>
      <c r="JZ402" s="3"/>
      <c r="KA402" s="3"/>
      <c r="KB402" s="3"/>
      <c r="KC402" s="3"/>
      <c r="KD402" s="3"/>
      <c r="KE402" s="3"/>
      <c r="KF402" s="3"/>
      <c r="KG402" s="3"/>
      <c r="KH402" s="3"/>
      <c r="KI402" s="3"/>
      <c r="KJ402" s="3"/>
      <c r="KK402" s="3"/>
      <c r="KL402" s="3"/>
      <c r="KM402" s="3"/>
      <c r="KN402" s="3"/>
      <c r="KO402" s="3"/>
      <c r="KP402" s="3"/>
      <c r="KQ402" s="3"/>
      <c r="KR402" s="3"/>
      <c r="KS402" s="3"/>
      <c r="KT402" s="3"/>
      <c r="KU402" s="3"/>
      <c r="KV402" s="3"/>
      <c r="KW402" s="3"/>
      <c r="KX402" s="3"/>
      <c r="KY402" s="3"/>
      <c r="KZ402" s="3"/>
      <c r="LA402" s="3"/>
      <c r="LB402" s="3"/>
      <c r="LC402" s="3"/>
      <c r="LD402" s="3"/>
      <c r="LE402" s="3"/>
      <c r="LF402" s="3"/>
      <c r="LG402" s="3"/>
      <c r="LH402" s="3"/>
      <c r="LI402" s="3"/>
      <c r="LJ402" s="3"/>
      <c r="LK402" s="3"/>
      <c r="LL402" s="3"/>
      <c r="LM402" s="3"/>
      <c r="LN402" s="3"/>
      <c r="LO402" s="3"/>
      <c r="LP402" s="3"/>
      <c r="LQ402" s="3"/>
      <c r="LR402" s="3"/>
      <c r="LS402" s="3"/>
      <c r="LT402" s="3"/>
      <c r="LU402" s="3"/>
      <c r="LV402" s="3"/>
      <c r="LW402" s="3"/>
      <c r="LX402" s="3"/>
      <c r="LY402" s="3"/>
      <c r="LZ402" s="3"/>
      <c r="MA402" s="3"/>
      <c r="MB402" s="3"/>
      <c r="MC402" s="3"/>
      <c r="MD402" s="3"/>
      <c r="ME402" s="3"/>
      <c r="MF402" s="3"/>
      <c r="MG402" s="3"/>
      <c r="MH402" s="3"/>
      <c r="MI402" s="3"/>
    </row>
    <row r="403" spans="1:347"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ID403" s="3"/>
      <c r="IE403" s="3"/>
      <c r="IF403" s="3"/>
      <c r="IG403" s="3"/>
      <c r="IH403" s="3"/>
      <c r="II403" s="3"/>
      <c r="IJ403" s="3"/>
      <c r="IK403" s="3"/>
      <c r="IL403" s="3"/>
      <c r="IM403" s="3"/>
      <c r="IN403" s="3"/>
      <c r="IO403" s="3"/>
      <c r="IP403" s="3"/>
      <c r="IQ403" s="3"/>
      <c r="IR403" s="3"/>
      <c r="IS403" s="3"/>
      <c r="IT403" s="3"/>
      <c r="IU403" s="3"/>
      <c r="IV403" s="3"/>
      <c r="IW403" s="3"/>
      <c r="IX403" s="3"/>
      <c r="IY403" s="3"/>
      <c r="IZ403" s="3"/>
      <c r="JA403" s="3"/>
      <c r="JB403" s="3"/>
      <c r="JC403" s="3"/>
      <c r="JD403" s="3"/>
      <c r="JE403" s="3"/>
      <c r="JF403" s="3"/>
      <c r="JG403" s="3"/>
      <c r="JH403" s="3"/>
      <c r="JI403" s="3"/>
      <c r="JJ403" s="3"/>
      <c r="JK403" s="3"/>
      <c r="JL403" s="3"/>
      <c r="JM403" s="3"/>
      <c r="JN403" s="3"/>
      <c r="JO403" s="3"/>
      <c r="JP403" s="3"/>
      <c r="JQ403" s="3"/>
      <c r="JR403" s="3"/>
      <c r="JS403" s="3"/>
      <c r="JT403" s="3"/>
      <c r="JU403" s="3"/>
      <c r="JV403" s="3"/>
      <c r="JW403" s="3"/>
      <c r="JX403" s="3"/>
      <c r="JY403" s="3"/>
      <c r="JZ403" s="3"/>
      <c r="KA403" s="3"/>
      <c r="KB403" s="3"/>
      <c r="KC403" s="3"/>
      <c r="KD403" s="3"/>
      <c r="KE403" s="3"/>
      <c r="KF403" s="3"/>
      <c r="KG403" s="3"/>
      <c r="KH403" s="3"/>
      <c r="KI403" s="3"/>
      <c r="KJ403" s="3"/>
      <c r="KK403" s="3"/>
      <c r="KL403" s="3"/>
      <c r="KM403" s="3"/>
      <c r="KN403" s="3"/>
      <c r="KO403" s="3"/>
      <c r="KP403" s="3"/>
      <c r="KQ403" s="3"/>
      <c r="KR403" s="3"/>
      <c r="KS403" s="3"/>
      <c r="KT403" s="3"/>
      <c r="KU403" s="3"/>
      <c r="KV403" s="3"/>
      <c r="KW403" s="3"/>
      <c r="KX403" s="3"/>
      <c r="KY403" s="3"/>
      <c r="KZ403" s="3"/>
      <c r="LA403" s="3"/>
      <c r="LB403" s="3"/>
      <c r="LC403" s="3"/>
      <c r="LD403" s="3"/>
      <c r="LE403" s="3"/>
      <c r="LF403" s="3"/>
      <c r="LG403" s="3"/>
      <c r="LH403" s="3"/>
      <c r="LI403" s="3"/>
      <c r="LJ403" s="3"/>
      <c r="LK403" s="3"/>
      <c r="LL403" s="3"/>
      <c r="LM403" s="3"/>
      <c r="LN403" s="3"/>
      <c r="LO403" s="3"/>
      <c r="LP403" s="3"/>
      <c r="LQ403" s="3"/>
      <c r="LR403" s="3"/>
      <c r="LS403" s="3"/>
      <c r="LT403" s="3"/>
      <c r="LU403" s="3"/>
      <c r="LV403" s="3"/>
      <c r="LW403" s="3"/>
      <c r="LX403" s="3"/>
      <c r="LY403" s="3"/>
      <c r="LZ403" s="3"/>
      <c r="MA403" s="3"/>
      <c r="MB403" s="3"/>
      <c r="MC403" s="3"/>
      <c r="MD403" s="3"/>
      <c r="ME403" s="3"/>
      <c r="MF403" s="3"/>
      <c r="MG403" s="3"/>
      <c r="MH403" s="3"/>
      <c r="MI403" s="3"/>
    </row>
    <row r="404" spans="1:347"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ID404" s="3"/>
      <c r="IE404" s="3"/>
      <c r="IF404" s="3"/>
      <c r="IG404" s="3"/>
      <c r="IH404" s="3"/>
      <c r="II404" s="3"/>
      <c r="IJ404" s="3"/>
      <c r="IK404" s="3"/>
      <c r="IL404" s="3"/>
      <c r="IM404" s="3"/>
      <c r="IN404" s="3"/>
      <c r="IO404" s="3"/>
      <c r="IP404" s="3"/>
      <c r="IQ404" s="3"/>
      <c r="IR404" s="3"/>
      <c r="IS404" s="3"/>
      <c r="IT404" s="3"/>
      <c r="IU404" s="3"/>
      <c r="IV404" s="3"/>
      <c r="IW404" s="3"/>
      <c r="IX404" s="3"/>
      <c r="IY404" s="3"/>
      <c r="IZ404" s="3"/>
      <c r="JA404" s="3"/>
      <c r="JB404" s="3"/>
      <c r="JC404" s="3"/>
      <c r="JD404" s="3"/>
      <c r="JE404" s="3"/>
      <c r="JF404" s="3"/>
      <c r="JG404" s="3"/>
      <c r="JH404" s="3"/>
      <c r="JI404" s="3"/>
      <c r="JJ404" s="3"/>
      <c r="JK404" s="3"/>
      <c r="JL404" s="3"/>
      <c r="JM404" s="3"/>
      <c r="JN404" s="3"/>
      <c r="JO404" s="3"/>
      <c r="JP404" s="3"/>
      <c r="JQ404" s="3"/>
      <c r="JR404" s="3"/>
      <c r="JS404" s="3"/>
      <c r="JT404" s="3"/>
      <c r="JU404" s="3"/>
      <c r="JV404" s="3"/>
      <c r="JW404" s="3"/>
      <c r="JX404" s="3"/>
      <c r="JY404" s="3"/>
      <c r="JZ404" s="3"/>
      <c r="KA404" s="3"/>
      <c r="KB404" s="3"/>
      <c r="KC404" s="3"/>
      <c r="KD404" s="3"/>
      <c r="KE404" s="3"/>
      <c r="KF404" s="3"/>
      <c r="KG404" s="3"/>
      <c r="KH404" s="3"/>
      <c r="KI404" s="3"/>
      <c r="KJ404" s="3"/>
      <c r="KK404" s="3"/>
      <c r="KL404" s="3"/>
      <c r="KM404" s="3"/>
      <c r="KN404" s="3"/>
      <c r="KO404" s="3"/>
      <c r="KP404" s="3"/>
      <c r="KQ404" s="3"/>
      <c r="KR404" s="3"/>
      <c r="KS404" s="3"/>
      <c r="KT404" s="3"/>
      <c r="KU404" s="3"/>
      <c r="KV404" s="3"/>
      <c r="KW404" s="3"/>
      <c r="KX404" s="3"/>
      <c r="KY404" s="3"/>
      <c r="KZ404" s="3"/>
      <c r="LA404" s="3"/>
      <c r="LB404" s="3"/>
      <c r="LC404" s="3"/>
      <c r="LD404" s="3"/>
      <c r="LE404" s="3"/>
      <c r="LF404" s="3"/>
      <c r="LG404" s="3"/>
      <c r="LH404" s="3"/>
      <c r="LI404" s="3"/>
      <c r="LJ404" s="3"/>
      <c r="LK404" s="3"/>
      <c r="LL404" s="3"/>
      <c r="LM404" s="3"/>
      <c r="LN404" s="3"/>
      <c r="LO404" s="3"/>
      <c r="LP404" s="3"/>
      <c r="LQ404" s="3"/>
      <c r="LR404" s="3"/>
      <c r="LS404" s="3"/>
      <c r="LT404" s="3"/>
      <c r="LU404" s="3"/>
      <c r="LV404" s="3"/>
      <c r="LW404" s="3"/>
      <c r="LX404" s="3"/>
      <c r="LY404" s="3"/>
      <c r="LZ404" s="3"/>
      <c r="MA404" s="3"/>
      <c r="MB404" s="3"/>
      <c r="MC404" s="3"/>
      <c r="MD404" s="3"/>
      <c r="ME404" s="3"/>
      <c r="MF404" s="3"/>
      <c r="MG404" s="3"/>
      <c r="MH404" s="3"/>
      <c r="MI404" s="3"/>
    </row>
    <row r="405" spans="1:347"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ID405" s="3"/>
      <c r="IE405" s="3"/>
      <c r="IF405" s="3"/>
      <c r="IG405" s="3"/>
      <c r="IH405" s="3"/>
      <c r="II405" s="3"/>
      <c r="IJ405" s="3"/>
      <c r="IK405" s="3"/>
      <c r="IL405" s="3"/>
      <c r="IM405" s="3"/>
      <c r="IN405" s="3"/>
      <c r="IO405" s="3"/>
      <c r="IP405" s="3"/>
      <c r="IQ405" s="3"/>
      <c r="IR405" s="3"/>
      <c r="IS405" s="3"/>
      <c r="IT405" s="3"/>
      <c r="IU405" s="3"/>
      <c r="IV405" s="3"/>
      <c r="IW405" s="3"/>
      <c r="IX405" s="3"/>
      <c r="IY405" s="3"/>
      <c r="IZ405" s="3"/>
      <c r="JA405" s="3"/>
      <c r="JB405" s="3"/>
      <c r="JC405" s="3"/>
      <c r="JD405" s="3"/>
      <c r="JE405" s="3"/>
      <c r="JF405" s="3"/>
      <c r="JG405" s="3"/>
      <c r="JH405" s="3"/>
      <c r="JI405" s="3"/>
      <c r="JJ405" s="3"/>
      <c r="JK405" s="3"/>
      <c r="JL405" s="3"/>
      <c r="JM405" s="3"/>
      <c r="JN405" s="3"/>
      <c r="JO405" s="3"/>
      <c r="JP405" s="3"/>
      <c r="JQ405" s="3"/>
      <c r="JR405" s="3"/>
      <c r="JS405" s="3"/>
      <c r="JT405" s="3"/>
      <c r="JU405" s="3"/>
      <c r="JV405" s="3"/>
      <c r="JW405" s="3"/>
      <c r="JX405" s="3"/>
      <c r="JY405" s="3"/>
      <c r="JZ405" s="3"/>
      <c r="KA405" s="3"/>
      <c r="KB405" s="3"/>
      <c r="KC405" s="3"/>
      <c r="KD405" s="3"/>
      <c r="KE405" s="3"/>
      <c r="KF405" s="3"/>
      <c r="KG405" s="3"/>
      <c r="KH405" s="3"/>
      <c r="KI405" s="3"/>
      <c r="KJ405" s="3"/>
      <c r="KK405" s="3"/>
      <c r="KL405" s="3"/>
      <c r="KM405" s="3"/>
      <c r="KN405" s="3"/>
      <c r="KO405" s="3"/>
      <c r="KP405" s="3"/>
      <c r="KQ405" s="3"/>
      <c r="KR405" s="3"/>
      <c r="KS405" s="3"/>
      <c r="KT405" s="3"/>
      <c r="KU405" s="3"/>
      <c r="KV405" s="3"/>
      <c r="KW405" s="3"/>
      <c r="KX405" s="3"/>
      <c r="KY405" s="3"/>
      <c r="KZ405" s="3"/>
      <c r="LA405" s="3"/>
      <c r="LB405" s="3"/>
      <c r="LC405" s="3"/>
      <c r="LD405" s="3"/>
      <c r="LE405" s="3"/>
      <c r="LF405" s="3"/>
      <c r="LG405" s="3"/>
      <c r="LH405" s="3"/>
      <c r="LI405" s="3"/>
      <c r="LJ405" s="3"/>
      <c r="LK405" s="3"/>
      <c r="LL405" s="3"/>
      <c r="LM405" s="3"/>
      <c r="LN405" s="3"/>
      <c r="LO405" s="3"/>
      <c r="LP405" s="3"/>
      <c r="LQ405" s="3"/>
      <c r="LR405" s="3"/>
      <c r="LS405" s="3"/>
      <c r="LT405" s="3"/>
      <c r="LU405" s="3"/>
      <c r="LV405" s="3"/>
      <c r="LW405" s="3"/>
      <c r="LX405" s="3"/>
      <c r="LY405" s="3"/>
      <c r="LZ405" s="3"/>
      <c r="MA405" s="3"/>
      <c r="MB405" s="3"/>
      <c r="MC405" s="3"/>
      <c r="MD405" s="3"/>
      <c r="ME405" s="3"/>
      <c r="MF405" s="3"/>
      <c r="MG405" s="3"/>
      <c r="MH405" s="3"/>
      <c r="MI405" s="3"/>
    </row>
    <row r="406" spans="1:347"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ID406" s="3"/>
      <c r="IE406" s="3"/>
      <c r="IF406" s="3"/>
      <c r="IG406" s="3"/>
      <c r="IH406" s="3"/>
      <c r="II406" s="3"/>
      <c r="IJ406" s="3"/>
      <c r="IK406" s="3"/>
      <c r="IL406" s="3"/>
      <c r="IM406" s="3"/>
      <c r="IN406" s="3"/>
      <c r="IO406" s="3"/>
      <c r="IP406" s="3"/>
      <c r="IQ406" s="3"/>
      <c r="IR406" s="3"/>
      <c r="IS406" s="3"/>
      <c r="IT406" s="3"/>
      <c r="IU406" s="3"/>
      <c r="IV406" s="3"/>
      <c r="IW406" s="3"/>
      <c r="IX406" s="3"/>
      <c r="IY406" s="3"/>
      <c r="IZ406" s="3"/>
      <c r="JA406" s="3"/>
      <c r="JB406" s="3"/>
      <c r="JC406" s="3"/>
      <c r="JD406" s="3"/>
      <c r="JE406" s="3"/>
      <c r="JF406" s="3"/>
      <c r="JG406" s="3"/>
      <c r="JH406" s="3"/>
      <c r="JI406" s="3"/>
      <c r="JJ406" s="3"/>
      <c r="JK406" s="3"/>
      <c r="JL406" s="3"/>
      <c r="JM406" s="3"/>
      <c r="JN406" s="3"/>
      <c r="JO406" s="3"/>
      <c r="JP406" s="3"/>
      <c r="JQ406" s="3"/>
      <c r="JR406" s="3"/>
      <c r="JS406" s="3"/>
      <c r="JT406" s="3"/>
      <c r="JU406" s="3"/>
      <c r="JV406" s="3"/>
      <c r="JW406" s="3"/>
      <c r="JX406" s="3"/>
      <c r="JY406" s="3"/>
      <c r="JZ406" s="3"/>
      <c r="KA406" s="3"/>
      <c r="KB406" s="3"/>
      <c r="KC406" s="3"/>
      <c r="KD406" s="3"/>
      <c r="KE406" s="3"/>
      <c r="KF406" s="3"/>
      <c r="KG406" s="3"/>
      <c r="KH406" s="3"/>
      <c r="KI406" s="3"/>
      <c r="KJ406" s="3"/>
      <c r="KK406" s="3"/>
      <c r="KL406" s="3"/>
      <c r="KM406" s="3"/>
      <c r="KN406" s="3"/>
      <c r="KO406" s="3"/>
      <c r="KP406" s="3"/>
      <c r="KQ406" s="3"/>
      <c r="KR406" s="3"/>
      <c r="KS406" s="3"/>
      <c r="KT406" s="3"/>
      <c r="KU406" s="3"/>
      <c r="KV406" s="3"/>
      <c r="KW406" s="3"/>
      <c r="KX406" s="3"/>
      <c r="KY406" s="3"/>
      <c r="KZ406" s="3"/>
      <c r="LA406" s="3"/>
      <c r="LB406" s="3"/>
      <c r="LC406" s="3"/>
      <c r="LD406" s="3"/>
      <c r="LE406" s="3"/>
      <c r="LF406" s="3"/>
      <c r="LG406" s="3"/>
      <c r="LH406" s="3"/>
      <c r="LI406" s="3"/>
      <c r="LJ406" s="3"/>
      <c r="LK406" s="3"/>
      <c r="LL406" s="3"/>
      <c r="LM406" s="3"/>
      <c r="LN406" s="3"/>
      <c r="LO406" s="3"/>
      <c r="LP406" s="3"/>
      <c r="LQ406" s="3"/>
      <c r="LR406" s="3"/>
      <c r="LS406" s="3"/>
      <c r="LT406" s="3"/>
      <c r="LU406" s="3"/>
      <c r="LV406" s="3"/>
      <c r="LW406" s="3"/>
      <c r="LX406" s="3"/>
      <c r="LY406" s="3"/>
      <c r="LZ406" s="3"/>
      <c r="MA406" s="3"/>
      <c r="MB406" s="3"/>
      <c r="MC406" s="3"/>
      <c r="MD406" s="3"/>
      <c r="ME406" s="3"/>
      <c r="MF406" s="3"/>
      <c r="MG406" s="3"/>
      <c r="MH406" s="3"/>
      <c r="MI406" s="3"/>
    </row>
    <row r="407" spans="1:347"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ID407" s="3"/>
      <c r="IE407" s="3"/>
      <c r="IF407" s="3"/>
      <c r="IG407" s="3"/>
      <c r="IH407" s="3"/>
      <c r="II407" s="3"/>
      <c r="IJ407" s="3"/>
      <c r="IK407" s="3"/>
      <c r="IL407" s="3"/>
      <c r="IM407" s="3"/>
      <c r="IN407" s="3"/>
      <c r="IO407" s="3"/>
      <c r="IP407" s="3"/>
      <c r="IQ407" s="3"/>
      <c r="IR407" s="3"/>
      <c r="IS407" s="3"/>
      <c r="IT407" s="3"/>
      <c r="IU407" s="3"/>
      <c r="IV407" s="3"/>
      <c r="IW407" s="3"/>
      <c r="IX407" s="3"/>
      <c r="IY407" s="3"/>
      <c r="IZ407" s="3"/>
      <c r="JA407" s="3"/>
      <c r="JB407" s="3"/>
      <c r="JC407" s="3"/>
      <c r="JD407" s="3"/>
      <c r="JE407" s="3"/>
      <c r="JF407" s="3"/>
      <c r="JG407" s="3"/>
      <c r="JH407" s="3"/>
      <c r="JI407" s="3"/>
      <c r="JJ407" s="3"/>
      <c r="JK407" s="3"/>
      <c r="JL407" s="3"/>
      <c r="JM407" s="3"/>
      <c r="JN407" s="3"/>
      <c r="JO407" s="3"/>
      <c r="JP407" s="3"/>
      <c r="JQ407" s="3"/>
      <c r="JR407" s="3"/>
      <c r="JS407" s="3"/>
      <c r="JT407" s="3"/>
      <c r="JU407" s="3"/>
      <c r="JV407" s="3"/>
      <c r="JW407" s="3"/>
      <c r="JX407" s="3"/>
      <c r="JY407" s="3"/>
      <c r="JZ407" s="3"/>
      <c r="KA407" s="3"/>
      <c r="KB407" s="3"/>
      <c r="KC407" s="3"/>
      <c r="KD407" s="3"/>
      <c r="KE407" s="3"/>
      <c r="KF407" s="3"/>
      <c r="KG407" s="3"/>
      <c r="KH407" s="3"/>
      <c r="KI407" s="3"/>
      <c r="KJ407" s="3"/>
      <c r="KK407" s="3"/>
      <c r="KL407" s="3"/>
      <c r="KM407" s="3"/>
      <c r="KN407" s="3"/>
      <c r="KO407" s="3"/>
      <c r="KP407" s="3"/>
      <c r="KQ407" s="3"/>
      <c r="KR407" s="3"/>
      <c r="KS407" s="3"/>
      <c r="KT407" s="3"/>
      <c r="KU407" s="3"/>
      <c r="KV407" s="3"/>
      <c r="KW407" s="3"/>
      <c r="KX407" s="3"/>
      <c r="KY407" s="3"/>
      <c r="KZ407" s="3"/>
      <c r="LA407" s="3"/>
      <c r="LB407" s="3"/>
      <c r="LC407" s="3"/>
      <c r="LD407" s="3"/>
      <c r="LE407" s="3"/>
      <c r="LF407" s="3"/>
      <c r="LG407" s="3"/>
      <c r="LH407" s="3"/>
      <c r="LI407" s="3"/>
      <c r="LJ407" s="3"/>
      <c r="LK407" s="3"/>
      <c r="LL407" s="3"/>
      <c r="LM407" s="3"/>
      <c r="LN407" s="3"/>
      <c r="LO407" s="3"/>
      <c r="LP407" s="3"/>
      <c r="LQ407" s="3"/>
      <c r="LR407" s="3"/>
      <c r="LS407" s="3"/>
      <c r="LT407" s="3"/>
      <c r="LU407" s="3"/>
      <c r="LV407" s="3"/>
      <c r="LW407" s="3"/>
      <c r="LX407" s="3"/>
      <c r="LY407" s="3"/>
      <c r="LZ407" s="3"/>
      <c r="MA407" s="3"/>
      <c r="MB407" s="3"/>
      <c r="MC407" s="3"/>
      <c r="MD407" s="3"/>
      <c r="ME407" s="3"/>
      <c r="MF407" s="3"/>
      <c r="MG407" s="3"/>
      <c r="MH407" s="3"/>
      <c r="MI407" s="3"/>
    </row>
    <row r="408" spans="1:347"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ID408" s="3"/>
      <c r="IE408" s="3"/>
      <c r="IF408" s="3"/>
      <c r="IG408" s="3"/>
      <c r="IH408" s="3"/>
      <c r="II408" s="3"/>
      <c r="IJ408" s="3"/>
      <c r="IK408" s="3"/>
      <c r="IL408" s="3"/>
      <c r="IM408" s="3"/>
      <c r="IN408" s="3"/>
      <c r="IO408" s="3"/>
      <c r="IP408" s="3"/>
      <c r="IQ408" s="3"/>
      <c r="IR408" s="3"/>
      <c r="IS408" s="3"/>
      <c r="IT408" s="3"/>
      <c r="IU408" s="3"/>
      <c r="IV408" s="3"/>
      <c r="IW408" s="3"/>
      <c r="IX408" s="3"/>
      <c r="IY408" s="3"/>
      <c r="IZ408" s="3"/>
      <c r="JA408" s="3"/>
      <c r="JB408" s="3"/>
      <c r="JC408" s="3"/>
      <c r="JD408" s="3"/>
      <c r="JE408" s="3"/>
      <c r="JF408" s="3"/>
      <c r="JG408" s="3"/>
      <c r="JH408" s="3"/>
      <c r="JI408" s="3"/>
      <c r="JJ408" s="3"/>
      <c r="JK408" s="3"/>
      <c r="JL408" s="3"/>
      <c r="JM408" s="3"/>
      <c r="JN408" s="3"/>
      <c r="JO408" s="3"/>
      <c r="JP408" s="3"/>
      <c r="JQ408" s="3"/>
      <c r="JR408" s="3"/>
      <c r="JS408" s="3"/>
      <c r="JT408" s="3"/>
      <c r="JU408" s="3"/>
      <c r="JV408" s="3"/>
      <c r="JW408" s="3"/>
      <c r="JX408" s="3"/>
      <c r="JY408" s="3"/>
      <c r="JZ408" s="3"/>
      <c r="KA408" s="3"/>
      <c r="KB408" s="3"/>
      <c r="KC408" s="3"/>
      <c r="KD408" s="3"/>
      <c r="KE408" s="3"/>
      <c r="KF408" s="3"/>
      <c r="KG408" s="3"/>
      <c r="KH408" s="3"/>
      <c r="KI408" s="3"/>
      <c r="KJ408" s="3"/>
      <c r="KK408" s="3"/>
      <c r="KL408" s="3"/>
      <c r="KM408" s="3"/>
      <c r="KN408" s="3"/>
      <c r="KO408" s="3"/>
      <c r="KP408" s="3"/>
      <c r="KQ408" s="3"/>
      <c r="KR408" s="3"/>
      <c r="KS408" s="3"/>
      <c r="KT408" s="3"/>
      <c r="KU408" s="3"/>
      <c r="KV408" s="3"/>
      <c r="KW408" s="3"/>
      <c r="KX408" s="3"/>
      <c r="KY408" s="3"/>
      <c r="KZ408" s="3"/>
      <c r="LA408" s="3"/>
      <c r="LB408" s="3"/>
      <c r="LC408" s="3"/>
      <c r="LD408" s="3"/>
      <c r="LE408" s="3"/>
      <c r="LF408" s="3"/>
      <c r="LG408" s="3"/>
      <c r="LH408" s="3"/>
      <c r="LI408" s="3"/>
      <c r="LJ408" s="3"/>
      <c r="LK408" s="3"/>
      <c r="LL408" s="3"/>
      <c r="LM408" s="3"/>
      <c r="LN408" s="3"/>
      <c r="LO408" s="3"/>
      <c r="LP408" s="3"/>
      <c r="LQ408" s="3"/>
      <c r="LR408" s="3"/>
      <c r="LS408" s="3"/>
      <c r="LT408" s="3"/>
      <c r="LU408" s="3"/>
      <c r="LV408" s="3"/>
      <c r="LW408" s="3"/>
      <c r="LX408" s="3"/>
      <c r="LY408" s="3"/>
      <c r="LZ408" s="3"/>
      <c r="MA408" s="3"/>
      <c r="MB408" s="3"/>
      <c r="MC408" s="3"/>
      <c r="MD408" s="3"/>
      <c r="ME408" s="3"/>
      <c r="MF408" s="3"/>
      <c r="MG408" s="3"/>
      <c r="MH408" s="3"/>
      <c r="MI408" s="3"/>
    </row>
    <row r="409" spans="1:347"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ID409" s="3"/>
      <c r="IE409" s="3"/>
      <c r="IF409" s="3"/>
      <c r="IG409" s="3"/>
      <c r="IH409" s="3"/>
      <c r="II409" s="3"/>
      <c r="IJ409" s="3"/>
      <c r="IK409" s="3"/>
      <c r="IL409" s="3"/>
      <c r="IM409" s="3"/>
      <c r="IN409" s="3"/>
      <c r="IO409" s="3"/>
      <c r="IP409" s="3"/>
      <c r="IQ409" s="3"/>
      <c r="IR409" s="3"/>
      <c r="IS409" s="3"/>
      <c r="IT409" s="3"/>
      <c r="IU409" s="3"/>
      <c r="IV409" s="3"/>
      <c r="IW409" s="3"/>
      <c r="IX409" s="3"/>
      <c r="IY409" s="3"/>
      <c r="IZ409" s="3"/>
      <c r="JA409" s="3"/>
      <c r="JB409" s="3"/>
      <c r="JC409" s="3"/>
      <c r="JD409" s="3"/>
      <c r="JE409" s="3"/>
      <c r="JF409" s="3"/>
      <c r="JG409" s="3"/>
      <c r="JH409" s="3"/>
      <c r="JI409" s="3"/>
      <c r="JJ409" s="3"/>
      <c r="JK409" s="3"/>
      <c r="JL409" s="3"/>
      <c r="JM409" s="3"/>
      <c r="JN409" s="3"/>
      <c r="JO409" s="3"/>
      <c r="JP409" s="3"/>
      <c r="JQ409" s="3"/>
      <c r="JR409" s="3"/>
      <c r="JS409" s="3"/>
      <c r="JT409" s="3"/>
      <c r="JU409" s="3"/>
      <c r="JV409" s="3"/>
      <c r="JW409" s="3"/>
      <c r="JX409" s="3"/>
      <c r="JY409" s="3"/>
      <c r="JZ409" s="3"/>
      <c r="KA409" s="3"/>
      <c r="KB409" s="3"/>
      <c r="KC409" s="3"/>
      <c r="KD409" s="3"/>
      <c r="KE409" s="3"/>
      <c r="KF409" s="3"/>
      <c r="KG409" s="3"/>
      <c r="KH409" s="3"/>
      <c r="KI409" s="3"/>
      <c r="KJ409" s="3"/>
      <c r="KK409" s="3"/>
      <c r="KL409" s="3"/>
      <c r="KM409" s="3"/>
      <c r="KN409" s="3"/>
      <c r="KO409" s="3"/>
      <c r="KP409" s="3"/>
      <c r="KQ409" s="3"/>
      <c r="KR409" s="3"/>
      <c r="KS409" s="3"/>
      <c r="KT409" s="3"/>
      <c r="KU409" s="3"/>
      <c r="KV409" s="3"/>
      <c r="KW409" s="3"/>
      <c r="KX409" s="3"/>
      <c r="KY409" s="3"/>
      <c r="KZ409" s="3"/>
      <c r="LA409" s="3"/>
      <c r="LB409" s="3"/>
      <c r="LC409" s="3"/>
      <c r="LD409" s="3"/>
      <c r="LE409" s="3"/>
      <c r="LF409" s="3"/>
      <c r="LG409" s="3"/>
      <c r="LH409" s="3"/>
      <c r="LI409" s="3"/>
      <c r="LJ409" s="3"/>
      <c r="LK409" s="3"/>
      <c r="LL409" s="3"/>
      <c r="LM409" s="3"/>
      <c r="LN409" s="3"/>
      <c r="LO409" s="3"/>
      <c r="LP409" s="3"/>
      <c r="LQ409" s="3"/>
      <c r="LR409" s="3"/>
      <c r="LS409" s="3"/>
      <c r="LT409" s="3"/>
      <c r="LU409" s="3"/>
      <c r="LV409" s="3"/>
      <c r="LW409" s="3"/>
      <c r="LX409" s="3"/>
      <c r="LY409" s="3"/>
      <c r="LZ409" s="3"/>
      <c r="MA409" s="3"/>
      <c r="MB409" s="3"/>
      <c r="MC409" s="3"/>
      <c r="MD409" s="3"/>
      <c r="ME409" s="3"/>
      <c r="MF409" s="3"/>
      <c r="MG409" s="3"/>
      <c r="MH409" s="3"/>
      <c r="MI409" s="3"/>
    </row>
    <row r="410" spans="1:347"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ID410" s="3"/>
      <c r="IE410" s="3"/>
      <c r="IF410" s="3"/>
      <c r="IG410" s="3"/>
      <c r="IH410" s="3"/>
      <c r="II410" s="3"/>
      <c r="IJ410" s="3"/>
      <c r="IK410" s="3"/>
      <c r="IL410" s="3"/>
      <c r="IM410" s="3"/>
      <c r="IN410" s="3"/>
      <c r="IO410" s="3"/>
      <c r="IP410" s="3"/>
      <c r="IQ410" s="3"/>
      <c r="IR410" s="3"/>
      <c r="IS410" s="3"/>
      <c r="IT410" s="3"/>
      <c r="IU410" s="3"/>
      <c r="IV410" s="3"/>
      <c r="IW410" s="3"/>
      <c r="IX410" s="3"/>
      <c r="IY410" s="3"/>
      <c r="IZ410" s="3"/>
      <c r="JA410" s="3"/>
      <c r="JB410" s="3"/>
      <c r="JC410" s="3"/>
      <c r="JD410" s="3"/>
      <c r="JE410" s="3"/>
      <c r="JF410" s="3"/>
      <c r="JG410" s="3"/>
      <c r="JH410" s="3"/>
      <c r="JI410" s="3"/>
      <c r="JJ410" s="3"/>
      <c r="JK410" s="3"/>
      <c r="JL410" s="3"/>
      <c r="JM410" s="3"/>
      <c r="JN410" s="3"/>
      <c r="JO410" s="3"/>
      <c r="JP410" s="3"/>
      <c r="JQ410" s="3"/>
      <c r="JR410" s="3"/>
      <c r="JS410" s="3"/>
      <c r="JT410" s="3"/>
      <c r="JU410" s="3"/>
      <c r="JV410" s="3"/>
      <c r="JW410" s="3"/>
      <c r="JX410" s="3"/>
      <c r="JY410" s="3"/>
      <c r="JZ410" s="3"/>
      <c r="KA410" s="3"/>
      <c r="KB410" s="3"/>
      <c r="KC410" s="3"/>
      <c r="KD410" s="3"/>
      <c r="KE410" s="3"/>
      <c r="KF410" s="3"/>
      <c r="KG410" s="3"/>
      <c r="KH410" s="3"/>
      <c r="KI410" s="3"/>
      <c r="KJ410" s="3"/>
      <c r="KK410" s="3"/>
      <c r="KL410" s="3"/>
      <c r="KM410" s="3"/>
      <c r="KN410" s="3"/>
      <c r="KO410" s="3"/>
      <c r="KP410" s="3"/>
      <c r="KQ410" s="3"/>
      <c r="KR410" s="3"/>
      <c r="KS410" s="3"/>
      <c r="KT410" s="3"/>
      <c r="KU410" s="3"/>
      <c r="KV410" s="3"/>
      <c r="KW410" s="3"/>
      <c r="KX410" s="3"/>
      <c r="KY410" s="3"/>
      <c r="KZ410" s="3"/>
      <c r="LA410" s="3"/>
      <c r="LB410" s="3"/>
      <c r="LC410" s="3"/>
      <c r="LD410" s="3"/>
      <c r="LE410" s="3"/>
      <c r="LF410" s="3"/>
      <c r="LG410" s="3"/>
      <c r="LH410" s="3"/>
      <c r="LI410" s="3"/>
      <c r="LJ410" s="3"/>
      <c r="LK410" s="3"/>
      <c r="LL410" s="3"/>
      <c r="LM410" s="3"/>
      <c r="LN410" s="3"/>
      <c r="LO410" s="3"/>
      <c r="LP410" s="3"/>
      <c r="LQ410" s="3"/>
      <c r="LR410" s="3"/>
      <c r="LS410" s="3"/>
      <c r="LT410" s="3"/>
      <c r="LU410" s="3"/>
      <c r="LV410" s="3"/>
      <c r="LW410" s="3"/>
      <c r="LX410" s="3"/>
      <c r="LY410" s="3"/>
      <c r="LZ410" s="3"/>
      <c r="MA410" s="3"/>
      <c r="MB410" s="3"/>
      <c r="MC410" s="3"/>
      <c r="MD410" s="3"/>
      <c r="ME410" s="3"/>
      <c r="MF410" s="3"/>
      <c r="MG410" s="3"/>
      <c r="MH410" s="3"/>
      <c r="MI410" s="3"/>
    </row>
    <row r="411" spans="1:347"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ID411" s="3"/>
      <c r="IE411" s="3"/>
      <c r="IF411" s="3"/>
      <c r="IG411" s="3"/>
      <c r="IH411" s="3"/>
      <c r="II411" s="3"/>
      <c r="IJ411" s="3"/>
      <c r="IK411" s="3"/>
      <c r="IL411" s="3"/>
      <c r="IM411" s="3"/>
      <c r="IN411" s="3"/>
      <c r="IO411" s="3"/>
      <c r="IP411" s="3"/>
      <c r="IQ411" s="3"/>
      <c r="IR411" s="3"/>
      <c r="IS411" s="3"/>
      <c r="IT411" s="3"/>
      <c r="IU411" s="3"/>
      <c r="IV411" s="3"/>
      <c r="IW411" s="3"/>
      <c r="IX411" s="3"/>
      <c r="IY411" s="3"/>
      <c r="IZ411" s="3"/>
      <c r="JA411" s="3"/>
      <c r="JB411" s="3"/>
      <c r="JC411" s="3"/>
      <c r="JD411" s="3"/>
      <c r="JE411" s="3"/>
      <c r="JF411" s="3"/>
      <c r="JG411" s="3"/>
      <c r="JH411" s="3"/>
      <c r="JI411" s="3"/>
      <c r="JJ411" s="3"/>
      <c r="JK411" s="3"/>
      <c r="JL411" s="3"/>
      <c r="JM411" s="3"/>
      <c r="JN411" s="3"/>
      <c r="JO411" s="3"/>
      <c r="JP411" s="3"/>
      <c r="JQ411" s="3"/>
      <c r="JR411" s="3"/>
      <c r="JS411" s="3"/>
      <c r="JT411" s="3"/>
      <c r="JU411" s="3"/>
      <c r="JV411" s="3"/>
      <c r="JW411" s="3"/>
      <c r="JX411" s="3"/>
      <c r="JY411" s="3"/>
      <c r="JZ411" s="3"/>
      <c r="KA411" s="3"/>
      <c r="KB411" s="3"/>
      <c r="KC411" s="3"/>
      <c r="KD411" s="3"/>
      <c r="KE411" s="3"/>
      <c r="KF411" s="3"/>
      <c r="KG411" s="3"/>
      <c r="KH411" s="3"/>
      <c r="KI411" s="3"/>
      <c r="KJ411" s="3"/>
      <c r="KK411" s="3"/>
      <c r="KL411" s="3"/>
      <c r="KM411" s="3"/>
      <c r="KN411" s="3"/>
      <c r="KO411" s="3"/>
      <c r="KP411" s="3"/>
      <c r="KQ411" s="3"/>
      <c r="KR411" s="3"/>
      <c r="KS411" s="3"/>
      <c r="KT411" s="3"/>
      <c r="KU411" s="3"/>
      <c r="KV411" s="3"/>
      <c r="KW411" s="3"/>
      <c r="KX411" s="3"/>
      <c r="KY411" s="3"/>
      <c r="KZ411" s="3"/>
      <c r="LA411" s="3"/>
      <c r="LB411" s="3"/>
      <c r="LC411" s="3"/>
      <c r="LD411" s="3"/>
      <c r="LE411" s="3"/>
      <c r="LF411" s="3"/>
      <c r="LG411" s="3"/>
      <c r="LH411" s="3"/>
      <c r="LI411" s="3"/>
      <c r="LJ411" s="3"/>
      <c r="LK411" s="3"/>
      <c r="LL411" s="3"/>
      <c r="LM411" s="3"/>
      <c r="LN411" s="3"/>
      <c r="LO411" s="3"/>
      <c r="LP411" s="3"/>
      <c r="LQ411" s="3"/>
      <c r="LR411" s="3"/>
      <c r="LS411" s="3"/>
      <c r="LT411" s="3"/>
      <c r="LU411" s="3"/>
      <c r="LV411" s="3"/>
      <c r="LW411" s="3"/>
      <c r="LX411" s="3"/>
      <c r="LY411" s="3"/>
      <c r="LZ411" s="3"/>
      <c r="MA411" s="3"/>
      <c r="MB411" s="3"/>
      <c r="MC411" s="3"/>
      <c r="MD411" s="3"/>
      <c r="ME411" s="3"/>
      <c r="MF411" s="3"/>
      <c r="MG411" s="3"/>
      <c r="MH411" s="3"/>
      <c r="MI411" s="3"/>
    </row>
    <row r="412" spans="1:347"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ID412" s="3"/>
      <c r="IE412" s="3"/>
      <c r="IF412" s="3"/>
      <c r="IG412" s="3"/>
      <c r="IH412" s="3"/>
      <c r="II412" s="3"/>
      <c r="IJ412" s="3"/>
      <c r="IK412" s="3"/>
      <c r="IL412" s="3"/>
      <c r="IM412" s="3"/>
      <c r="IN412" s="3"/>
      <c r="IO412" s="3"/>
      <c r="IP412" s="3"/>
      <c r="IQ412" s="3"/>
      <c r="IR412" s="3"/>
      <c r="IS412" s="3"/>
      <c r="IT412" s="3"/>
      <c r="IU412" s="3"/>
      <c r="IV412" s="3"/>
      <c r="IW412" s="3"/>
      <c r="IX412" s="3"/>
      <c r="IY412" s="3"/>
      <c r="IZ412" s="3"/>
      <c r="JA412" s="3"/>
      <c r="JB412" s="3"/>
      <c r="JC412" s="3"/>
      <c r="JD412" s="3"/>
      <c r="JE412" s="3"/>
      <c r="JF412" s="3"/>
      <c r="JG412" s="3"/>
      <c r="JH412" s="3"/>
      <c r="JI412" s="3"/>
      <c r="JJ412" s="3"/>
      <c r="JK412" s="3"/>
      <c r="JL412" s="3"/>
      <c r="JM412" s="3"/>
      <c r="JN412" s="3"/>
      <c r="JO412" s="3"/>
      <c r="JP412" s="3"/>
      <c r="JQ412" s="3"/>
      <c r="JR412" s="3"/>
      <c r="JS412" s="3"/>
      <c r="JT412" s="3"/>
      <c r="JU412" s="3"/>
      <c r="JV412" s="3"/>
      <c r="JW412" s="3"/>
      <c r="JX412" s="3"/>
      <c r="JY412" s="3"/>
      <c r="JZ412" s="3"/>
      <c r="KA412" s="3"/>
      <c r="KB412" s="3"/>
      <c r="KC412" s="3"/>
      <c r="KD412" s="3"/>
      <c r="KE412" s="3"/>
      <c r="KF412" s="3"/>
      <c r="KG412" s="3"/>
      <c r="KH412" s="3"/>
      <c r="KI412" s="3"/>
      <c r="KJ412" s="3"/>
      <c r="KK412" s="3"/>
      <c r="KL412" s="3"/>
      <c r="KM412" s="3"/>
      <c r="KN412" s="3"/>
      <c r="KO412" s="3"/>
      <c r="KP412" s="3"/>
      <c r="KQ412" s="3"/>
      <c r="KR412" s="3"/>
      <c r="KS412" s="3"/>
      <c r="KT412" s="3"/>
      <c r="KU412" s="3"/>
      <c r="KV412" s="3"/>
      <c r="KW412" s="3"/>
      <c r="KX412" s="3"/>
      <c r="KY412" s="3"/>
      <c r="KZ412" s="3"/>
      <c r="LA412" s="3"/>
      <c r="LB412" s="3"/>
      <c r="LC412" s="3"/>
      <c r="LD412" s="3"/>
      <c r="LE412" s="3"/>
      <c r="LF412" s="3"/>
      <c r="LG412" s="3"/>
      <c r="LH412" s="3"/>
      <c r="LI412" s="3"/>
      <c r="LJ412" s="3"/>
      <c r="LK412" s="3"/>
      <c r="LL412" s="3"/>
      <c r="LM412" s="3"/>
      <c r="LN412" s="3"/>
      <c r="LO412" s="3"/>
      <c r="LP412" s="3"/>
      <c r="LQ412" s="3"/>
      <c r="LR412" s="3"/>
      <c r="LS412" s="3"/>
      <c r="LT412" s="3"/>
      <c r="LU412" s="3"/>
      <c r="LV412" s="3"/>
      <c r="LW412" s="3"/>
      <c r="LX412" s="3"/>
      <c r="LY412" s="3"/>
      <c r="LZ412" s="3"/>
      <c r="MA412" s="3"/>
      <c r="MB412" s="3"/>
      <c r="MC412" s="3"/>
      <c r="MD412" s="3"/>
      <c r="ME412" s="3"/>
      <c r="MF412" s="3"/>
      <c r="MG412" s="3"/>
      <c r="MH412" s="3"/>
      <c r="MI412" s="3"/>
    </row>
    <row r="413" spans="1:347"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c r="LV413" s="3"/>
      <c r="LW413" s="3"/>
      <c r="LX413" s="3"/>
      <c r="LY413" s="3"/>
      <c r="LZ413" s="3"/>
      <c r="MA413" s="3"/>
      <c r="MB413" s="3"/>
      <c r="MC413" s="3"/>
      <c r="MD413" s="3"/>
      <c r="ME413" s="3"/>
      <c r="MF413" s="3"/>
      <c r="MG413" s="3"/>
      <c r="MH413" s="3"/>
      <c r="MI413" s="3"/>
    </row>
    <row r="414" spans="1:347"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ID414" s="3"/>
      <c r="IE414" s="3"/>
      <c r="IF414" s="3"/>
      <c r="IG414" s="3"/>
      <c r="IH414" s="3"/>
      <c r="II414" s="3"/>
      <c r="IJ414" s="3"/>
      <c r="IK414" s="3"/>
      <c r="IL414" s="3"/>
      <c r="IM414" s="3"/>
      <c r="IN414" s="3"/>
      <c r="IO414" s="3"/>
      <c r="IP414" s="3"/>
      <c r="IQ414" s="3"/>
      <c r="IR414" s="3"/>
      <c r="IS414" s="3"/>
      <c r="IT414" s="3"/>
      <c r="IU414" s="3"/>
      <c r="IV414" s="3"/>
      <c r="IW414" s="3"/>
      <c r="IX414" s="3"/>
      <c r="IY414" s="3"/>
      <c r="IZ414" s="3"/>
      <c r="JA414" s="3"/>
      <c r="JB414" s="3"/>
      <c r="JC414" s="3"/>
      <c r="JD414" s="3"/>
      <c r="JE414" s="3"/>
      <c r="JF414" s="3"/>
      <c r="JG414" s="3"/>
      <c r="JH414" s="3"/>
      <c r="JI414" s="3"/>
      <c r="JJ414" s="3"/>
      <c r="JK414" s="3"/>
      <c r="JL414" s="3"/>
      <c r="JM414" s="3"/>
      <c r="JN414" s="3"/>
      <c r="JO414" s="3"/>
      <c r="JP414" s="3"/>
      <c r="JQ414" s="3"/>
      <c r="JR414" s="3"/>
      <c r="JS414" s="3"/>
      <c r="JT414" s="3"/>
      <c r="JU414" s="3"/>
      <c r="JV414" s="3"/>
      <c r="JW414" s="3"/>
      <c r="JX414" s="3"/>
      <c r="JY414" s="3"/>
      <c r="JZ414" s="3"/>
      <c r="KA414" s="3"/>
      <c r="KB414" s="3"/>
      <c r="KC414" s="3"/>
      <c r="KD414" s="3"/>
      <c r="KE414" s="3"/>
      <c r="KF414" s="3"/>
      <c r="KG414" s="3"/>
      <c r="KH414" s="3"/>
      <c r="KI414" s="3"/>
      <c r="KJ414" s="3"/>
      <c r="KK414" s="3"/>
      <c r="KL414" s="3"/>
      <c r="KM414" s="3"/>
      <c r="KN414" s="3"/>
      <c r="KO414" s="3"/>
      <c r="KP414" s="3"/>
      <c r="KQ414" s="3"/>
      <c r="KR414" s="3"/>
      <c r="KS414" s="3"/>
      <c r="KT414" s="3"/>
      <c r="KU414" s="3"/>
      <c r="KV414" s="3"/>
      <c r="KW414" s="3"/>
      <c r="KX414" s="3"/>
      <c r="KY414" s="3"/>
      <c r="KZ414" s="3"/>
      <c r="LA414" s="3"/>
      <c r="LB414" s="3"/>
      <c r="LC414" s="3"/>
      <c r="LD414" s="3"/>
      <c r="LE414" s="3"/>
      <c r="LF414" s="3"/>
      <c r="LG414" s="3"/>
      <c r="LH414" s="3"/>
      <c r="LI414" s="3"/>
      <c r="LJ414" s="3"/>
      <c r="LK414" s="3"/>
      <c r="LL414" s="3"/>
      <c r="LM414" s="3"/>
      <c r="LN414" s="3"/>
      <c r="LO414" s="3"/>
      <c r="LP414" s="3"/>
      <c r="LQ414" s="3"/>
      <c r="LR414" s="3"/>
      <c r="LS414" s="3"/>
      <c r="LT414" s="3"/>
      <c r="LU414" s="3"/>
      <c r="LV414" s="3"/>
      <c r="LW414" s="3"/>
      <c r="LX414" s="3"/>
      <c r="LY414" s="3"/>
      <c r="LZ414" s="3"/>
      <c r="MA414" s="3"/>
      <c r="MB414" s="3"/>
      <c r="MC414" s="3"/>
      <c r="MD414" s="3"/>
      <c r="ME414" s="3"/>
      <c r="MF414" s="3"/>
      <c r="MG414" s="3"/>
      <c r="MH414" s="3"/>
      <c r="MI414" s="3"/>
    </row>
    <row r="415" spans="1:347"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ID415" s="3"/>
      <c r="IE415" s="3"/>
      <c r="IF415" s="3"/>
      <c r="IG415" s="3"/>
      <c r="IH415" s="3"/>
      <c r="II415" s="3"/>
      <c r="IJ415" s="3"/>
      <c r="IK415" s="3"/>
      <c r="IL415" s="3"/>
      <c r="IM415" s="3"/>
      <c r="IN415" s="3"/>
      <c r="IO415" s="3"/>
      <c r="IP415" s="3"/>
      <c r="IQ415" s="3"/>
      <c r="IR415" s="3"/>
      <c r="IS415" s="3"/>
      <c r="IT415" s="3"/>
      <c r="IU415" s="3"/>
      <c r="IV415" s="3"/>
      <c r="IW415" s="3"/>
      <c r="IX415" s="3"/>
      <c r="IY415" s="3"/>
      <c r="IZ415" s="3"/>
      <c r="JA415" s="3"/>
      <c r="JB415" s="3"/>
      <c r="JC415" s="3"/>
      <c r="JD415" s="3"/>
      <c r="JE415" s="3"/>
      <c r="JF415" s="3"/>
      <c r="JG415" s="3"/>
      <c r="JH415" s="3"/>
      <c r="JI415" s="3"/>
      <c r="JJ415" s="3"/>
      <c r="JK415" s="3"/>
      <c r="JL415" s="3"/>
      <c r="JM415" s="3"/>
      <c r="JN415" s="3"/>
      <c r="JO415" s="3"/>
      <c r="JP415" s="3"/>
      <c r="JQ415" s="3"/>
      <c r="JR415" s="3"/>
      <c r="JS415" s="3"/>
      <c r="JT415" s="3"/>
      <c r="JU415" s="3"/>
      <c r="JV415" s="3"/>
      <c r="JW415" s="3"/>
      <c r="JX415" s="3"/>
      <c r="JY415" s="3"/>
      <c r="JZ415" s="3"/>
      <c r="KA415" s="3"/>
      <c r="KB415" s="3"/>
      <c r="KC415" s="3"/>
      <c r="KD415" s="3"/>
      <c r="KE415" s="3"/>
      <c r="KF415" s="3"/>
      <c r="KG415" s="3"/>
      <c r="KH415" s="3"/>
      <c r="KI415" s="3"/>
      <c r="KJ415" s="3"/>
      <c r="KK415" s="3"/>
      <c r="KL415" s="3"/>
      <c r="KM415" s="3"/>
      <c r="KN415" s="3"/>
      <c r="KO415" s="3"/>
      <c r="KP415" s="3"/>
      <c r="KQ415" s="3"/>
      <c r="KR415" s="3"/>
      <c r="KS415" s="3"/>
      <c r="KT415" s="3"/>
      <c r="KU415" s="3"/>
      <c r="KV415" s="3"/>
      <c r="KW415" s="3"/>
      <c r="KX415" s="3"/>
      <c r="KY415" s="3"/>
      <c r="KZ415" s="3"/>
      <c r="LA415" s="3"/>
      <c r="LB415" s="3"/>
      <c r="LC415" s="3"/>
      <c r="LD415" s="3"/>
      <c r="LE415" s="3"/>
      <c r="LF415" s="3"/>
      <c r="LG415" s="3"/>
      <c r="LH415" s="3"/>
      <c r="LI415" s="3"/>
      <c r="LJ415" s="3"/>
      <c r="LK415" s="3"/>
      <c r="LL415" s="3"/>
      <c r="LM415" s="3"/>
      <c r="LN415" s="3"/>
      <c r="LO415" s="3"/>
      <c r="LP415" s="3"/>
      <c r="LQ415" s="3"/>
      <c r="LR415" s="3"/>
      <c r="LS415" s="3"/>
      <c r="LT415" s="3"/>
      <c r="LU415" s="3"/>
      <c r="LV415" s="3"/>
      <c r="LW415" s="3"/>
      <c r="LX415" s="3"/>
      <c r="LY415" s="3"/>
      <c r="LZ415" s="3"/>
      <c r="MA415" s="3"/>
      <c r="MB415" s="3"/>
      <c r="MC415" s="3"/>
      <c r="MD415" s="3"/>
      <c r="ME415" s="3"/>
      <c r="MF415" s="3"/>
      <c r="MG415" s="3"/>
      <c r="MH415" s="3"/>
      <c r="MI415" s="3"/>
    </row>
    <row r="416" spans="1:347"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ID416" s="3"/>
      <c r="IE416" s="3"/>
      <c r="IF416" s="3"/>
      <c r="IG416" s="3"/>
      <c r="IH416" s="3"/>
      <c r="II416" s="3"/>
      <c r="IJ416" s="3"/>
      <c r="IK416" s="3"/>
      <c r="IL416" s="3"/>
      <c r="IM416" s="3"/>
      <c r="IN416" s="3"/>
      <c r="IO416" s="3"/>
      <c r="IP416" s="3"/>
      <c r="IQ416" s="3"/>
      <c r="IR416" s="3"/>
      <c r="IS416" s="3"/>
      <c r="IT416" s="3"/>
      <c r="IU416" s="3"/>
      <c r="IV416" s="3"/>
      <c r="IW416" s="3"/>
      <c r="IX416" s="3"/>
      <c r="IY416" s="3"/>
      <c r="IZ416" s="3"/>
      <c r="JA416" s="3"/>
      <c r="JB416" s="3"/>
      <c r="JC416" s="3"/>
      <c r="JD416" s="3"/>
      <c r="JE416" s="3"/>
      <c r="JF416" s="3"/>
      <c r="JG416" s="3"/>
      <c r="JH416" s="3"/>
      <c r="JI416" s="3"/>
      <c r="JJ416" s="3"/>
      <c r="JK416" s="3"/>
      <c r="JL416" s="3"/>
      <c r="JM416" s="3"/>
      <c r="JN416" s="3"/>
      <c r="JO416" s="3"/>
      <c r="JP416" s="3"/>
      <c r="JQ416" s="3"/>
      <c r="JR416" s="3"/>
      <c r="JS416" s="3"/>
      <c r="JT416" s="3"/>
      <c r="JU416" s="3"/>
      <c r="JV416" s="3"/>
      <c r="JW416" s="3"/>
      <c r="JX416" s="3"/>
      <c r="JY416" s="3"/>
      <c r="JZ416" s="3"/>
      <c r="KA416" s="3"/>
      <c r="KB416" s="3"/>
      <c r="KC416" s="3"/>
      <c r="KD416" s="3"/>
      <c r="KE416" s="3"/>
      <c r="KF416" s="3"/>
      <c r="KG416" s="3"/>
      <c r="KH416" s="3"/>
      <c r="KI416" s="3"/>
      <c r="KJ416" s="3"/>
      <c r="KK416" s="3"/>
      <c r="KL416" s="3"/>
      <c r="KM416" s="3"/>
      <c r="KN416" s="3"/>
      <c r="KO416" s="3"/>
      <c r="KP416" s="3"/>
      <c r="KQ416" s="3"/>
      <c r="KR416" s="3"/>
      <c r="KS416" s="3"/>
      <c r="KT416" s="3"/>
      <c r="KU416" s="3"/>
      <c r="KV416" s="3"/>
      <c r="KW416" s="3"/>
      <c r="KX416" s="3"/>
      <c r="KY416" s="3"/>
      <c r="KZ416" s="3"/>
      <c r="LA416" s="3"/>
      <c r="LB416" s="3"/>
      <c r="LC416" s="3"/>
      <c r="LD416" s="3"/>
      <c r="LE416" s="3"/>
      <c r="LF416" s="3"/>
      <c r="LG416" s="3"/>
      <c r="LH416" s="3"/>
      <c r="LI416" s="3"/>
      <c r="LJ416" s="3"/>
      <c r="LK416" s="3"/>
      <c r="LL416" s="3"/>
      <c r="LM416" s="3"/>
      <c r="LN416" s="3"/>
      <c r="LO416" s="3"/>
      <c r="LP416" s="3"/>
      <c r="LQ416" s="3"/>
      <c r="LR416" s="3"/>
      <c r="LS416" s="3"/>
      <c r="LT416" s="3"/>
      <c r="LU416" s="3"/>
      <c r="LV416" s="3"/>
      <c r="LW416" s="3"/>
      <c r="LX416" s="3"/>
      <c r="LY416" s="3"/>
      <c r="LZ416" s="3"/>
      <c r="MA416" s="3"/>
      <c r="MB416" s="3"/>
      <c r="MC416" s="3"/>
      <c r="MD416" s="3"/>
      <c r="ME416" s="3"/>
      <c r="MF416" s="3"/>
      <c r="MG416" s="3"/>
      <c r="MH416" s="3"/>
      <c r="MI416" s="3"/>
    </row>
    <row r="417" spans="1:347"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ID417" s="3"/>
      <c r="IE417" s="3"/>
      <c r="IF417" s="3"/>
      <c r="IG417" s="3"/>
      <c r="IH417" s="3"/>
      <c r="II417" s="3"/>
      <c r="IJ417" s="3"/>
      <c r="IK417" s="3"/>
      <c r="IL417" s="3"/>
      <c r="IM417" s="3"/>
      <c r="IN417" s="3"/>
      <c r="IO417" s="3"/>
      <c r="IP417" s="3"/>
      <c r="IQ417" s="3"/>
      <c r="IR417" s="3"/>
      <c r="IS417" s="3"/>
      <c r="IT417" s="3"/>
      <c r="IU417" s="3"/>
      <c r="IV417" s="3"/>
      <c r="IW417" s="3"/>
      <c r="IX417" s="3"/>
      <c r="IY417" s="3"/>
      <c r="IZ417" s="3"/>
      <c r="JA417" s="3"/>
      <c r="JB417" s="3"/>
      <c r="JC417" s="3"/>
      <c r="JD417" s="3"/>
      <c r="JE417" s="3"/>
      <c r="JF417" s="3"/>
      <c r="JG417" s="3"/>
      <c r="JH417" s="3"/>
      <c r="JI417" s="3"/>
      <c r="JJ417" s="3"/>
      <c r="JK417" s="3"/>
      <c r="JL417" s="3"/>
      <c r="JM417" s="3"/>
      <c r="JN417" s="3"/>
      <c r="JO417" s="3"/>
      <c r="JP417" s="3"/>
      <c r="JQ417" s="3"/>
      <c r="JR417" s="3"/>
      <c r="JS417" s="3"/>
      <c r="JT417" s="3"/>
      <c r="JU417" s="3"/>
      <c r="JV417" s="3"/>
      <c r="JW417" s="3"/>
      <c r="JX417" s="3"/>
      <c r="JY417" s="3"/>
      <c r="JZ417" s="3"/>
      <c r="KA417" s="3"/>
      <c r="KB417" s="3"/>
      <c r="KC417" s="3"/>
      <c r="KD417" s="3"/>
      <c r="KE417" s="3"/>
      <c r="KF417" s="3"/>
      <c r="KG417" s="3"/>
      <c r="KH417" s="3"/>
      <c r="KI417" s="3"/>
      <c r="KJ417" s="3"/>
      <c r="KK417" s="3"/>
      <c r="KL417" s="3"/>
      <c r="KM417" s="3"/>
      <c r="KN417" s="3"/>
      <c r="KO417" s="3"/>
      <c r="KP417" s="3"/>
      <c r="KQ417" s="3"/>
      <c r="KR417" s="3"/>
      <c r="KS417" s="3"/>
      <c r="KT417" s="3"/>
      <c r="KU417" s="3"/>
      <c r="KV417" s="3"/>
      <c r="KW417" s="3"/>
      <c r="KX417" s="3"/>
      <c r="KY417" s="3"/>
      <c r="KZ417" s="3"/>
      <c r="LA417" s="3"/>
      <c r="LB417" s="3"/>
      <c r="LC417" s="3"/>
      <c r="LD417" s="3"/>
      <c r="LE417" s="3"/>
      <c r="LF417" s="3"/>
      <c r="LG417" s="3"/>
      <c r="LH417" s="3"/>
      <c r="LI417" s="3"/>
      <c r="LJ417" s="3"/>
      <c r="LK417" s="3"/>
      <c r="LL417" s="3"/>
      <c r="LM417" s="3"/>
      <c r="LN417" s="3"/>
      <c r="LO417" s="3"/>
      <c r="LP417" s="3"/>
      <c r="LQ417" s="3"/>
      <c r="LR417" s="3"/>
      <c r="LS417" s="3"/>
      <c r="LT417" s="3"/>
      <c r="LU417" s="3"/>
      <c r="LV417" s="3"/>
      <c r="LW417" s="3"/>
      <c r="LX417" s="3"/>
      <c r="LY417" s="3"/>
      <c r="LZ417" s="3"/>
      <c r="MA417" s="3"/>
      <c r="MB417" s="3"/>
      <c r="MC417" s="3"/>
      <c r="MD417" s="3"/>
      <c r="ME417" s="3"/>
      <c r="MF417" s="3"/>
      <c r="MG417" s="3"/>
      <c r="MH417" s="3"/>
      <c r="MI417" s="3"/>
    </row>
    <row r="418" spans="1:347"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ID418" s="3"/>
      <c r="IE418" s="3"/>
      <c r="IF418" s="3"/>
      <c r="IG418" s="3"/>
      <c r="IH418" s="3"/>
      <c r="II418" s="3"/>
      <c r="IJ418" s="3"/>
      <c r="IK418" s="3"/>
      <c r="IL418" s="3"/>
      <c r="IM418" s="3"/>
      <c r="IN418" s="3"/>
      <c r="IO418" s="3"/>
      <c r="IP418" s="3"/>
      <c r="IQ418" s="3"/>
      <c r="IR418" s="3"/>
      <c r="IS418" s="3"/>
      <c r="IT418" s="3"/>
      <c r="IU418" s="3"/>
      <c r="IV418" s="3"/>
      <c r="IW418" s="3"/>
      <c r="IX418" s="3"/>
      <c r="IY418" s="3"/>
      <c r="IZ418" s="3"/>
      <c r="JA418" s="3"/>
      <c r="JB418" s="3"/>
      <c r="JC418" s="3"/>
      <c r="JD418" s="3"/>
      <c r="JE418" s="3"/>
      <c r="JF418" s="3"/>
      <c r="JG418" s="3"/>
      <c r="JH418" s="3"/>
      <c r="JI418" s="3"/>
      <c r="JJ418" s="3"/>
      <c r="JK418" s="3"/>
      <c r="JL418" s="3"/>
      <c r="JM418" s="3"/>
      <c r="JN418" s="3"/>
      <c r="JO418" s="3"/>
      <c r="JP418" s="3"/>
      <c r="JQ418" s="3"/>
      <c r="JR418" s="3"/>
      <c r="JS418" s="3"/>
      <c r="JT418" s="3"/>
      <c r="JU418" s="3"/>
      <c r="JV418" s="3"/>
      <c r="JW418" s="3"/>
      <c r="JX418" s="3"/>
      <c r="JY418" s="3"/>
      <c r="JZ418" s="3"/>
      <c r="KA418" s="3"/>
      <c r="KB418" s="3"/>
      <c r="KC418" s="3"/>
      <c r="KD418" s="3"/>
      <c r="KE418" s="3"/>
      <c r="KF418" s="3"/>
      <c r="KG418" s="3"/>
      <c r="KH418" s="3"/>
      <c r="KI418" s="3"/>
      <c r="KJ418" s="3"/>
      <c r="KK418" s="3"/>
      <c r="KL418" s="3"/>
      <c r="KM418" s="3"/>
      <c r="KN418" s="3"/>
      <c r="KO418" s="3"/>
      <c r="KP418" s="3"/>
      <c r="KQ418" s="3"/>
      <c r="KR418" s="3"/>
      <c r="KS418" s="3"/>
      <c r="KT418" s="3"/>
      <c r="KU418" s="3"/>
      <c r="KV418" s="3"/>
      <c r="KW418" s="3"/>
      <c r="KX418" s="3"/>
      <c r="KY418" s="3"/>
      <c r="KZ418" s="3"/>
      <c r="LA418" s="3"/>
      <c r="LB418" s="3"/>
      <c r="LC418" s="3"/>
      <c r="LD418" s="3"/>
      <c r="LE418" s="3"/>
      <c r="LF418" s="3"/>
      <c r="LG418" s="3"/>
      <c r="LH418" s="3"/>
      <c r="LI418" s="3"/>
      <c r="LJ418" s="3"/>
      <c r="LK418" s="3"/>
      <c r="LL418" s="3"/>
      <c r="LM418" s="3"/>
      <c r="LN418" s="3"/>
      <c r="LO418" s="3"/>
      <c r="LP418" s="3"/>
      <c r="LQ418" s="3"/>
      <c r="LR418" s="3"/>
      <c r="LS418" s="3"/>
      <c r="LT418" s="3"/>
      <c r="LU418" s="3"/>
      <c r="LV418" s="3"/>
      <c r="LW418" s="3"/>
      <c r="LX418" s="3"/>
      <c r="LY418" s="3"/>
      <c r="LZ418" s="3"/>
      <c r="MA418" s="3"/>
      <c r="MB418" s="3"/>
      <c r="MC418" s="3"/>
      <c r="MD418" s="3"/>
      <c r="ME418" s="3"/>
      <c r="MF418" s="3"/>
      <c r="MG418" s="3"/>
      <c r="MH418" s="3"/>
      <c r="MI418" s="3"/>
    </row>
    <row r="419" spans="1:347"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ID419" s="3"/>
      <c r="IE419" s="3"/>
      <c r="IF419" s="3"/>
      <c r="IG419" s="3"/>
      <c r="IH419" s="3"/>
      <c r="II419" s="3"/>
      <c r="IJ419" s="3"/>
      <c r="IK419" s="3"/>
      <c r="IL419" s="3"/>
      <c r="IM419" s="3"/>
      <c r="IN419" s="3"/>
      <c r="IO419" s="3"/>
      <c r="IP419" s="3"/>
      <c r="IQ419" s="3"/>
      <c r="IR419" s="3"/>
      <c r="IS419" s="3"/>
      <c r="IT419" s="3"/>
      <c r="IU419" s="3"/>
      <c r="IV419" s="3"/>
      <c r="IW419" s="3"/>
      <c r="IX419" s="3"/>
      <c r="IY419" s="3"/>
      <c r="IZ419" s="3"/>
      <c r="JA419" s="3"/>
      <c r="JB419" s="3"/>
      <c r="JC419" s="3"/>
      <c r="JD419" s="3"/>
      <c r="JE419" s="3"/>
      <c r="JF419" s="3"/>
      <c r="JG419" s="3"/>
      <c r="JH419" s="3"/>
      <c r="JI419" s="3"/>
      <c r="JJ419" s="3"/>
      <c r="JK419" s="3"/>
      <c r="JL419" s="3"/>
      <c r="JM419" s="3"/>
      <c r="JN419" s="3"/>
      <c r="JO419" s="3"/>
      <c r="JP419" s="3"/>
      <c r="JQ419" s="3"/>
      <c r="JR419" s="3"/>
      <c r="JS419" s="3"/>
      <c r="JT419" s="3"/>
      <c r="JU419" s="3"/>
      <c r="JV419" s="3"/>
      <c r="JW419" s="3"/>
      <c r="JX419" s="3"/>
      <c r="JY419" s="3"/>
      <c r="JZ419" s="3"/>
      <c r="KA419" s="3"/>
      <c r="KB419" s="3"/>
      <c r="KC419" s="3"/>
      <c r="KD419" s="3"/>
      <c r="KE419" s="3"/>
      <c r="KF419" s="3"/>
      <c r="KG419" s="3"/>
      <c r="KH419" s="3"/>
      <c r="KI419" s="3"/>
      <c r="KJ419" s="3"/>
      <c r="KK419" s="3"/>
      <c r="KL419" s="3"/>
      <c r="KM419" s="3"/>
      <c r="KN419" s="3"/>
      <c r="KO419" s="3"/>
      <c r="KP419" s="3"/>
      <c r="KQ419" s="3"/>
      <c r="KR419" s="3"/>
      <c r="KS419" s="3"/>
      <c r="KT419" s="3"/>
      <c r="KU419" s="3"/>
      <c r="KV419" s="3"/>
      <c r="KW419" s="3"/>
      <c r="KX419" s="3"/>
      <c r="KY419" s="3"/>
      <c r="KZ419" s="3"/>
      <c r="LA419" s="3"/>
      <c r="LB419" s="3"/>
      <c r="LC419" s="3"/>
      <c r="LD419" s="3"/>
      <c r="LE419" s="3"/>
      <c r="LF419" s="3"/>
      <c r="LG419" s="3"/>
      <c r="LH419" s="3"/>
      <c r="LI419" s="3"/>
      <c r="LJ419" s="3"/>
      <c r="LK419" s="3"/>
      <c r="LL419" s="3"/>
      <c r="LM419" s="3"/>
      <c r="LN419" s="3"/>
      <c r="LO419" s="3"/>
      <c r="LP419" s="3"/>
      <c r="LQ419" s="3"/>
      <c r="LR419" s="3"/>
      <c r="LS419" s="3"/>
      <c r="LT419" s="3"/>
      <c r="LU419" s="3"/>
      <c r="LV419" s="3"/>
      <c r="LW419" s="3"/>
      <c r="LX419" s="3"/>
      <c r="LY419" s="3"/>
      <c r="LZ419" s="3"/>
      <c r="MA419" s="3"/>
      <c r="MB419" s="3"/>
      <c r="MC419" s="3"/>
      <c r="MD419" s="3"/>
      <c r="ME419" s="3"/>
      <c r="MF419" s="3"/>
      <c r="MG419" s="3"/>
      <c r="MH419" s="3"/>
      <c r="MI419" s="3"/>
    </row>
    <row r="420" spans="1:347"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ID420" s="3"/>
      <c r="IE420" s="3"/>
      <c r="IF420" s="3"/>
      <c r="IG420" s="3"/>
      <c r="IH420" s="3"/>
      <c r="II420" s="3"/>
      <c r="IJ420" s="3"/>
      <c r="IK420" s="3"/>
      <c r="IL420" s="3"/>
      <c r="IM420" s="3"/>
      <c r="IN420" s="3"/>
      <c r="IO420" s="3"/>
      <c r="IP420" s="3"/>
      <c r="IQ420" s="3"/>
      <c r="IR420" s="3"/>
      <c r="IS420" s="3"/>
      <c r="IT420" s="3"/>
      <c r="IU420" s="3"/>
      <c r="IV420" s="3"/>
      <c r="IW420" s="3"/>
      <c r="IX420" s="3"/>
      <c r="IY420" s="3"/>
      <c r="IZ420" s="3"/>
      <c r="JA420" s="3"/>
      <c r="JB420" s="3"/>
      <c r="JC420" s="3"/>
      <c r="JD420" s="3"/>
      <c r="JE420" s="3"/>
      <c r="JF420" s="3"/>
      <c r="JG420" s="3"/>
      <c r="JH420" s="3"/>
      <c r="JI420" s="3"/>
      <c r="JJ420" s="3"/>
      <c r="JK420" s="3"/>
      <c r="JL420" s="3"/>
      <c r="JM420" s="3"/>
      <c r="JN420" s="3"/>
      <c r="JO420" s="3"/>
      <c r="JP420" s="3"/>
      <c r="JQ420" s="3"/>
      <c r="JR420" s="3"/>
      <c r="JS420" s="3"/>
      <c r="JT420" s="3"/>
      <c r="JU420" s="3"/>
      <c r="JV420" s="3"/>
      <c r="JW420" s="3"/>
      <c r="JX420" s="3"/>
      <c r="JY420" s="3"/>
      <c r="JZ420" s="3"/>
      <c r="KA420" s="3"/>
      <c r="KB420" s="3"/>
      <c r="KC420" s="3"/>
      <c r="KD420" s="3"/>
      <c r="KE420" s="3"/>
      <c r="KF420" s="3"/>
      <c r="KG420" s="3"/>
      <c r="KH420" s="3"/>
      <c r="KI420" s="3"/>
      <c r="KJ420" s="3"/>
      <c r="KK420" s="3"/>
      <c r="KL420" s="3"/>
      <c r="KM420" s="3"/>
      <c r="KN420" s="3"/>
      <c r="KO420" s="3"/>
      <c r="KP420" s="3"/>
      <c r="KQ420" s="3"/>
      <c r="KR420" s="3"/>
      <c r="KS420" s="3"/>
      <c r="KT420" s="3"/>
      <c r="KU420" s="3"/>
      <c r="KV420" s="3"/>
      <c r="KW420" s="3"/>
      <c r="KX420" s="3"/>
      <c r="KY420" s="3"/>
      <c r="KZ420" s="3"/>
      <c r="LA420" s="3"/>
      <c r="LB420" s="3"/>
      <c r="LC420" s="3"/>
      <c r="LD420" s="3"/>
      <c r="LE420" s="3"/>
      <c r="LF420" s="3"/>
      <c r="LG420" s="3"/>
      <c r="LH420" s="3"/>
      <c r="LI420" s="3"/>
      <c r="LJ420" s="3"/>
      <c r="LK420" s="3"/>
      <c r="LL420" s="3"/>
      <c r="LM420" s="3"/>
      <c r="LN420" s="3"/>
      <c r="LO420" s="3"/>
      <c r="LP420" s="3"/>
      <c r="LQ420" s="3"/>
      <c r="LR420" s="3"/>
      <c r="LS420" s="3"/>
      <c r="LT420" s="3"/>
      <c r="LU420" s="3"/>
      <c r="LV420" s="3"/>
      <c r="LW420" s="3"/>
      <c r="LX420" s="3"/>
      <c r="LY420" s="3"/>
      <c r="LZ420" s="3"/>
      <c r="MA420" s="3"/>
      <c r="MB420" s="3"/>
      <c r="MC420" s="3"/>
      <c r="MD420" s="3"/>
      <c r="ME420" s="3"/>
      <c r="MF420" s="3"/>
      <c r="MG420" s="3"/>
      <c r="MH420" s="3"/>
      <c r="MI420" s="3"/>
    </row>
    <row r="421" spans="1:347"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ID421" s="3"/>
      <c r="IE421" s="3"/>
      <c r="IF421" s="3"/>
      <c r="IG421" s="3"/>
      <c r="IH421" s="3"/>
      <c r="II421" s="3"/>
      <c r="IJ421" s="3"/>
      <c r="IK421" s="3"/>
      <c r="IL421" s="3"/>
      <c r="IM421" s="3"/>
      <c r="IN421" s="3"/>
      <c r="IO421" s="3"/>
      <c r="IP421" s="3"/>
      <c r="IQ421" s="3"/>
      <c r="IR421" s="3"/>
      <c r="IS421" s="3"/>
      <c r="IT421" s="3"/>
      <c r="IU421" s="3"/>
      <c r="IV421" s="3"/>
      <c r="IW421" s="3"/>
      <c r="IX421" s="3"/>
      <c r="IY421" s="3"/>
      <c r="IZ421" s="3"/>
      <c r="JA421" s="3"/>
      <c r="JB421" s="3"/>
      <c r="JC421" s="3"/>
      <c r="JD421" s="3"/>
      <c r="JE421" s="3"/>
      <c r="JF421" s="3"/>
      <c r="JG421" s="3"/>
      <c r="JH421" s="3"/>
      <c r="JI421" s="3"/>
      <c r="JJ421" s="3"/>
      <c r="JK421" s="3"/>
      <c r="JL421" s="3"/>
      <c r="JM421" s="3"/>
      <c r="JN421" s="3"/>
      <c r="JO421" s="3"/>
      <c r="JP421" s="3"/>
      <c r="JQ421" s="3"/>
      <c r="JR421" s="3"/>
      <c r="JS421" s="3"/>
      <c r="JT421" s="3"/>
      <c r="JU421" s="3"/>
      <c r="JV421" s="3"/>
      <c r="JW421" s="3"/>
      <c r="JX421" s="3"/>
      <c r="JY421" s="3"/>
      <c r="JZ421" s="3"/>
      <c r="KA421" s="3"/>
      <c r="KB421" s="3"/>
      <c r="KC421" s="3"/>
      <c r="KD421" s="3"/>
      <c r="KE421" s="3"/>
      <c r="KF421" s="3"/>
      <c r="KG421" s="3"/>
      <c r="KH421" s="3"/>
      <c r="KI421" s="3"/>
      <c r="KJ421" s="3"/>
      <c r="KK421" s="3"/>
      <c r="KL421" s="3"/>
      <c r="KM421" s="3"/>
      <c r="KN421" s="3"/>
      <c r="KO421" s="3"/>
      <c r="KP421" s="3"/>
      <c r="KQ421" s="3"/>
      <c r="KR421" s="3"/>
      <c r="KS421" s="3"/>
      <c r="KT421" s="3"/>
      <c r="KU421" s="3"/>
      <c r="KV421" s="3"/>
      <c r="KW421" s="3"/>
      <c r="KX421" s="3"/>
      <c r="KY421" s="3"/>
      <c r="KZ421" s="3"/>
      <c r="LA421" s="3"/>
      <c r="LB421" s="3"/>
      <c r="LC421" s="3"/>
      <c r="LD421" s="3"/>
      <c r="LE421" s="3"/>
      <c r="LF421" s="3"/>
      <c r="LG421" s="3"/>
      <c r="LH421" s="3"/>
      <c r="LI421" s="3"/>
      <c r="LJ421" s="3"/>
      <c r="LK421" s="3"/>
      <c r="LL421" s="3"/>
      <c r="LM421" s="3"/>
      <c r="LN421" s="3"/>
      <c r="LO421" s="3"/>
      <c r="LP421" s="3"/>
      <c r="LQ421" s="3"/>
      <c r="LR421" s="3"/>
      <c r="LS421" s="3"/>
      <c r="LT421" s="3"/>
      <c r="LU421" s="3"/>
      <c r="LV421" s="3"/>
      <c r="LW421" s="3"/>
      <c r="LX421" s="3"/>
      <c r="LY421" s="3"/>
      <c r="LZ421" s="3"/>
      <c r="MA421" s="3"/>
      <c r="MB421" s="3"/>
      <c r="MC421" s="3"/>
      <c r="MD421" s="3"/>
      <c r="ME421" s="3"/>
      <c r="MF421" s="3"/>
      <c r="MG421" s="3"/>
      <c r="MH421" s="3"/>
      <c r="MI421" s="3"/>
    </row>
    <row r="422" spans="1:347"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ID422" s="3"/>
      <c r="IE422" s="3"/>
      <c r="IF422" s="3"/>
      <c r="IG422" s="3"/>
      <c r="IH422" s="3"/>
      <c r="II422" s="3"/>
      <c r="IJ422" s="3"/>
      <c r="IK422" s="3"/>
      <c r="IL422" s="3"/>
      <c r="IM422" s="3"/>
      <c r="IN422" s="3"/>
      <c r="IO422" s="3"/>
      <c r="IP422" s="3"/>
      <c r="IQ422" s="3"/>
      <c r="IR422" s="3"/>
      <c r="IS422" s="3"/>
      <c r="IT422" s="3"/>
      <c r="IU422" s="3"/>
      <c r="IV422" s="3"/>
      <c r="IW422" s="3"/>
      <c r="IX422" s="3"/>
      <c r="IY422" s="3"/>
      <c r="IZ422" s="3"/>
      <c r="JA422" s="3"/>
      <c r="JB422" s="3"/>
      <c r="JC422" s="3"/>
      <c r="JD422" s="3"/>
      <c r="JE422" s="3"/>
      <c r="JF422" s="3"/>
      <c r="JG422" s="3"/>
      <c r="JH422" s="3"/>
      <c r="JI422" s="3"/>
      <c r="JJ422" s="3"/>
      <c r="JK422" s="3"/>
      <c r="JL422" s="3"/>
      <c r="JM422" s="3"/>
      <c r="JN422" s="3"/>
      <c r="JO422" s="3"/>
      <c r="JP422" s="3"/>
      <c r="JQ422" s="3"/>
      <c r="JR422" s="3"/>
      <c r="JS422" s="3"/>
      <c r="JT422" s="3"/>
      <c r="JU422" s="3"/>
      <c r="JV422" s="3"/>
      <c r="JW422" s="3"/>
      <c r="JX422" s="3"/>
      <c r="JY422" s="3"/>
      <c r="JZ422" s="3"/>
      <c r="KA422" s="3"/>
      <c r="KB422" s="3"/>
      <c r="KC422" s="3"/>
      <c r="KD422" s="3"/>
      <c r="KE422" s="3"/>
      <c r="KF422" s="3"/>
      <c r="KG422" s="3"/>
      <c r="KH422" s="3"/>
      <c r="KI422" s="3"/>
      <c r="KJ422" s="3"/>
      <c r="KK422" s="3"/>
      <c r="KL422" s="3"/>
      <c r="KM422" s="3"/>
      <c r="KN422" s="3"/>
      <c r="KO422" s="3"/>
      <c r="KP422" s="3"/>
      <c r="KQ422" s="3"/>
      <c r="KR422" s="3"/>
      <c r="KS422" s="3"/>
      <c r="KT422" s="3"/>
      <c r="KU422" s="3"/>
      <c r="KV422" s="3"/>
      <c r="KW422" s="3"/>
      <c r="KX422" s="3"/>
      <c r="KY422" s="3"/>
      <c r="KZ422" s="3"/>
      <c r="LA422" s="3"/>
      <c r="LB422" s="3"/>
      <c r="LC422" s="3"/>
      <c r="LD422" s="3"/>
      <c r="LE422" s="3"/>
      <c r="LF422" s="3"/>
      <c r="LG422" s="3"/>
      <c r="LH422" s="3"/>
      <c r="LI422" s="3"/>
      <c r="LJ422" s="3"/>
      <c r="LK422" s="3"/>
      <c r="LL422" s="3"/>
      <c r="LM422" s="3"/>
      <c r="LN422" s="3"/>
      <c r="LO422" s="3"/>
      <c r="LP422" s="3"/>
      <c r="LQ422" s="3"/>
      <c r="LR422" s="3"/>
      <c r="LS422" s="3"/>
      <c r="LT422" s="3"/>
      <c r="LU422" s="3"/>
      <c r="LV422" s="3"/>
      <c r="LW422" s="3"/>
      <c r="LX422" s="3"/>
      <c r="LY422" s="3"/>
      <c r="LZ422" s="3"/>
      <c r="MA422" s="3"/>
      <c r="MB422" s="3"/>
      <c r="MC422" s="3"/>
      <c r="MD422" s="3"/>
      <c r="ME422" s="3"/>
      <c r="MF422" s="3"/>
      <c r="MG422" s="3"/>
      <c r="MH422" s="3"/>
      <c r="MI422" s="3"/>
    </row>
    <row r="423" spans="1:347"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ID423" s="3"/>
      <c r="IE423" s="3"/>
      <c r="IF423" s="3"/>
      <c r="IG423" s="3"/>
      <c r="IH423" s="3"/>
      <c r="II423" s="3"/>
      <c r="IJ423" s="3"/>
      <c r="IK423" s="3"/>
      <c r="IL423" s="3"/>
      <c r="IM423" s="3"/>
      <c r="IN423" s="3"/>
      <c r="IO423" s="3"/>
      <c r="IP423" s="3"/>
      <c r="IQ423" s="3"/>
      <c r="IR423" s="3"/>
      <c r="IS423" s="3"/>
      <c r="IT423" s="3"/>
      <c r="IU423" s="3"/>
      <c r="IV423" s="3"/>
      <c r="IW423" s="3"/>
      <c r="IX423" s="3"/>
      <c r="IY423" s="3"/>
      <c r="IZ423" s="3"/>
      <c r="JA423" s="3"/>
      <c r="JB423" s="3"/>
      <c r="JC423" s="3"/>
      <c r="JD423" s="3"/>
      <c r="JE423" s="3"/>
      <c r="JF423" s="3"/>
      <c r="JG423" s="3"/>
      <c r="JH423" s="3"/>
      <c r="JI423" s="3"/>
      <c r="JJ423" s="3"/>
      <c r="JK423" s="3"/>
      <c r="JL423" s="3"/>
      <c r="JM423" s="3"/>
      <c r="JN423" s="3"/>
      <c r="JO423" s="3"/>
      <c r="JP423" s="3"/>
      <c r="JQ423" s="3"/>
      <c r="JR423" s="3"/>
      <c r="JS423" s="3"/>
      <c r="JT423" s="3"/>
      <c r="JU423" s="3"/>
      <c r="JV423" s="3"/>
      <c r="JW423" s="3"/>
      <c r="JX423" s="3"/>
      <c r="JY423" s="3"/>
      <c r="JZ423" s="3"/>
      <c r="KA423" s="3"/>
      <c r="KB423" s="3"/>
      <c r="KC423" s="3"/>
      <c r="KD423" s="3"/>
      <c r="KE423" s="3"/>
      <c r="KF423" s="3"/>
      <c r="KG423" s="3"/>
      <c r="KH423" s="3"/>
      <c r="KI423" s="3"/>
      <c r="KJ423" s="3"/>
      <c r="KK423" s="3"/>
      <c r="KL423" s="3"/>
      <c r="KM423" s="3"/>
      <c r="KN423" s="3"/>
      <c r="KO423" s="3"/>
      <c r="KP423" s="3"/>
      <c r="KQ423" s="3"/>
      <c r="KR423" s="3"/>
      <c r="KS423" s="3"/>
      <c r="KT423" s="3"/>
      <c r="KU423" s="3"/>
      <c r="KV423" s="3"/>
      <c r="KW423" s="3"/>
      <c r="KX423" s="3"/>
      <c r="KY423" s="3"/>
      <c r="KZ423" s="3"/>
      <c r="LA423" s="3"/>
      <c r="LB423" s="3"/>
      <c r="LC423" s="3"/>
      <c r="LD423" s="3"/>
      <c r="LE423" s="3"/>
      <c r="LF423" s="3"/>
      <c r="LG423" s="3"/>
      <c r="LH423" s="3"/>
      <c r="LI423" s="3"/>
      <c r="LJ423" s="3"/>
      <c r="LK423" s="3"/>
      <c r="LL423" s="3"/>
      <c r="LM423" s="3"/>
      <c r="LN423" s="3"/>
      <c r="LO423" s="3"/>
      <c r="LP423" s="3"/>
      <c r="LQ423" s="3"/>
      <c r="LR423" s="3"/>
      <c r="LS423" s="3"/>
      <c r="LT423" s="3"/>
      <c r="LU423" s="3"/>
      <c r="LV423" s="3"/>
      <c r="LW423" s="3"/>
      <c r="LX423" s="3"/>
      <c r="LY423" s="3"/>
      <c r="LZ423" s="3"/>
      <c r="MA423" s="3"/>
      <c r="MB423" s="3"/>
      <c r="MC423" s="3"/>
      <c r="MD423" s="3"/>
      <c r="ME423" s="3"/>
      <c r="MF423" s="3"/>
      <c r="MG423" s="3"/>
      <c r="MH423" s="3"/>
      <c r="MI423" s="3"/>
    </row>
    <row r="424" spans="1:347"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ID424" s="3"/>
      <c r="IE424" s="3"/>
      <c r="IF424" s="3"/>
      <c r="IG424" s="3"/>
      <c r="IH424" s="3"/>
      <c r="II424" s="3"/>
      <c r="IJ424" s="3"/>
      <c r="IK424" s="3"/>
      <c r="IL424" s="3"/>
      <c r="IM424" s="3"/>
      <c r="IN424" s="3"/>
      <c r="IO424" s="3"/>
      <c r="IP424" s="3"/>
      <c r="IQ424" s="3"/>
      <c r="IR424" s="3"/>
      <c r="IS424" s="3"/>
      <c r="IT424" s="3"/>
      <c r="IU424" s="3"/>
      <c r="IV424" s="3"/>
      <c r="IW424" s="3"/>
      <c r="IX424" s="3"/>
      <c r="IY424" s="3"/>
      <c r="IZ424" s="3"/>
      <c r="JA424" s="3"/>
      <c r="JB424" s="3"/>
      <c r="JC424" s="3"/>
      <c r="JD424" s="3"/>
      <c r="JE424" s="3"/>
      <c r="JF424" s="3"/>
      <c r="JG424" s="3"/>
      <c r="JH424" s="3"/>
      <c r="JI424" s="3"/>
      <c r="JJ424" s="3"/>
      <c r="JK424" s="3"/>
      <c r="JL424" s="3"/>
      <c r="JM424" s="3"/>
      <c r="JN424" s="3"/>
      <c r="JO424" s="3"/>
      <c r="JP424" s="3"/>
      <c r="JQ424" s="3"/>
      <c r="JR424" s="3"/>
      <c r="JS424" s="3"/>
      <c r="JT424" s="3"/>
      <c r="JU424" s="3"/>
      <c r="JV424" s="3"/>
      <c r="JW424" s="3"/>
      <c r="JX424" s="3"/>
      <c r="JY424" s="3"/>
      <c r="JZ424" s="3"/>
      <c r="KA424" s="3"/>
      <c r="KB424" s="3"/>
      <c r="KC424" s="3"/>
      <c r="KD424" s="3"/>
      <c r="KE424" s="3"/>
      <c r="KF424" s="3"/>
      <c r="KG424" s="3"/>
      <c r="KH424" s="3"/>
      <c r="KI424" s="3"/>
      <c r="KJ424" s="3"/>
      <c r="KK424" s="3"/>
      <c r="KL424" s="3"/>
      <c r="KM424" s="3"/>
      <c r="KN424" s="3"/>
      <c r="KO424" s="3"/>
      <c r="KP424" s="3"/>
      <c r="KQ424" s="3"/>
      <c r="KR424" s="3"/>
      <c r="KS424" s="3"/>
      <c r="KT424" s="3"/>
      <c r="KU424" s="3"/>
      <c r="KV424" s="3"/>
      <c r="KW424" s="3"/>
      <c r="KX424" s="3"/>
      <c r="KY424" s="3"/>
      <c r="KZ424" s="3"/>
      <c r="LA424" s="3"/>
      <c r="LB424" s="3"/>
      <c r="LC424" s="3"/>
      <c r="LD424" s="3"/>
      <c r="LE424" s="3"/>
      <c r="LF424" s="3"/>
      <c r="LG424" s="3"/>
      <c r="LH424" s="3"/>
      <c r="LI424" s="3"/>
      <c r="LJ424" s="3"/>
      <c r="LK424" s="3"/>
      <c r="LL424" s="3"/>
      <c r="LM424" s="3"/>
      <c r="LN424" s="3"/>
      <c r="LO424" s="3"/>
      <c r="LP424" s="3"/>
      <c r="LQ424" s="3"/>
      <c r="LR424" s="3"/>
      <c r="LS424" s="3"/>
      <c r="LT424" s="3"/>
      <c r="LU424" s="3"/>
      <c r="LV424" s="3"/>
      <c r="LW424" s="3"/>
      <c r="LX424" s="3"/>
      <c r="LY424" s="3"/>
      <c r="LZ424" s="3"/>
      <c r="MA424" s="3"/>
      <c r="MB424" s="3"/>
      <c r="MC424" s="3"/>
      <c r="MD424" s="3"/>
      <c r="ME424" s="3"/>
      <c r="MF424" s="3"/>
      <c r="MG424" s="3"/>
      <c r="MH424" s="3"/>
      <c r="MI424" s="3"/>
    </row>
    <row r="425" spans="1:347"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c r="LV425" s="3"/>
      <c r="LW425" s="3"/>
      <c r="LX425" s="3"/>
      <c r="LY425" s="3"/>
      <c r="LZ425" s="3"/>
      <c r="MA425" s="3"/>
      <c r="MB425" s="3"/>
      <c r="MC425" s="3"/>
      <c r="MD425" s="3"/>
      <c r="ME425" s="3"/>
      <c r="MF425" s="3"/>
      <c r="MG425" s="3"/>
      <c r="MH425" s="3"/>
      <c r="MI425" s="3"/>
    </row>
    <row r="426" spans="1:347"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c r="JR426" s="3"/>
      <c r="JS426" s="3"/>
      <c r="JT426" s="3"/>
      <c r="JU426" s="3"/>
      <c r="JV426" s="3"/>
      <c r="JW426" s="3"/>
      <c r="JX426" s="3"/>
      <c r="JY426" s="3"/>
      <c r="JZ426" s="3"/>
      <c r="KA426" s="3"/>
      <c r="KB426" s="3"/>
      <c r="KC426" s="3"/>
      <c r="KD426" s="3"/>
      <c r="KE426" s="3"/>
      <c r="KF426" s="3"/>
      <c r="KG426" s="3"/>
      <c r="KH426" s="3"/>
      <c r="KI426" s="3"/>
      <c r="KJ426" s="3"/>
      <c r="KK426" s="3"/>
      <c r="KL426" s="3"/>
      <c r="KM426" s="3"/>
      <c r="KN426" s="3"/>
      <c r="KO426" s="3"/>
      <c r="KP426" s="3"/>
      <c r="KQ426" s="3"/>
      <c r="KR426" s="3"/>
      <c r="KS426" s="3"/>
      <c r="KT426" s="3"/>
      <c r="KU426" s="3"/>
      <c r="KV426" s="3"/>
      <c r="KW426" s="3"/>
      <c r="KX426" s="3"/>
      <c r="KY426" s="3"/>
      <c r="KZ426" s="3"/>
      <c r="LA426" s="3"/>
      <c r="LB426" s="3"/>
      <c r="LC426" s="3"/>
      <c r="LD426" s="3"/>
      <c r="LE426" s="3"/>
      <c r="LF426" s="3"/>
      <c r="LG426" s="3"/>
      <c r="LH426" s="3"/>
      <c r="LI426" s="3"/>
      <c r="LJ426" s="3"/>
      <c r="LK426" s="3"/>
      <c r="LL426" s="3"/>
      <c r="LM426" s="3"/>
      <c r="LN426" s="3"/>
      <c r="LO426" s="3"/>
      <c r="LP426" s="3"/>
      <c r="LQ426" s="3"/>
      <c r="LR426" s="3"/>
      <c r="LS426" s="3"/>
      <c r="LT426" s="3"/>
      <c r="LU426" s="3"/>
      <c r="LV426" s="3"/>
      <c r="LW426" s="3"/>
      <c r="LX426" s="3"/>
      <c r="LY426" s="3"/>
      <c r="LZ426" s="3"/>
      <c r="MA426" s="3"/>
      <c r="MB426" s="3"/>
      <c r="MC426" s="3"/>
      <c r="MD426" s="3"/>
      <c r="ME426" s="3"/>
      <c r="MF426" s="3"/>
      <c r="MG426" s="3"/>
      <c r="MH426" s="3"/>
      <c r="MI426" s="3"/>
    </row>
    <row r="427" spans="1:347"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c r="JR427" s="3"/>
      <c r="JS427" s="3"/>
      <c r="JT427" s="3"/>
      <c r="JU427" s="3"/>
      <c r="JV427" s="3"/>
      <c r="JW427" s="3"/>
      <c r="JX427" s="3"/>
      <c r="JY427" s="3"/>
      <c r="JZ427" s="3"/>
      <c r="KA427" s="3"/>
      <c r="KB427" s="3"/>
      <c r="KC427" s="3"/>
      <c r="KD427" s="3"/>
      <c r="KE427" s="3"/>
      <c r="KF427" s="3"/>
      <c r="KG427" s="3"/>
      <c r="KH427" s="3"/>
      <c r="KI427" s="3"/>
      <c r="KJ427" s="3"/>
      <c r="KK427" s="3"/>
      <c r="KL427" s="3"/>
      <c r="KM427" s="3"/>
      <c r="KN427" s="3"/>
      <c r="KO427" s="3"/>
      <c r="KP427" s="3"/>
      <c r="KQ427" s="3"/>
      <c r="KR427" s="3"/>
      <c r="KS427" s="3"/>
      <c r="KT427" s="3"/>
      <c r="KU427" s="3"/>
      <c r="KV427" s="3"/>
      <c r="KW427" s="3"/>
      <c r="KX427" s="3"/>
      <c r="KY427" s="3"/>
      <c r="KZ427" s="3"/>
      <c r="LA427" s="3"/>
      <c r="LB427" s="3"/>
      <c r="LC427" s="3"/>
      <c r="LD427" s="3"/>
      <c r="LE427" s="3"/>
      <c r="LF427" s="3"/>
      <c r="LG427" s="3"/>
      <c r="LH427" s="3"/>
      <c r="LI427" s="3"/>
      <c r="LJ427" s="3"/>
      <c r="LK427" s="3"/>
      <c r="LL427" s="3"/>
      <c r="LM427" s="3"/>
      <c r="LN427" s="3"/>
      <c r="LO427" s="3"/>
      <c r="LP427" s="3"/>
      <c r="LQ427" s="3"/>
      <c r="LR427" s="3"/>
      <c r="LS427" s="3"/>
      <c r="LT427" s="3"/>
      <c r="LU427" s="3"/>
      <c r="LV427" s="3"/>
      <c r="LW427" s="3"/>
      <c r="LX427" s="3"/>
      <c r="LY427" s="3"/>
      <c r="LZ427" s="3"/>
      <c r="MA427" s="3"/>
      <c r="MB427" s="3"/>
      <c r="MC427" s="3"/>
      <c r="MD427" s="3"/>
      <c r="ME427" s="3"/>
      <c r="MF427" s="3"/>
      <c r="MG427" s="3"/>
      <c r="MH427" s="3"/>
      <c r="MI427" s="3"/>
    </row>
    <row r="428" spans="1:347"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ID428" s="3"/>
      <c r="IE428" s="3"/>
      <c r="IF428" s="3"/>
      <c r="IG428" s="3"/>
      <c r="IH428" s="3"/>
      <c r="II428" s="3"/>
      <c r="IJ428" s="3"/>
      <c r="IK428" s="3"/>
      <c r="IL428" s="3"/>
      <c r="IM428" s="3"/>
      <c r="IN428" s="3"/>
      <c r="IO428" s="3"/>
      <c r="IP428" s="3"/>
      <c r="IQ428" s="3"/>
      <c r="IR428" s="3"/>
      <c r="IS428" s="3"/>
      <c r="IT428" s="3"/>
      <c r="IU428" s="3"/>
      <c r="IV428" s="3"/>
      <c r="IW428" s="3"/>
      <c r="IX428" s="3"/>
      <c r="IY428" s="3"/>
      <c r="IZ428" s="3"/>
      <c r="JA428" s="3"/>
      <c r="JB428" s="3"/>
      <c r="JC428" s="3"/>
      <c r="JD428" s="3"/>
      <c r="JE428" s="3"/>
      <c r="JF428" s="3"/>
      <c r="JG428" s="3"/>
      <c r="JH428" s="3"/>
      <c r="JI428" s="3"/>
      <c r="JJ428" s="3"/>
      <c r="JK428" s="3"/>
      <c r="JL428" s="3"/>
      <c r="JM428" s="3"/>
      <c r="JN428" s="3"/>
      <c r="JO428" s="3"/>
      <c r="JP428" s="3"/>
      <c r="JQ428" s="3"/>
      <c r="JR428" s="3"/>
      <c r="JS428" s="3"/>
      <c r="JT428" s="3"/>
      <c r="JU428" s="3"/>
      <c r="JV428" s="3"/>
      <c r="JW428" s="3"/>
      <c r="JX428" s="3"/>
      <c r="JY428" s="3"/>
      <c r="JZ428" s="3"/>
      <c r="KA428" s="3"/>
      <c r="KB428" s="3"/>
      <c r="KC428" s="3"/>
      <c r="KD428" s="3"/>
      <c r="KE428" s="3"/>
      <c r="KF428" s="3"/>
      <c r="KG428" s="3"/>
      <c r="KH428" s="3"/>
      <c r="KI428" s="3"/>
      <c r="KJ428" s="3"/>
      <c r="KK428" s="3"/>
      <c r="KL428" s="3"/>
      <c r="KM428" s="3"/>
      <c r="KN428" s="3"/>
      <c r="KO428" s="3"/>
      <c r="KP428" s="3"/>
      <c r="KQ428" s="3"/>
      <c r="KR428" s="3"/>
      <c r="KS428" s="3"/>
      <c r="KT428" s="3"/>
      <c r="KU428" s="3"/>
      <c r="KV428" s="3"/>
      <c r="KW428" s="3"/>
      <c r="KX428" s="3"/>
      <c r="KY428" s="3"/>
      <c r="KZ428" s="3"/>
      <c r="LA428" s="3"/>
      <c r="LB428" s="3"/>
      <c r="LC428" s="3"/>
      <c r="LD428" s="3"/>
      <c r="LE428" s="3"/>
      <c r="LF428" s="3"/>
      <c r="LG428" s="3"/>
      <c r="LH428" s="3"/>
      <c r="LI428" s="3"/>
      <c r="LJ428" s="3"/>
      <c r="LK428" s="3"/>
      <c r="LL428" s="3"/>
      <c r="LM428" s="3"/>
      <c r="LN428" s="3"/>
      <c r="LO428" s="3"/>
      <c r="LP428" s="3"/>
      <c r="LQ428" s="3"/>
      <c r="LR428" s="3"/>
      <c r="LS428" s="3"/>
      <c r="LT428" s="3"/>
      <c r="LU428" s="3"/>
      <c r="LV428" s="3"/>
      <c r="LW428" s="3"/>
      <c r="LX428" s="3"/>
      <c r="LY428" s="3"/>
      <c r="LZ428" s="3"/>
      <c r="MA428" s="3"/>
      <c r="MB428" s="3"/>
      <c r="MC428" s="3"/>
      <c r="MD428" s="3"/>
      <c r="ME428" s="3"/>
      <c r="MF428" s="3"/>
      <c r="MG428" s="3"/>
      <c r="MH428" s="3"/>
      <c r="MI428" s="3"/>
    </row>
    <row r="429" spans="1:347"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c r="JR429" s="3"/>
      <c r="JS429" s="3"/>
      <c r="JT429" s="3"/>
      <c r="JU429" s="3"/>
      <c r="JV429" s="3"/>
      <c r="JW429" s="3"/>
      <c r="JX429" s="3"/>
      <c r="JY429" s="3"/>
      <c r="JZ429" s="3"/>
      <c r="KA429" s="3"/>
      <c r="KB429" s="3"/>
      <c r="KC429" s="3"/>
      <c r="KD429" s="3"/>
      <c r="KE429" s="3"/>
      <c r="KF429" s="3"/>
      <c r="KG429" s="3"/>
      <c r="KH429" s="3"/>
      <c r="KI429" s="3"/>
      <c r="KJ429" s="3"/>
      <c r="KK429" s="3"/>
      <c r="KL429" s="3"/>
      <c r="KM429" s="3"/>
      <c r="KN429" s="3"/>
      <c r="KO429" s="3"/>
      <c r="KP429" s="3"/>
      <c r="KQ429" s="3"/>
      <c r="KR429" s="3"/>
      <c r="KS429" s="3"/>
      <c r="KT429" s="3"/>
      <c r="KU429" s="3"/>
      <c r="KV429" s="3"/>
      <c r="KW429" s="3"/>
      <c r="KX429" s="3"/>
      <c r="KY429" s="3"/>
      <c r="KZ429" s="3"/>
      <c r="LA429" s="3"/>
      <c r="LB429" s="3"/>
      <c r="LC429" s="3"/>
      <c r="LD429" s="3"/>
      <c r="LE429" s="3"/>
      <c r="LF429" s="3"/>
      <c r="LG429" s="3"/>
      <c r="LH429" s="3"/>
      <c r="LI429" s="3"/>
      <c r="LJ429" s="3"/>
      <c r="LK429" s="3"/>
      <c r="LL429" s="3"/>
      <c r="LM429" s="3"/>
      <c r="LN429" s="3"/>
      <c r="LO429" s="3"/>
      <c r="LP429" s="3"/>
      <c r="LQ429" s="3"/>
      <c r="LR429" s="3"/>
      <c r="LS429" s="3"/>
      <c r="LT429" s="3"/>
      <c r="LU429" s="3"/>
      <c r="LV429" s="3"/>
      <c r="LW429" s="3"/>
      <c r="LX429" s="3"/>
      <c r="LY429" s="3"/>
      <c r="LZ429" s="3"/>
      <c r="MA429" s="3"/>
      <c r="MB429" s="3"/>
      <c r="MC429" s="3"/>
      <c r="MD429" s="3"/>
      <c r="ME429" s="3"/>
      <c r="MF429" s="3"/>
      <c r="MG429" s="3"/>
      <c r="MH429" s="3"/>
      <c r="MI429" s="3"/>
    </row>
    <row r="430" spans="1:347"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c r="JR430" s="3"/>
      <c r="JS430" s="3"/>
      <c r="JT430" s="3"/>
      <c r="JU430" s="3"/>
      <c r="JV430" s="3"/>
      <c r="JW430" s="3"/>
      <c r="JX430" s="3"/>
      <c r="JY430" s="3"/>
      <c r="JZ430" s="3"/>
      <c r="KA430" s="3"/>
      <c r="KB430" s="3"/>
      <c r="KC430" s="3"/>
      <c r="KD430" s="3"/>
      <c r="KE430" s="3"/>
      <c r="KF430" s="3"/>
      <c r="KG430" s="3"/>
      <c r="KH430" s="3"/>
      <c r="KI430" s="3"/>
      <c r="KJ430" s="3"/>
      <c r="KK430" s="3"/>
      <c r="KL430" s="3"/>
      <c r="KM430" s="3"/>
      <c r="KN430" s="3"/>
      <c r="KO430" s="3"/>
      <c r="KP430" s="3"/>
      <c r="KQ430" s="3"/>
      <c r="KR430" s="3"/>
      <c r="KS430" s="3"/>
      <c r="KT430" s="3"/>
      <c r="KU430" s="3"/>
      <c r="KV430" s="3"/>
      <c r="KW430" s="3"/>
      <c r="KX430" s="3"/>
      <c r="KY430" s="3"/>
      <c r="KZ430" s="3"/>
      <c r="LA430" s="3"/>
      <c r="LB430" s="3"/>
      <c r="LC430" s="3"/>
      <c r="LD430" s="3"/>
      <c r="LE430" s="3"/>
      <c r="LF430" s="3"/>
      <c r="LG430" s="3"/>
      <c r="LH430" s="3"/>
      <c r="LI430" s="3"/>
      <c r="LJ430" s="3"/>
      <c r="LK430" s="3"/>
      <c r="LL430" s="3"/>
      <c r="LM430" s="3"/>
      <c r="LN430" s="3"/>
      <c r="LO430" s="3"/>
      <c r="LP430" s="3"/>
      <c r="LQ430" s="3"/>
      <c r="LR430" s="3"/>
      <c r="LS430" s="3"/>
      <c r="LT430" s="3"/>
      <c r="LU430" s="3"/>
      <c r="LV430" s="3"/>
      <c r="LW430" s="3"/>
      <c r="LX430" s="3"/>
      <c r="LY430" s="3"/>
      <c r="LZ430" s="3"/>
      <c r="MA430" s="3"/>
      <c r="MB430" s="3"/>
      <c r="MC430" s="3"/>
      <c r="MD430" s="3"/>
      <c r="ME430" s="3"/>
      <c r="MF430" s="3"/>
      <c r="MG430" s="3"/>
      <c r="MH430" s="3"/>
      <c r="MI430" s="3"/>
    </row>
    <row r="431" spans="1:347"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ID431" s="3"/>
      <c r="IE431" s="3"/>
      <c r="IF431" s="3"/>
      <c r="IG431" s="3"/>
      <c r="IH431" s="3"/>
      <c r="II431" s="3"/>
      <c r="IJ431" s="3"/>
      <c r="IK431" s="3"/>
      <c r="IL431" s="3"/>
      <c r="IM431" s="3"/>
      <c r="IN431" s="3"/>
      <c r="IO431" s="3"/>
      <c r="IP431" s="3"/>
      <c r="IQ431" s="3"/>
      <c r="IR431" s="3"/>
      <c r="IS431" s="3"/>
      <c r="IT431" s="3"/>
      <c r="IU431" s="3"/>
      <c r="IV431" s="3"/>
      <c r="IW431" s="3"/>
      <c r="IX431" s="3"/>
      <c r="IY431" s="3"/>
      <c r="IZ431" s="3"/>
      <c r="JA431" s="3"/>
      <c r="JB431" s="3"/>
      <c r="JC431" s="3"/>
      <c r="JD431" s="3"/>
      <c r="JE431" s="3"/>
      <c r="JF431" s="3"/>
      <c r="JG431" s="3"/>
      <c r="JH431" s="3"/>
      <c r="JI431" s="3"/>
      <c r="JJ431" s="3"/>
      <c r="JK431" s="3"/>
      <c r="JL431" s="3"/>
      <c r="JM431" s="3"/>
      <c r="JN431" s="3"/>
      <c r="JO431" s="3"/>
      <c r="JP431" s="3"/>
      <c r="JQ431" s="3"/>
      <c r="JR431" s="3"/>
      <c r="JS431" s="3"/>
      <c r="JT431" s="3"/>
      <c r="JU431" s="3"/>
      <c r="JV431" s="3"/>
      <c r="JW431" s="3"/>
      <c r="JX431" s="3"/>
      <c r="JY431" s="3"/>
      <c r="JZ431" s="3"/>
      <c r="KA431" s="3"/>
      <c r="KB431" s="3"/>
      <c r="KC431" s="3"/>
      <c r="KD431" s="3"/>
      <c r="KE431" s="3"/>
      <c r="KF431" s="3"/>
      <c r="KG431" s="3"/>
      <c r="KH431" s="3"/>
      <c r="KI431" s="3"/>
      <c r="KJ431" s="3"/>
      <c r="KK431" s="3"/>
      <c r="KL431" s="3"/>
      <c r="KM431" s="3"/>
      <c r="KN431" s="3"/>
      <c r="KO431" s="3"/>
      <c r="KP431" s="3"/>
      <c r="KQ431" s="3"/>
      <c r="KR431" s="3"/>
      <c r="KS431" s="3"/>
      <c r="KT431" s="3"/>
      <c r="KU431" s="3"/>
      <c r="KV431" s="3"/>
      <c r="KW431" s="3"/>
      <c r="KX431" s="3"/>
      <c r="KY431" s="3"/>
      <c r="KZ431" s="3"/>
      <c r="LA431" s="3"/>
      <c r="LB431" s="3"/>
      <c r="LC431" s="3"/>
      <c r="LD431" s="3"/>
      <c r="LE431" s="3"/>
      <c r="LF431" s="3"/>
      <c r="LG431" s="3"/>
      <c r="LH431" s="3"/>
      <c r="LI431" s="3"/>
      <c r="LJ431" s="3"/>
      <c r="LK431" s="3"/>
      <c r="LL431" s="3"/>
      <c r="LM431" s="3"/>
      <c r="LN431" s="3"/>
      <c r="LO431" s="3"/>
      <c r="LP431" s="3"/>
      <c r="LQ431" s="3"/>
      <c r="LR431" s="3"/>
      <c r="LS431" s="3"/>
      <c r="LT431" s="3"/>
      <c r="LU431" s="3"/>
      <c r="LV431" s="3"/>
      <c r="LW431" s="3"/>
      <c r="LX431" s="3"/>
      <c r="LY431" s="3"/>
      <c r="LZ431" s="3"/>
      <c r="MA431" s="3"/>
      <c r="MB431" s="3"/>
      <c r="MC431" s="3"/>
      <c r="MD431" s="3"/>
      <c r="ME431" s="3"/>
      <c r="MF431" s="3"/>
      <c r="MG431" s="3"/>
      <c r="MH431" s="3"/>
      <c r="MI431" s="3"/>
    </row>
    <row r="432" spans="1:347"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ID432" s="3"/>
      <c r="IE432" s="3"/>
      <c r="IF432" s="3"/>
      <c r="IG432" s="3"/>
      <c r="IH432" s="3"/>
      <c r="II432" s="3"/>
      <c r="IJ432" s="3"/>
      <c r="IK432" s="3"/>
      <c r="IL432" s="3"/>
      <c r="IM432" s="3"/>
      <c r="IN432" s="3"/>
      <c r="IO432" s="3"/>
      <c r="IP432" s="3"/>
      <c r="IQ432" s="3"/>
      <c r="IR432" s="3"/>
      <c r="IS432" s="3"/>
      <c r="IT432" s="3"/>
      <c r="IU432" s="3"/>
      <c r="IV432" s="3"/>
      <c r="IW432" s="3"/>
      <c r="IX432" s="3"/>
      <c r="IY432" s="3"/>
      <c r="IZ432" s="3"/>
      <c r="JA432" s="3"/>
      <c r="JB432" s="3"/>
      <c r="JC432" s="3"/>
      <c r="JD432" s="3"/>
      <c r="JE432" s="3"/>
      <c r="JF432" s="3"/>
      <c r="JG432" s="3"/>
      <c r="JH432" s="3"/>
      <c r="JI432" s="3"/>
      <c r="JJ432" s="3"/>
      <c r="JK432" s="3"/>
      <c r="JL432" s="3"/>
      <c r="JM432" s="3"/>
      <c r="JN432" s="3"/>
      <c r="JO432" s="3"/>
      <c r="JP432" s="3"/>
      <c r="JQ432" s="3"/>
      <c r="JR432" s="3"/>
      <c r="JS432" s="3"/>
      <c r="JT432" s="3"/>
      <c r="JU432" s="3"/>
      <c r="JV432" s="3"/>
      <c r="JW432" s="3"/>
      <c r="JX432" s="3"/>
      <c r="JY432" s="3"/>
      <c r="JZ432" s="3"/>
      <c r="KA432" s="3"/>
      <c r="KB432" s="3"/>
      <c r="KC432" s="3"/>
      <c r="KD432" s="3"/>
      <c r="KE432" s="3"/>
      <c r="KF432" s="3"/>
      <c r="KG432" s="3"/>
      <c r="KH432" s="3"/>
      <c r="KI432" s="3"/>
      <c r="KJ432" s="3"/>
      <c r="KK432" s="3"/>
      <c r="KL432" s="3"/>
      <c r="KM432" s="3"/>
      <c r="KN432" s="3"/>
      <c r="KO432" s="3"/>
      <c r="KP432" s="3"/>
      <c r="KQ432" s="3"/>
      <c r="KR432" s="3"/>
      <c r="KS432" s="3"/>
      <c r="KT432" s="3"/>
      <c r="KU432" s="3"/>
      <c r="KV432" s="3"/>
      <c r="KW432" s="3"/>
      <c r="KX432" s="3"/>
      <c r="KY432" s="3"/>
      <c r="KZ432" s="3"/>
      <c r="LA432" s="3"/>
      <c r="LB432" s="3"/>
      <c r="LC432" s="3"/>
      <c r="LD432" s="3"/>
      <c r="LE432" s="3"/>
      <c r="LF432" s="3"/>
      <c r="LG432" s="3"/>
      <c r="LH432" s="3"/>
      <c r="LI432" s="3"/>
      <c r="LJ432" s="3"/>
      <c r="LK432" s="3"/>
      <c r="LL432" s="3"/>
      <c r="LM432" s="3"/>
      <c r="LN432" s="3"/>
      <c r="LO432" s="3"/>
      <c r="LP432" s="3"/>
      <c r="LQ432" s="3"/>
      <c r="LR432" s="3"/>
      <c r="LS432" s="3"/>
      <c r="LT432" s="3"/>
      <c r="LU432" s="3"/>
      <c r="LV432" s="3"/>
      <c r="LW432" s="3"/>
      <c r="LX432" s="3"/>
      <c r="LY432" s="3"/>
      <c r="LZ432" s="3"/>
      <c r="MA432" s="3"/>
      <c r="MB432" s="3"/>
      <c r="MC432" s="3"/>
      <c r="MD432" s="3"/>
      <c r="ME432" s="3"/>
      <c r="MF432" s="3"/>
      <c r="MG432" s="3"/>
      <c r="MH432" s="3"/>
      <c r="MI432" s="3"/>
    </row>
    <row r="433" spans="1:347"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ID433" s="3"/>
      <c r="IE433" s="3"/>
      <c r="IF433" s="3"/>
      <c r="IG433" s="3"/>
      <c r="IH433" s="3"/>
      <c r="II433" s="3"/>
      <c r="IJ433" s="3"/>
      <c r="IK433" s="3"/>
      <c r="IL433" s="3"/>
      <c r="IM433" s="3"/>
      <c r="IN433" s="3"/>
      <c r="IO433" s="3"/>
      <c r="IP433" s="3"/>
      <c r="IQ433" s="3"/>
      <c r="IR433" s="3"/>
      <c r="IS433" s="3"/>
      <c r="IT433" s="3"/>
      <c r="IU433" s="3"/>
      <c r="IV433" s="3"/>
      <c r="IW433" s="3"/>
      <c r="IX433" s="3"/>
      <c r="IY433" s="3"/>
      <c r="IZ433" s="3"/>
      <c r="JA433" s="3"/>
      <c r="JB433" s="3"/>
      <c r="JC433" s="3"/>
      <c r="JD433" s="3"/>
      <c r="JE433" s="3"/>
      <c r="JF433" s="3"/>
      <c r="JG433" s="3"/>
      <c r="JH433" s="3"/>
      <c r="JI433" s="3"/>
      <c r="JJ433" s="3"/>
      <c r="JK433" s="3"/>
      <c r="JL433" s="3"/>
      <c r="JM433" s="3"/>
      <c r="JN433" s="3"/>
      <c r="JO433" s="3"/>
      <c r="JP433" s="3"/>
      <c r="JQ433" s="3"/>
      <c r="JR433" s="3"/>
      <c r="JS433" s="3"/>
      <c r="JT433" s="3"/>
      <c r="JU433" s="3"/>
      <c r="JV433" s="3"/>
      <c r="JW433" s="3"/>
      <c r="JX433" s="3"/>
      <c r="JY433" s="3"/>
      <c r="JZ433" s="3"/>
      <c r="KA433" s="3"/>
      <c r="KB433" s="3"/>
      <c r="KC433" s="3"/>
      <c r="KD433" s="3"/>
      <c r="KE433" s="3"/>
      <c r="KF433" s="3"/>
      <c r="KG433" s="3"/>
      <c r="KH433" s="3"/>
      <c r="KI433" s="3"/>
      <c r="KJ433" s="3"/>
      <c r="KK433" s="3"/>
      <c r="KL433" s="3"/>
      <c r="KM433" s="3"/>
      <c r="KN433" s="3"/>
      <c r="KO433" s="3"/>
      <c r="KP433" s="3"/>
      <c r="KQ433" s="3"/>
      <c r="KR433" s="3"/>
      <c r="KS433" s="3"/>
      <c r="KT433" s="3"/>
      <c r="KU433" s="3"/>
      <c r="KV433" s="3"/>
      <c r="KW433" s="3"/>
      <c r="KX433" s="3"/>
      <c r="KY433" s="3"/>
      <c r="KZ433" s="3"/>
      <c r="LA433" s="3"/>
      <c r="LB433" s="3"/>
      <c r="LC433" s="3"/>
      <c r="LD433" s="3"/>
      <c r="LE433" s="3"/>
      <c r="LF433" s="3"/>
      <c r="LG433" s="3"/>
      <c r="LH433" s="3"/>
      <c r="LI433" s="3"/>
      <c r="LJ433" s="3"/>
      <c r="LK433" s="3"/>
      <c r="LL433" s="3"/>
      <c r="LM433" s="3"/>
      <c r="LN433" s="3"/>
      <c r="LO433" s="3"/>
      <c r="LP433" s="3"/>
      <c r="LQ433" s="3"/>
      <c r="LR433" s="3"/>
      <c r="LS433" s="3"/>
      <c r="LT433" s="3"/>
      <c r="LU433" s="3"/>
      <c r="LV433" s="3"/>
      <c r="LW433" s="3"/>
      <c r="LX433" s="3"/>
      <c r="LY433" s="3"/>
      <c r="LZ433" s="3"/>
      <c r="MA433" s="3"/>
      <c r="MB433" s="3"/>
      <c r="MC433" s="3"/>
      <c r="MD433" s="3"/>
      <c r="ME433" s="3"/>
      <c r="MF433" s="3"/>
      <c r="MG433" s="3"/>
      <c r="MH433" s="3"/>
      <c r="MI433" s="3"/>
    </row>
    <row r="434" spans="1:347"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ID434" s="3"/>
      <c r="IE434" s="3"/>
      <c r="IF434" s="3"/>
      <c r="IG434" s="3"/>
      <c r="IH434" s="3"/>
      <c r="II434" s="3"/>
      <c r="IJ434" s="3"/>
      <c r="IK434" s="3"/>
      <c r="IL434" s="3"/>
      <c r="IM434" s="3"/>
      <c r="IN434" s="3"/>
      <c r="IO434" s="3"/>
      <c r="IP434" s="3"/>
      <c r="IQ434" s="3"/>
      <c r="IR434" s="3"/>
      <c r="IS434" s="3"/>
      <c r="IT434" s="3"/>
      <c r="IU434" s="3"/>
      <c r="IV434" s="3"/>
      <c r="IW434" s="3"/>
      <c r="IX434" s="3"/>
      <c r="IY434" s="3"/>
      <c r="IZ434" s="3"/>
      <c r="JA434" s="3"/>
      <c r="JB434" s="3"/>
      <c r="JC434" s="3"/>
      <c r="JD434" s="3"/>
      <c r="JE434" s="3"/>
      <c r="JF434" s="3"/>
      <c r="JG434" s="3"/>
      <c r="JH434" s="3"/>
      <c r="JI434" s="3"/>
      <c r="JJ434" s="3"/>
      <c r="JK434" s="3"/>
      <c r="JL434" s="3"/>
      <c r="JM434" s="3"/>
      <c r="JN434" s="3"/>
      <c r="JO434" s="3"/>
      <c r="JP434" s="3"/>
      <c r="JQ434" s="3"/>
      <c r="JR434" s="3"/>
      <c r="JS434" s="3"/>
      <c r="JT434" s="3"/>
      <c r="JU434" s="3"/>
      <c r="JV434" s="3"/>
      <c r="JW434" s="3"/>
      <c r="JX434" s="3"/>
      <c r="JY434" s="3"/>
      <c r="JZ434" s="3"/>
      <c r="KA434" s="3"/>
      <c r="KB434" s="3"/>
      <c r="KC434" s="3"/>
      <c r="KD434" s="3"/>
      <c r="KE434" s="3"/>
      <c r="KF434" s="3"/>
      <c r="KG434" s="3"/>
      <c r="KH434" s="3"/>
      <c r="KI434" s="3"/>
      <c r="KJ434" s="3"/>
      <c r="KK434" s="3"/>
      <c r="KL434" s="3"/>
      <c r="KM434" s="3"/>
      <c r="KN434" s="3"/>
      <c r="KO434" s="3"/>
      <c r="KP434" s="3"/>
      <c r="KQ434" s="3"/>
      <c r="KR434" s="3"/>
      <c r="KS434" s="3"/>
      <c r="KT434" s="3"/>
      <c r="KU434" s="3"/>
      <c r="KV434" s="3"/>
      <c r="KW434" s="3"/>
      <c r="KX434" s="3"/>
      <c r="KY434" s="3"/>
      <c r="KZ434" s="3"/>
      <c r="LA434" s="3"/>
      <c r="LB434" s="3"/>
      <c r="LC434" s="3"/>
      <c r="LD434" s="3"/>
      <c r="LE434" s="3"/>
      <c r="LF434" s="3"/>
      <c r="LG434" s="3"/>
      <c r="LH434" s="3"/>
      <c r="LI434" s="3"/>
      <c r="LJ434" s="3"/>
      <c r="LK434" s="3"/>
      <c r="LL434" s="3"/>
      <c r="LM434" s="3"/>
      <c r="LN434" s="3"/>
      <c r="LO434" s="3"/>
      <c r="LP434" s="3"/>
      <c r="LQ434" s="3"/>
      <c r="LR434" s="3"/>
      <c r="LS434" s="3"/>
      <c r="LT434" s="3"/>
      <c r="LU434" s="3"/>
      <c r="LV434" s="3"/>
      <c r="LW434" s="3"/>
      <c r="LX434" s="3"/>
      <c r="LY434" s="3"/>
      <c r="LZ434" s="3"/>
      <c r="MA434" s="3"/>
      <c r="MB434" s="3"/>
      <c r="MC434" s="3"/>
      <c r="MD434" s="3"/>
      <c r="ME434" s="3"/>
      <c r="MF434" s="3"/>
      <c r="MG434" s="3"/>
      <c r="MH434" s="3"/>
      <c r="MI434" s="3"/>
    </row>
    <row r="435" spans="1:347"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c r="LV435" s="3"/>
      <c r="LW435" s="3"/>
      <c r="LX435" s="3"/>
      <c r="LY435" s="3"/>
      <c r="LZ435" s="3"/>
      <c r="MA435" s="3"/>
      <c r="MB435" s="3"/>
      <c r="MC435" s="3"/>
      <c r="MD435" s="3"/>
      <c r="ME435" s="3"/>
      <c r="MF435" s="3"/>
      <c r="MG435" s="3"/>
      <c r="MH435" s="3"/>
      <c r="MI435" s="3"/>
    </row>
    <row r="436" spans="1:347"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ID436" s="3"/>
      <c r="IE436" s="3"/>
      <c r="IF436" s="3"/>
      <c r="IG436" s="3"/>
      <c r="IH436" s="3"/>
      <c r="II436" s="3"/>
      <c r="IJ436" s="3"/>
      <c r="IK436" s="3"/>
      <c r="IL436" s="3"/>
      <c r="IM436" s="3"/>
      <c r="IN436" s="3"/>
      <c r="IO436" s="3"/>
      <c r="IP436" s="3"/>
      <c r="IQ436" s="3"/>
      <c r="IR436" s="3"/>
      <c r="IS436" s="3"/>
      <c r="IT436" s="3"/>
      <c r="IU436" s="3"/>
      <c r="IV436" s="3"/>
      <c r="IW436" s="3"/>
      <c r="IX436" s="3"/>
      <c r="IY436" s="3"/>
      <c r="IZ436" s="3"/>
      <c r="JA436" s="3"/>
      <c r="JB436" s="3"/>
      <c r="JC436" s="3"/>
      <c r="JD436" s="3"/>
      <c r="JE436" s="3"/>
      <c r="JF436" s="3"/>
      <c r="JG436" s="3"/>
      <c r="JH436" s="3"/>
      <c r="JI436" s="3"/>
      <c r="JJ436" s="3"/>
      <c r="JK436" s="3"/>
      <c r="JL436" s="3"/>
      <c r="JM436" s="3"/>
      <c r="JN436" s="3"/>
      <c r="JO436" s="3"/>
      <c r="JP436" s="3"/>
      <c r="JQ436" s="3"/>
      <c r="JR436" s="3"/>
      <c r="JS436" s="3"/>
      <c r="JT436" s="3"/>
      <c r="JU436" s="3"/>
      <c r="JV436" s="3"/>
      <c r="JW436" s="3"/>
      <c r="JX436" s="3"/>
      <c r="JY436" s="3"/>
      <c r="JZ436" s="3"/>
      <c r="KA436" s="3"/>
      <c r="KB436" s="3"/>
      <c r="KC436" s="3"/>
      <c r="KD436" s="3"/>
      <c r="KE436" s="3"/>
      <c r="KF436" s="3"/>
      <c r="KG436" s="3"/>
      <c r="KH436" s="3"/>
      <c r="KI436" s="3"/>
      <c r="KJ436" s="3"/>
      <c r="KK436" s="3"/>
      <c r="KL436" s="3"/>
      <c r="KM436" s="3"/>
      <c r="KN436" s="3"/>
      <c r="KO436" s="3"/>
      <c r="KP436" s="3"/>
      <c r="KQ436" s="3"/>
      <c r="KR436" s="3"/>
      <c r="KS436" s="3"/>
      <c r="KT436" s="3"/>
      <c r="KU436" s="3"/>
      <c r="KV436" s="3"/>
      <c r="KW436" s="3"/>
      <c r="KX436" s="3"/>
      <c r="KY436" s="3"/>
      <c r="KZ436" s="3"/>
      <c r="LA436" s="3"/>
      <c r="LB436" s="3"/>
      <c r="LC436" s="3"/>
      <c r="LD436" s="3"/>
      <c r="LE436" s="3"/>
      <c r="LF436" s="3"/>
      <c r="LG436" s="3"/>
      <c r="LH436" s="3"/>
      <c r="LI436" s="3"/>
      <c r="LJ436" s="3"/>
      <c r="LK436" s="3"/>
      <c r="LL436" s="3"/>
      <c r="LM436" s="3"/>
      <c r="LN436" s="3"/>
      <c r="LO436" s="3"/>
      <c r="LP436" s="3"/>
      <c r="LQ436" s="3"/>
      <c r="LR436" s="3"/>
      <c r="LS436" s="3"/>
      <c r="LT436" s="3"/>
      <c r="LU436" s="3"/>
      <c r="LV436" s="3"/>
      <c r="LW436" s="3"/>
      <c r="LX436" s="3"/>
      <c r="LY436" s="3"/>
      <c r="LZ436" s="3"/>
      <c r="MA436" s="3"/>
      <c r="MB436" s="3"/>
      <c r="MC436" s="3"/>
      <c r="MD436" s="3"/>
      <c r="ME436" s="3"/>
      <c r="MF436" s="3"/>
      <c r="MG436" s="3"/>
      <c r="MH436" s="3"/>
      <c r="MI436" s="3"/>
    </row>
    <row r="437" spans="1:347"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ID437" s="3"/>
      <c r="IE437" s="3"/>
      <c r="IF437" s="3"/>
      <c r="IG437" s="3"/>
      <c r="IH437" s="3"/>
      <c r="II437" s="3"/>
      <c r="IJ437" s="3"/>
      <c r="IK437" s="3"/>
      <c r="IL437" s="3"/>
      <c r="IM437" s="3"/>
      <c r="IN437" s="3"/>
      <c r="IO437" s="3"/>
      <c r="IP437" s="3"/>
      <c r="IQ437" s="3"/>
      <c r="IR437" s="3"/>
      <c r="IS437" s="3"/>
      <c r="IT437" s="3"/>
      <c r="IU437" s="3"/>
      <c r="IV437" s="3"/>
      <c r="IW437" s="3"/>
      <c r="IX437" s="3"/>
      <c r="IY437" s="3"/>
      <c r="IZ437" s="3"/>
      <c r="JA437" s="3"/>
      <c r="JB437" s="3"/>
      <c r="JC437" s="3"/>
      <c r="JD437" s="3"/>
      <c r="JE437" s="3"/>
      <c r="JF437" s="3"/>
      <c r="JG437" s="3"/>
      <c r="JH437" s="3"/>
      <c r="JI437" s="3"/>
      <c r="JJ437" s="3"/>
      <c r="JK437" s="3"/>
      <c r="JL437" s="3"/>
      <c r="JM437" s="3"/>
      <c r="JN437" s="3"/>
      <c r="JO437" s="3"/>
      <c r="JP437" s="3"/>
      <c r="JQ437" s="3"/>
      <c r="JR437" s="3"/>
      <c r="JS437" s="3"/>
      <c r="JT437" s="3"/>
      <c r="JU437" s="3"/>
      <c r="JV437" s="3"/>
      <c r="JW437" s="3"/>
      <c r="JX437" s="3"/>
      <c r="JY437" s="3"/>
      <c r="JZ437" s="3"/>
      <c r="KA437" s="3"/>
      <c r="KB437" s="3"/>
      <c r="KC437" s="3"/>
      <c r="KD437" s="3"/>
      <c r="KE437" s="3"/>
      <c r="KF437" s="3"/>
      <c r="KG437" s="3"/>
      <c r="KH437" s="3"/>
      <c r="KI437" s="3"/>
      <c r="KJ437" s="3"/>
      <c r="KK437" s="3"/>
      <c r="KL437" s="3"/>
      <c r="KM437" s="3"/>
      <c r="KN437" s="3"/>
      <c r="KO437" s="3"/>
      <c r="KP437" s="3"/>
      <c r="KQ437" s="3"/>
      <c r="KR437" s="3"/>
      <c r="KS437" s="3"/>
      <c r="KT437" s="3"/>
      <c r="KU437" s="3"/>
      <c r="KV437" s="3"/>
      <c r="KW437" s="3"/>
      <c r="KX437" s="3"/>
      <c r="KY437" s="3"/>
      <c r="KZ437" s="3"/>
      <c r="LA437" s="3"/>
      <c r="LB437" s="3"/>
      <c r="LC437" s="3"/>
      <c r="LD437" s="3"/>
      <c r="LE437" s="3"/>
      <c r="LF437" s="3"/>
      <c r="LG437" s="3"/>
      <c r="LH437" s="3"/>
      <c r="LI437" s="3"/>
      <c r="LJ437" s="3"/>
      <c r="LK437" s="3"/>
      <c r="LL437" s="3"/>
      <c r="LM437" s="3"/>
      <c r="LN437" s="3"/>
      <c r="LO437" s="3"/>
      <c r="LP437" s="3"/>
      <c r="LQ437" s="3"/>
      <c r="LR437" s="3"/>
      <c r="LS437" s="3"/>
      <c r="LT437" s="3"/>
      <c r="LU437" s="3"/>
      <c r="LV437" s="3"/>
      <c r="LW437" s="3"/>
      <c r="LX437" s="3"/>
      <c r="LY437" s="3"/>
      <c r="LZ437" s="3"/>
      <c r="MA437" s="3"/>
      <c r="MB437" s="3"/>
      <c r="MC437" s="3"/>
      <c r="MD437" s="3"/>
      <c r="ME437" s="3"/>
      <c r="MF437" s="3"/>
      <c r="MG437" s="3"/>
      <c r="MH437" s="3"/>
      <c r="MI437" s="3"/>
    </row>
    <row r="438" spans="1:347"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ID438" s="3"/>
      <c r="IE438" s="3"/>
      <c r="IF438" s="3"/>
      <c r="IG438" s="3"/>
      <c r="IH438" s="3"/>
      <c r="II438" s="3"/>
      <c r="IJ438" s="3"/>
      <c r="IK438" s="3"/>
      <c r="IL438" s="3"/>
      <c r="IM438" s="3"/>
      <c r="IN438" s="3"/>
      <c r="IO438" s="3"/>
      <c r="IP438" s="3"/>
      <c r="IQ438" s="3"/>
      <c r="IR438" s="3"/>
      <c r="IS438" s="3"/>
      <c r="IT438" s="3"/>
      <c r="IU438" s="3"/>
      <c r="IV438" s="3"/>
      <c r="IW438" s="3"/>
      <c r="IX438" s="3"/>
      <c r="IY438" s="3"/>
      <c r="IZ438" s="3"/>
      <c r="JA438" s="3"/>
      <c r="JB438" s="3"/>
      <c r="JC438" s="3"/>
      <c r="JD438" s="3"/>
      <c r="JE438" s="3"/>
      <c r="JF438" s="3"/>
      <c r="JG438" s="3"/>
      <c r="JH438" s="3"/>
      <c r="JI438" s="3"/>
      <c r="JJ438" s="3"/>
      <c r="JK438" s="3"/>
      <c r="JL438" s="3"/>
      <c r="JM438" s="3"/>
      <c r="JN438" s="3"/>
      <c r="JO438" s="3"/>
      <c r="JP438" s="3"/>
      <c r="JQ438" s="3"/>
      <c r="JR438" s="3"/>
      <c r="JS438" s="3"/>
      <c r="JT438" s="3"/>
      <c r="JU438" s="3"/>
      <c r="JV438" s="3"/>
      <c r="JW438" s="3"/>
      <c r="JX438" s="3"/>
      <c r="JY438" s="3"/>
      <c r="JZ438" s="3"/>
      <c r="KA438" s="3"/>
      <c r="KB438" s="3"/>
      <c r="KC438" s="3"/>
      <c r="KD438" s="3"/>
      <c r="KE438" s="3"/>
      <c r="KF438" s="3"/>
      <c r="KG438" s="3"/>
      <c r="KH438" s="3"/>
      <c r="KI438" s="3"/>
      <c r="KJ438" s="3"/>
      <c r="KK438" s="3"/>
      <c r="KL438" s="3"/>
      <c r="KM438" s="3"/>
      <c r="KN438" s="3"/>
      <c r="KO438" s="3"/>
      <c r="KP438" s="3"/>
      <c r="KQ438" s="3"/>
      <c r="KR438" s="3"/>
      <c r="KS438" s="3"/>
      <c r="KT438" s="3"/>
      <c r="KU438" s="3"/>
      <c r="KV438" s="3"/>
      <c r="KW438" s="3"/>
      <c r="KX438" s="3"/>
      <c r="KY438" s="3"/>
      <c r="KZ438" s="3"/>
      <c r="LA438" s="3"/>
      <c r="LB438" s="3"/>
      <c r="LC438" s="3"/>
      <c r="LD438" s="3"/>
      <c r="LE438" s="3"/>
      <c r="LF438" s="3"/>
      <c r="LG438" s="3"/>
      <c r="LH438" s="3"/>
      <c r="LI438" s="3"/>
      <c r="LJ438" s="3"/>
      <c r="LK438" s="3"/>
      <c r="LL438" s="3"/>
      <c r="LM438" s="3"/>
      <c r="LN438" s="3"/>
      <c r="LO438" s="3"/>
      <c r="LP438" s="3"/>
      <c r="LQ438" s="3"/>
      <c r="LR438" s="3"/>
      <c r="LS438" s="3"/>
      <c r="LT438" s="3"/>
      <c r="LU438" s="3"/>
      <c r="LV438" s="3"/>
      <c r="LW438" s="3"/>
      <c r="LX438" s="3"/>
      <c r="LY438" s="3"/>
      <c r="LZ438" s="3"/>
      <c r="MA438" s="3"/>
      <c r="MB438" s="3"/>
      <c r="MC438" s="3"/>
      <c r="MD438" s="3"/>
      <c r="ME438" s="3"/>
      <c r="MF438" s="3"/>
      <c r="MG438" s="3"/>
      <c r="MH438" s="3"/>
      <c r="MI438" s="3"/>
    </row>
    <row r="439" spans="1:347"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ID439" s="3"/>
      <c r="IE439" s="3"/>
      <c r="IF439" s="3"/>
      <c r="IG439" s="3"/>
      <c r="IH439" s="3"/>
      <c r="II439" s="3"/>
      <c r="IJ439" s="3"/>
      <c r="IK439" s="3"/>
      <c r="IL439" s="3"/>
      <c r="IM439" s="3"/>
      <c r="IN439" s="3"/>
      <c r="IO439" s="3"/>
      <c r="IP439" s="3"/>
      <c r="IQ439" s="3"/>
      <c r="IR439" s="3"/>
      <c r="IS439" s="3"/>
      <c r="IT439" s="3"/>
      <c r="IU439" s="3"/>
      <c r="IV439" s="3"/>
      <c r="IW439" s="3"/>
      <c r="IX439" s="3"/>
      <c r="IY439" s="3"/>
      <c r="IZ439" s="3"/>
      <c r="JA439" s="3"/>
      <c r="JB439" s="3"/>
      <c r="JC439" s="3"/>
      <c r="JD439" s="3"/>
      <c r="JE439" s="3"/>
      <c r="JF439" s="3"/>
      <c r="JG439" s="3"/>
      <c r="JH439" s="3"/>
      <c r="JI439" s="3"/>
      <c r="JJ439" s="3"/>
      <c r="JK439" s="3"/>
      <c r="JL439" s="3"/>
      <c r="JM439" s="3"/>
      <c r="JN439" s="3"/>
      <c r="JO439" s="3"/>
      <c r="JP439" s="3"/>
      <c r="JQ439" s="3"/>
      <c r="JR439" s="3"/>
      <c r="JS439" s="3"/>
      <c r="JT439" s="3"/>
      <c r="JU439" s="3"/>
      <c r="JV439" s="3"/>
      <c r="JW439" s="3"/>
      <c r="JX439" s="3"/>
      <c r="JY439" s="3"/>
      <c r="JZ439" s="3"/>
      <c r="KA439" s="3"/>
      <c r="KB439" s="3"/>
      <c r="KC439" s="3"/>
      <c r="KD439" s="3"/>
      <c r="KE439" s="3"/>
      <c r="KF439" s="3"/>
      <c r="KG439" s="3"/>
      <c r="KH439" s="3"/>
      <c r="KI439" s="3"/>
      <c r="KJ439" s="3"/>
      <c r="KK439" s="3"/>
      <c r="KL439" s="3"/>
      <c r="KM439" s="3"/>
      <c r="KN439" s="3"/>
      <c r="KO439" s="3"/>
      <c r="KP439" s="3"/>
      <c r="KQ439" s="3"/>
      <c r="KR439" s="3"/>
      <c r="KS439" s="3"/>
      <c r="KT439" s="3"/>
      <c r="KU439" s="3"/>
      <c r="KV439" s="3"/>
      <c r="KW439" s="3"/>
      <c r="KX439" s="3"/>
      <c r="KY439" s="3"/>
      <c r="KZ439" s="3"/>
      <c r="LA439" s="3"/>
      <c r="LB439" s="3"/>
      <c r="LC439" s="3"/>
      <c r="LD439" s="3"/>
      <c r="LE439" s="3"/>
      <c r="LF439" s="3"/>
      <c r="LG439" s="3"/>
      <c r="LH439" s="3"/>
      <c r="LI439" s="3"/>
      <c r="LJ439" s="3"/>
      <c r="LK439" s="3"/>
      <c r="LL439" s="3"/>
      <c r="LM439" s="3"/>
      <c r="LN439" s="3"/>
      <c r="LO439" s="3"/>
      <c r="LP439" s="3"/>
      <c r="LQ439" s="3"/>
      <c r="LR439" s="3"/>
      <c r="LS439" s="3"/>
      <c r="LT439" s="3"/>
      <c r="LU439" s="3"/>
      <c r="LV439" s="3"/>
      <c r="LW439" s="3"/>
      <c r="LX439" s="3"/>
      <c r="LY439" s="3"/>
      <c r="LZ439" s="3"/>
      <c r="MA439" s="3"/>
      <c r="MB439" s="3"/>
      <c r="MC439" s="3"/>
      <c r="MD439" s="3"/>
      <c r="ME439" s="3"/>
      <c r="MF439" s="3"/>
      <c r="MG439" s="3"/>
      <c r="MH439" s="3"/>
      <c r="MI439" s="3"/>
    </row>
    <row r="440" spans="1:347"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ID440" s="3"/>
      <c r="IE440" s="3"/>
      <c r="IF440" s="3"/>
      <c r="IG440" s="3"/>
      <c r="IH440" s="3"/>
      <c r="II440" s="3"/>
      <c r="IJ440" s="3"/>
      <c r="IK440" s="3"/>
      <c r="IL440" s="3"/>
      <c r="IM440" s="3"/>
      <c r="IN440" s="3"/>
      <c r="IO440" s="3"/>
      <c r="IP440" s="3"/>
      <c r="IQ440" s="3"/>
      <c r="IR440" s="3"/>
      <c r="IS440" s="3"/>
      <c r="IT440" s="3"/>
      <c r="IU440" s="3"/>
      <c r="IV440" s="3"/>
      <c r="IW440" s="3"/>
      <c r="IX440" s="3"/>
      <c r="IY440" s="3"/>
      <c r="IZ440" s="3"/>
      <c r="JA440" s="3"/>
      <c r="JB440" s="3"/>
      <c r="JC440" s="3"/>
      <c r="JD440" s="3"/>
      <c r="JE440" s="3"/>
      <c r="JF440" s="3"/>
      <c r="JG440" s="3"/>
      <c r="JH440" s="3"/>
      <c r="JI440" s="3"/>
      <c r="JJ440" s="3"/>
      <c r="JK440" s="3"/>
      <c r="JL440" s="3"/>
      <c r="JM440" s="3"/>
      <c r="JN440" s="3"/>
      <c r="JO440" s="3"/>
      <c r="JP440" s="3"/>
      <c r="JQ440" s="3"/>
      <c r="JR440" s="3"/>
      <c r="JS440" s="3"/>
      <c r="JT440" s="3"/>
      <c r="JU440" s="3"/>
      <c r="JV440" s="3"/>
      <c r="JW440" s="3"/>
      <c r="JX440" s="3"/>
      <c r="JY440" s="3"/>
      <c r="JZ440" s="3"/>
      <c r="KA440" s="3"/>
      <c r="KB440" s="3"/>
      <c r="KC440" s="3"/>
      <c r="KD440" s="3"/>
      <c r="KE440" s="3"/>
      <c r="KF440" s="3"/>
      <c r="KG440" s="3"/>
      <c r="KH440" s="3"/>
      <c r="KI440" s="3"/>
      <c r="KJ440" s="3"/>
      <c r="KK440" s="3"/>
      <c r="KL440" s="3"/>
      <c r="KM440" s="3"/>
      <c r="KN440" s="3"/>
      <c r="KO440" s="3"/>
      <c r="KP440" s="3"/>
      <c r="KQ440" s="3"/>
      <c r="KR440" s="3"/>
      <c r="KS440" s="3"/>
      <c r="KT440" s="3"/>
      <c r="KU440" s="3"/>
      <c r="KV440" s="3"/>
      <c r="KW440" s="3"/>
      <c r="KX440" s="3"/>
      <c r="KY440" s="3"/>
      <c r="KZ440" s="3"/>
      <c r="LA440" s="3"/>
      <c r="LB440" s="3"/>
      <c r="LC440" s="3"/>
      <c r="LD440" s="3"/>
      <c r="LE440" s="3"/>
      <c r="LF440" s="3"/>
      <c r="LG440" s="3"/>
      <c r="LH440" s="3"/>
      <c r="LI440" s="3"/>
      <c r="LJ440" s="3"/>
      <c r="LK440" s="3"/>
      <c r="LL440" s="3"/>
      <c r="LM440" s="3"/>
      <c r="LN440" s="3"/>
      <c r="LO440" s="3"/>
      <c r="LP440" s="3"/>
      <c r="LQ440" s="3"/>
      <c r="LR440" s="3"/>
      <c r="LS440" s="3"/>
      <c r="LT440" s="3"/>
      <c r="LU440" s="3"/>
      <c r="LV440" s="3"/>
      <c r="LW440" s="3"/>
      <c r="LX440" s="3"/>
      <c r="LY440" s="3"/>
      <c r="LZ440" s="3"/>
      <c r="MA440" s="3"/>
      <c r="MB440" s="3"/>
      <c r="MC440" s="3"/>
      <c r="MD440" s="3"/>
      <c r="ME440" s="3"/>
      <c r="MF440" s="3"/>
      <c r="MG440" s="3"/>
      <c r="MH440" s="3"/>
      <c r="MI440" s="3"/>
    </row>
    <row r="441" spans="1:347"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c r="LV441" s="3"/>
      <c r="LW441" s="3"/>
      <c r="LX441" s="3"/>
      <c r="LY441" s="3"/>
      <c r="LZ441" s="3"/>
      <c r="MA441" s="3"/>
      <c r="MB441" s="3"/>
      <c r="MC441" s="3"/>
      <c r="MD441" s="3"/>
      <c r="ME441" s="3"/>
      <c r="MF441" s="3"/>
      <c r="MG441" s="3"/>
      <c r="MH441" s="3"/>
      <c r="MI441" s="3"/>
    </row>
    <row r="442" spans="1:347"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ID442" s="3"/>
      <c r="IE442" s="3"/>
      <c r="IF442" s="3"/>
      <c r="IG442" s="3"/>
      <c r="IH442" s="3"/>
      <c r="II442" s="3"/>
      <c r="IJ442" s="3"/>
      <c r="IK442" s="3"/>
      <c r="IL442" s="3"/>
      <c r="IM442" s="3"/>
      <c r="IN442" s="3"/>
      <c r="IO442" s="3"/>
      <c r="IP442" s="3"/>
      <c r="IQ442" s="3"/>
      <c r="IR442" s="3"/>
      <c r="IS442" s="3"/>
      <c r="IT442" s="3"/>
      <c r="IU442" s="3"/>
      <c r="IV442" s="3"/>
      <c r="IW442" s="3"/>
      <c r="IX442" s="3"/>
      <c r="IY442" s="3"/>
      <c r="IZ442" s="3"/>
      <c r="JA442" s="3"/>
      <c r="JB442" s="3"/>
      <c r="JC442" s="3"/>
      <c r="JD442" s="3"/>
      <c r="JE442" s="3"/>
      <c r="JF442" s="3"/>
      <c r="JG442" s="3"/>
      <c r="JH442" s="3"/>
      <c r="JI442" s="3"/>
      <c r="JJ442" s="3"/>
      <c r="JK442" s="3"/>
      <c r="JL442" s="3"/>
      <c r="JM442" s="3"/>
      <c r="JN442" s="3"/>
      <c r="JO442" s="3"/>
      <c r="JP442" s="3"/>
      <c r="JQ442" s="3"/>
      <c r="JR442" s="3"/>
      <c r="JS442" s="3"/>
      <c r="JT442" s="3"/>
      <c r="JU442" s="3"/>
      <c r="JV442" s="3"/>
      <c r="JW442" s="3"/>
      <c r="JX442" s="3"/>
      <c r="JY442" s="3"/>
      <c r="JZ442" s="3"/>
      <c r="KA442" s="3"/>
      <c r="KB442" s="3"/>
      <c r="KC442" s="3"/>
      <c r="KD442" s="3"/>
      <c r="KE442" s="3"/>
      <c r="KF442" s="3"/>
      <c r="KG442" s="3"/>
      <c r="KH442" s="3"/>
      <c r="KI442" s="3"/>
      <c r="KJ442" s="3"/>
      <c r="KK442" s="3"/>
      <c r="KL442" s="3"/>
      <c r="KM442" s="3"/>
      <c r="KN442" s="3"/>
      <c r="KO442" s="3"/>
      <c r="KP442" s="3"/>
      <c r="KQ442" s="3"/>
      <c r="KR442" s="3"/>
      <c r="KS442" s="3"/>
      <c r="KT442" s="3"/>
      <c r="KU442" s="3"/>
      <c r="KV442" s="3"/>
      <c r="KW442" s="3"/>
      <c r="KX442" s="3"/>
      <c r="KY442" s="3"/>
      <c r="KZ442" s="3"/>
      <c r="LA442" s="3"/>
      <c r="LB442" s="3"/>
      <c r="LC442" s="3"/>
      <c r="LD442" s="3"/>
      <c r="LE442" s="3"/>
      <c r="LF442" s="3"/>
      <c r="LG442" s="3"/>
      <c r="LH442" s="3"/>
      <c r="LI442" s="3"/>
      <c r="LJ442" s="3"/>
      <c r="LK442" s="3"/>
      <c r="LL442" s="3"/>
      <c r="LM442" s="3"/>
      <c r="LN442" s="3"/>
      <c r="LO442" s="3"/>
      <c r="LP442" s="3"/>
      <c r="LQ442" s="3"/>
      <c r="LR442" s="3"/>
      <c r="LS442" s="3"/>
      <c r="LT442" s="3"/>
      <c r="LU442" s="3"/>
      <c r="LV442" s="3"/>
      <c r="LW442" s="3"/>
      <c r="LX442" s="3"/>
      <c r="LY442" s="3"/>
      <c r="LZ442" s="3"/>
      <c r="MA442" s="3"/>
      <c r="MB442" s="3"/>
      <c r="MC442" s="3"/>
      <c r="MD442" s="3"/>
      <c r="ME442" s="3"/>
      <c r="MF442" s="3"/>
      <c r="MG442" s="3"/>
      <c r="MH442" s="3"/>
      <c r="MI442" s="3"/>
    </row>
    <row r="443" spans="1:347"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ID443" s="3"/>
      <c r="IE443" s="3"/>
      <c r="IF443" s="3"/>
      <c r="IG443" s="3"/>
      <c r="IH443" s="3"/>
      <c r="II443" s="3"/>
      <c r="IJ443" s="3"/>
      <c r="IK443" s="3"/>
      <c r="IL443" s="3"/>
      <c r="IM443" s="3"/>
      <c r="IN443" s="3"/>
      <c r="IO443" s="3"/>
      <c r="IP443" s="3"/>
      <c r="IQ443" s="3"/>
      <c r="IR443" s="3"/>
      <c r="IS443" s="3"/>
      <c r="IT443" s="3"/>
      <c r="IU443" s="3"/>
      <c r="IV443" s="3"/>
      <c r="IW443" s="3"/>
      <c r="IX443" s="3"/>
      <c r="IY443" s="3"/>
      <c r="IZ443" s="3"/>
      <c r="JA443" s="3"/>
      <c r="JB443" s="3"/>
      <c r="JC443" s="3"/>
      <c r="JD443" s="3"/>
      <c r="JE443" s="3"/>
      <c r="JF443" s="3"/>
      <c r="JG443" s="3"/>
      <c r="JH443" s="3"/>
      <c r="JI443" s="3"/>
      <c r="JJ443" s="3"/>
      <c r="JK443" s="3"/>
      <c r="JL443" s="3"/>
      <c r="JM443" s="3"/>
      <c r="JN443" s="3"/>
      <c r="JO443" s="3"/>
      <c r="JP443" s="3"/>
      <c r="JQ443" s="3"/>
      <c r="JR443" s="3"/>
      <c r="JS443" s="3"/>
      <c r="JT443" s="3"/>
      <c r="JU443" s="3"/>
      <c r="JV443" s="3"/>
      <c r="JW443" s="3"/>
      <c r="JX443" s="3"/>
      <c r="JY443" s="3"/>
      <c r="JZ443" s="3"/>
      <c r="KA443" s="3"/>
      <c r="KB443" s="3"/>
      <c r="KC443" s="3"/>
      <c r="KD443" s="3"/>
      <c r="KE443" s="3"/>
      <c r="KF443" s="3"/>
      <c r="KG443" s="3"/>
      <c r="KH443" s="3"/>
      <c r="KI443" s="3"/>
      <c r="KJ443" s="3"/>
      <c r="KK443" s="3"/>
      <c r="KL443" s="3"/>
      <c r="KM443" s="3"/>
      <c r="KN443" s="3"/>
      <c r="KO443" s="3"/>
      <c r="KP443" s="3"/>
      <c r="KQ443" s="3"/>
      <c r="KR443" s="3"/>
      <c r="KS443" s="3"/>
      <c r="KT443" s="3"/>
      <c r="KU443" s="3"/>
      <c r="KV443" s="3"/>
      <c r="KW443" s="3"/>
      <c r="KX443" s="3"/>
      <c r="KY443" s="3"/>
      <c r="KZ443" s="3"/>
      <c r="LA443" s="3"/>
      <c r="LB443" s="3"/>
      <c r="LC443" s="3"/>
      <c r="LD443" s="3"/>
      <c r="LE443" s="3"/>
      <c r="LF443" s="3"/>
      <c r="LG443" s="3"/>
      <c r="LH443" s="3"/>
      <c r="LI443" s="3"/>
      <c r="LJ443" s="3"/>
      <c r="LK443" s="3"/>
      <c r="LL443" s="3"/>
      <c r="LM443" s="3"/>
      <c r="LN443" s="3"/>
      <c r="LO443" s="3"/>
      <c r="LP443" s="3"/>
      <c r="LQ443" s="3"/>
      <c r="LR443" s="3"/>
      <c r="LS443" s="3"/>
      <c r="LT443" s="3"/>
      <c r="LU443" s="3"/>
      <c r="LV443" s="3"/>
      <c r="LW443" s="3"/>
      <c r="LX443" s="3"/>
      <c r="LY443" s="3"/>
      <c r="LZ443" s="3"/>
      <c r="MA443" s="3"/>
      <c r="MB443" s="3"/>
      <c r="MC443" s="3"/>
      <c r="MD443" s="3"/>
      <c r="ME443" s="3"/>
      <c r="MF443" s="3"/>
      <c r="MG443" s="3"/>
      <c r="MH443" s="3"/>
      <c r="MI443" s="3"/>
    </row>
    <row r="444" spans="1:347"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ID444" s="3"/>
      <c r="IE444" s="3"/>
      <c r="IF444" s="3"/>
      <c r="IG444" s="3"/>
      <c r="IH444" s="3"/>
      <c r="II444" s="3"/>
      <c r="IJ444" s="3"/>
      <c r="IK444" s="3"/>
      <c r="IL444" s="3"/>
      <c r="IM444" s="3"/>
      <c r="IN444" s="3"/>
      <c r="IO444" s="3"/>
      <c r="IP444" s="3"/>
      <c r="IQ444" s="3"/>
      <c r="IR444" s="3"/>
      <c r="IS444" s="3"/>
      <c r="IT444" s="3"/>
      <c r="IU444" s="3"/>
      <c r="IV444" s="3"/>
      <c r="IW444" s="3"/>
      <c r="IX444" s="3"/>
      <c r="IY444" s="3"/>
      <c r="IZ444" s="3"/>
      <c r="JA444" s="3"/>
      <c r="JB444" s="3"/>
      <c r="JC444" s="3"/>
      <c r="JD444" s="3"/>
      <c r="JE444" s="3"/>
      <c r="JF444" s="3"/>
      <c r="JG444" s="3"/>
      <c r="JH444" s="3"/>
      <c r="JI444" s="3"/>
      <c r="JJ444" s="3"/>
      <c r="JK444" s="3"/>
      <c r="JL444" s="3"/>
      <c r="JM444" s="3"/>
      <c r="JN444" s="3"/>
      <c r="JO444" s="3"/>
      <c r="JP444" s="3"/>
      <c r="JQ444" s="3"/>
      <c r="JR444" s="3"/>
      <c r="JS444" s="3"/>
      <c r="JT444" s="3"/>
      <c r="JU444" s="3"/>
      <c r="JV444" s="3"/>
      <c r="JW444" s="3"/>
      <c r="JX444" s="3"/>
      <c r="JY444" s="3"/>
      <c r="JZ444" s="3"/>
      <c r="KA444" s="3"/>
      <c r="KB444" s="3"/>
      <c r="KC444" s="3"/>
      <c r="KD444" s="3"/>
      <c r="KE444" s="3"/>
      <c r="KF444" s="3"/>
      <c r="KG444" s="3"/>
      <c r="KH444" s="3"/>
      <c r="KI444" s="3"/>
      <c r="KJ444" s="3"/>
      <c r="KK444" s="3"/>
      <c r="KL444" s="3"/>
      <c r="KM444" s="3"/>
      <c r="KN444" s="3"/>
      <c r="KO444" s="3"/>
      <c r="KP444" s="3"/>
      <c r="KQ444" s="3"/>
      <c r="KR444" s="3"/>
      <c r="KS444" s="3"/>
      <c r="KT444" s="3"/>
      <c r="KU444" s="3"/>
      <c r="KV444" s="3"/>
      <c r="KW444" s="3"/>
      <c r="KX444" s="3"/>
      <c r="KY444" s="3"/>
      <c r="KZ444" s="3"/>
      <c r="LA444" s="3"/>
      <c r="LB444" s="3"/>
      <c r="LC444" s="3"/>
      <c r="LD444" s="3"/>
      <c r="LE444" s="3"/>
      <c r="LF444" s="3"/>
      <c r="LG444" s="3"/>
      <c r="LH444" s="3"/>
      <c r="LI444" s="3"/>
      <c r="LJ444" s="3"/>
      <c r="LK444" s="3"/>
      <c r="LL444" s="3"/>
      <c r="LM444" s="3"/>
      <c r="LN444" s="3"/>
      <c r="LO444" s="3"/>
      <c r="LP444" s="3"/>
      <c r="LQ444" s="3"/>
      <c r="LR444" s="3"/>
      <c r="LS444" s="3"/>
      <c r="LT444" s="3"/>
      <c r="LU444" s="3"/>
      <c r="LV444" s="3"/>
      <c r="LW444" s="3"/>
      <c r="LX444" s="3"/>
      <c r="LY444" s="3"/>
      <c r="LZ444" s="3"/>
      <c r="MA444" s="3"/>
      <c r="MB444" s="3"/>
      <c r="MC444" s="3"/>
      <c r="MD444" s="3"/>
      <c r="ME444" s="3"/>
      <c r="MF444" s="3"/>
      <c r="MG444" s="3"/>
      <c r="MH444" s="3"/>
      <c r="MI444" s="3"/>
    </row>
    <row r="445" spans="1:347"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ID445" s="3"/>
      <c r="IE445" s="3"/>
      <c r="IF445" s="3"/>
      <c r="IG445" s="3"/>
      <c r="IH445" s="3"/>
      <c r="II445" s="3"/>
      <c r="IJ445" s="3"/>
      <c r="IK445" s="3"/>
      <c r="IL445" s="3"/>
      <c r="IM445" s="3"/>
      <c r="IN445" s="3"/>
      <c r="IO445" s="3"/>
      <c r="IP445" s="3"/>
      <c r="IQ445" s="3"/>
      <c r="IR445" s="3"/>
      <c r="IS445" s="3"/>
      <c r="IT445" s="3"/>
      <c r="IU445" s="3"/>
      <c r="IV445" s="3"/>
      <c r="IW445" s="3"/>
      <c r="IX445" s="3"/>
      <c r="IY445" s="3"/>
      <c r="IZ445" s="3"/>
      <c r="JA445" s="3"/>
      <c r="JB445" s="3"/>
      <c r="JC445" s="3"/>
      <c r="JD445" s="3"/>
      <c r="JE445" s="3"/>
      <c r="JF445" s="3"/>
      <c r="JG445" s="3"/>
      <c r="JH445" s="3"/>
      <c r="JI445" s="3"/>
      <c r="JJ445" s="3"/>
      <c r="JK445" s="3"/>
      <c r="JL445" s="3"/>
      <c r="JM445" s="3"/>
      <c r="JN445" s="3"/>
      <c r="JO445" s="3"/>
      <c r="JP445" s="3"/>
      <c r="JQ445" s="3"/>
      <c r="JR445" s="3"/>
      <c r="JS445" s="3"/>
      <c r="JT445" s="3"/>
      <c r="JU445" s="3"/>
      <c r="JV445" s="3"/>
      <c r="JW445" s="3"/>
      <c r="JX445" s="3"/>
      <c r="JY445" s="3"/>
      <c r="JZ445" s="3"/>
      <c r="KA445" s="3"/>
      <c r="KB445" s="3"/>
      <c r="KC445" s="3"/>
      <c r="KD445" s="3"/>
      <c r="KE445" s="3"/>
      <c r="KF445" s="3"/>
      <c r="KG445" s="3"/>
      <c r="KH445" s="3"/>
      <c r="KI445" s="3"/>
      <c r="KJ445" s="3"/>
      <c r="KK445" s="3"/>
      <c r="KL445" s="3"/>
      <c r="KM445" s="3"/>
      <c r="KN445" s="3"/>
      <c r="KO445" s="3"/>
      <c r="KP445" s="3"/>
      <c r="KQ445" s="3"/>
      <c r="KR445" s="3"/>
      <c r="KS445" s="3"/>
      <c r="KT445" s="3"/>
      <c r="KU445" s="3"/>
      <c r="KV445" s="3"/>
      <c r="KW445" s="3"/>
      <c r="KX445" s="3"/>
      <c r="KY445" s="3"/>
      <c r="KZ445" s="3"/>
      <c r="LA445" s="3"/>
      <c r="LB445" s="3"/>
      <c r="LC445" s="3"/>
      <c r="LD445" s="3"/>
      <c r="LE445" s="3"/>
      <c r="LF445" s="3"/>
      <c r="LG445" s="3"/>
      <c r="LH445" s="3"/>
      <c r="LI445" s="3"/>
      <c r="LJ445" s="3"/>
      <c r="LK445" s="3"/>
      <c r="LL445" s="3"/>
      <c r="LM445" s="3"/>
      <c r="LN445" s="3"/>
      <c r="LO445" s="3"/>
      <c r="LP445" s="3"/>
      <c r="LQ445" s="3"/>
      <c r="LR445" s="3"/>
      <c r="LS445" s="3"/>
      <c r="LT445" s="3"/>
      <c r="LU445" s="3"/>
      <c r="LV445" s="3"/>
      <c r="LW445" s="3"/>
      <c r="LX445" s="3"/>
      <c r="LY445" s="3"/>
      <c r="LZ445" s="3"/>
      <c r="MA445" s="3"/>
      <c r="MB445" s="3"/>
      <c r="MC445" s="3"/>
      <c r="MD445" s="3"/>
      <c r="ME445" s="3"/>
      <c r="MF445" s="3"/>
      <c r="MG445" s="3"/>
      <c r="MH445" s="3"/>
      <c r="MI445" s="3"/>
    </row>
    <row r="446" spans="1:347"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ID446" s="3"/>
      <c r="IE446" s="3"/>
      <c r="IF446" s="3"/>
      <c r="IG446" s="3"/>
      <c r="IH446" s="3"/>
      <c r="II446" s="3"/>
      <c r="IJ446" s="3"/>
      <c r="IK446" s="3"/>
      <c r="IL446" s="3"/>
      <c r="IM446" s="3"/>
      <c r="IN446" s="3"/>
      <c r="IO446" s="3"/>
      <c r="IP446" s="3"/>
      <c r="IQ446" s="3"/>
      <c r="IR446" s="3"/>
      <c r="IS446" s="3"/>
      <c r="IT446" s="3"/>
      <c r="IU446" s="3"/>
      <c r="IV446" s="3"/>
      <c r="IW446" s="3"/>
      <c r="IX446" s="3"/>
      <c r="IY446" s="3"/>
      <c r="IZ446" s="3"/>
      <c r="JA446" s="3"/>
      <c r="JB446" s="3"/>
      <c r="JC446" s="3"/>
      <c r="JD446" s="3"/>
      <c r="JE446" s="3"/>
      <c r="JF446" s="3"/>
      <c r="JG446" s="3"/>
      <c r="JH446" s="3"/>
      <c r="JI446" s="3"/>
      <c r="JJ446" s="3"/>
      <c r="JK446" s="3"/>
      <c r="JL446" s="3"/>
      <c r="JM446" s="3"/>
      <c r="JN446" s="3"/>
      <c r="JO446" s="3"/>
      <c r="JP446" s="3"/>
      <c r="JQ446" s="3"/>
      <c r="JR446" s="3"/>
      <c r="JS446" s="3"/>
      <c r="JT446" s="3"/>
      <c r="JU446" s="3"/>
      <c r="JV446" s="3"/>
      <c r="JW446" s="3"/>
      <c r="JX446" s="3"/>
      <c r="JY446" s="3"/>
      <c r="JZ446" s="3"/>
      <c r="KA446" s="3"/>
      <c r="KB446" s="3"/>
      <c r="KC446" s="3"/>
      <c r="KD446" s="3"/>
      <c r="KE446" s="3"/>
      <c r="KF446" s="3"/>
      <c r="KG446" s="3"/>
      <c r="KH446" s="3"/>
      <c r="KI446" s="3"/>
      <c r="KJ446" s="3"/>
      <c r="KK446" s="3"/>
      <c r="KL446" s="3"/>
      <c r="KM446" s="3"/>
      <c r="KN446" s="3"/>
      <c r="KO446" s="3"/>
      <c r="KP446" s="3"/>
      <c r="KQ446" s="3"/>
      <c r="KR446" s="3"/>
      <c r="KS446" s="3"/>
      <c r="KT446" s="3"/>
      <c r="KU446" s="3"/>
      <c r="KV446" s="3"/>
      <c r="KW446" s="3"/>
      <c r="KX446" s="3"/>
      <c r="KY446" s="3"/>
      <c r="KZ446" s="3"/>
      <c r="LA446" s="3"/>
      <c r="LB446" s="3"/>
      <c r="LC446" s="3"/>
      <c r="LD446" s="3"/>
      <c r="LE446" s="3"/>
      <c r="LF446" s="3"/>
      <c r="LG446" s="3"/>
      <c r="LH446" s="3"/>
      <c r="LI446" s="3"/>
      <c r="LJ446" s="3"/>
      <c r="LK446" s="3"/>
      <c r="LL446" s="3"/>
      <c r="LM446" s="3"/>
      <c r="LN446" s="3"/>
      <c r="LO446" s="3"/>
      <c r="LP446" s="3"/>
      <c r="LQ446" s="3"/>
      <c r="LR446" s="3"/>
      <c r="LS446" s="3"/>
      <c r="LT446" s="3"/>
      <c r="LU446" s="3"/>
      <c r="LV446" s="3"/>
      <c r="LW446" s="3"/>
      <c r="LX446" s="3"/>
      <c r="LY446" s="3"/>
      <c r="LZ446" s="3"/>
      <c r="MA446" s="3"/>
      <c r="MB446" s="3"/>
      <c r="MC446" s="3"/>
      <c r="MD446" s="3"/>
      <c r="ME446" s="3"/>
      <c r="MF446" s="3"/>
      <c r="MG446" s="3"/>
      <c r="MH446" s="3"/>
      <c r="MI446" s="3"/>
    </row>
    <row r="447" spans="1:347"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ID447" s="3"/>
      <c r="IE447" s="3"/>
      <c r="IF447" s="3"/>
      <c r="IG447" s="3"/>
      <c r="IH447" s="3"/>
      <c r="II447" s="3"/>
      <c r="IJ447" s="3"/>
      <c r="IK447" s="3"/>
      <c r="IL447" s="3"/>
      <c r="IM447" s="3"/>
      <c r="IN447" s="3"/>
      <c r="IO447" s="3"/>
      <c r="IP447" s="3"/>
      <c r="IQ447" s="3"/>
      <c r="IR447" s="3"/>
      <c r="IS447" s="3"/>
      <c r="IT447" s="3"/>
      <c r="IU447" s="3"/>
      <c r="IV447" s="3"/>
      <c r="IW447" s="3"/>
      <c r="IX447" s="3"/>
      <c r="IY447" s="3"/>
      <c r="IZ447" s="3"/>
      <c r="JA447" s="3"/>
      <c r="JB447" s="3"/>
      <c r="JC447" s="3"/>
      <c r="JD447" s="3"/>
      <c r="JE447" s="3"/>
      <c r="JF447" s="3"/>
      <c r="JG447" s="3"/>
      <c r="JH447" s="3"/>
      <c r="JI447" s="3"/>
      <c r="JJ447" s="3"/>
      <c r="JK447" s="3"/>
      <c r="JL447" s="3"/>
      <c r="JM447" s="3"/>
      <c r="JN447" s="3"/>
      <c r="JO447" s="3"/>
      <c r="JP447" s="3"/>
      <c r="JQ447" s="3"/>
      <c r="JR447" s="3"/>
      <c r="JS447" s="3"/>
      <c r="JT447" s="3"/>
      <c r="JU447" s="3"/>
      <c r="JV447" s="3"/>
      <c r="JW447" s="3"/>
      <c r="JX447" s="3"/>
      <c r="JY447" s="3"/>
      <c r="JZ447" s="3"/>
      <c r="KA447" s="3"/>
      <c r="KB447" s="3"/>
      <c r="KC447" s="3"/>
      <c r="KD447" s="3"/>
      <c r="KE447" s="3"/>
      <c r="KF447" s="3"/>
      <c r="KG447" s="3"/>
      <c r="KH447" s="3"/>
      <c r="KI447" s="3"/>
      <c r="KJ447" s="3"/>
      <c r="KK447" s="3"/>
      <c r="KL447" s="3"/>
      <c r="KM447" s="3"/>
      <c r="KN447" s="3"/>
      <c r="KO447" s="3"/>
      <c r="KP447" s="3"/>
      <c r="KQ447" s="3"/>
      <c r="KR447" s="3"/>
      <c r="KS447" s="3"/>
      <c r="KT447" s="3"/>
      <c r="KU447" s="3"/>
      <c r="KV447" s="3"/>
      <c r="KW447" s="3"/>
      <c r="KX447" s="3"/>
      <c r="KY447" s="3"/>
      <c r="KZ447" s="3"/>
      <c r="LA447" s="3"/>
      <c r="LB447" s="3"/>
      <c r="LC447" s="3"/>
      <c r="LD447" s="3"/>
      <c r="LE447" s="3"/>
      <c r="LF447" s="3"/>
      <c r="LG447" s="3"/>
      <c r="LH447" s="3"/>
      <c r="LI447" s="3"/>
      <c r="LJ447" s="3"/>
      <c r="LK447" s="3"/>
      <c r="LL447" s="3"/>
      <c r="LM447" s="3"/>
      <c r="LN447" s="3"/>
      <c r="LO447" s="3"/>
      <c r="LP447" s="3"/>
      <c r="LQ447" s="3"/>
      <c r="LR447" s="3"/>
      <c r="LS447" s="3"/>
      <c r="LT447" s="3"/>
      <c r="LU447" s="3"/>
      <c r="LV447" s="3"/>
      <c r="LW447" s="3"/>
      <c r="LX447" s="3"/>
      <c r="LY447" s="3"/>
      <c r="LZ447" s="3"/>
      <c r="MA447" s="3"/>
      <c r="MB447" s="3"/>
      <c r="MC447" s="3"/>
      <c r="MD447" s="3"/>
      <c r="ME447" s="3"/>
      <c r="MF447" s="3"/>
      <c r="MG447" s="3"/>
      <c r="MH447" s="3"/>
      <c r="MI447" s="3"/>
    </row>
    <row r="448" spans="1:347"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ID448" s="3"/>
      <c r="IE448" s="3"/>
      <c r="IF448" s="3"/>
      <c r="IG448" s="3"/>
      <c r="IH448" s="3"/>
      <c r="II448" s="3"/>
      <c r="IJ448" s="3"/>
      <c r="IK448" s="3"/>
      <c r="IL448" s="3"/>
      <c r="IM448" s="3"/>
      <c r="IN448" s="3"/>
      <c r="IO448" s="3"/>
      <c r="IP448" s="3"/>
      <c r="IQ448" s="3"/>
      <c r="IR448" s="3"/>
      <c r="IS448" s="3"/>
      <c r="IT448" s="3"/>
      <c r="IU448" s="3"/>
      <c r="IV448" s="3"/>
      <c r="IW448" s="3"/>
      <c r="IX448" s="3"/>
      <c r="IY448" s="3"/>
      <c r="IZ448" s="3"/>
      <c r="JA448" s="3"/>
      <c r="JB448" s="3"/>
      <c r="JC448" s="3"/>
      <c r="JD448" s="3"/>
      <c r="JE448" s="3"/>
      <c r="JF448" s="3"/>
      <c r="JG448" s="3"/>
      <c r="JH448" s="3"/>
      <c r="JI448" s="3"/>
      <c r="JJ448" s="3"/>
      <c r="JK448" s="3"/>
      <c r="JL448" s="3"/>
      <c r="JM448" s="3"/>
      <c r="JN448" s="3"/>
      <c r="JO448" s="3"/>
      <c r="JP448" s="3"/>
      <c r="JQ448" s="3"/>
      <c r="JR448" s="3"/>
      <c r="JS448" s="3"/>
      <c r="JT448" s="3"/>
      <c r="JU448" s="3"/>
      <c r="JV448" s="3"/>
      <c r="JW448" s="3"/>
      <c r="JX448" s="3"/>
      <c r="JY448" s="3"/>
      <c r="JZ448" s="3"/>
      <c r="KA448" s="3"/>
      <c r="KB448" s="3"/>
      <c r="KC448" s="3"/>
      <c r="KD448" s="3"/>
      <c r="KE448" s="3"/>
      <c r="KF448" s="3"/>
      <c r="KG448" s="3"/>
      <c r="KH448" s="3"/>
      <c r="KI448" s="3"/>
      <c r="KJ448" s="3"/>
      <c r="KK448" s="3"/>
      <c r="KL448" s="3"/>
      <c r="KM448" s="3"/>
      <c r="KN448" s="3"/>
      <c r="KO448" s="3"/>
      <c r="KP448" s="3"/>
      <c r="KQ448" s="3"/>
      <c r="KR448" s="3"/>
      <c r="KS448" s="3"/>
      <c r="KT448" s="3"/>
      <c r="KU448" s="3"/>
      <c r="KV448" s="3"/>
      <c r="KW448" s="3"/>
      <c r="KX448" s="3"/>
      <c r="KY448" s="3"/>
      <c r="KZ448" s="3"/>
      <c r="LA448" s="3"/>
      <c r="LB448" s="3"/>
      <c r="LC448" s="3"/>
      <c r="LD448" s="3"/>
      <c r="LE448" s="3"/>
      <c r="LF448" s="3"/>
      <c r="LG448" s="3"/>
      <c r="LH448" s="3"/>
      <c r="LI448" s="3"/>
      <c r="LJ448" s="3"/>
      <c r="LK448" s="3"/>
      <c r="LL448" s="3"/>
      <c r="LM448" s="3"/>
      <c r="LN448" s="3"/>
      <c r="LO448" s="3"/>
      <c r="LP448" s="3"/>
      <c r="LQ448" s="3"/>
      <c r="LR448" s="3"/>
      <c r="LS448" s="3"/>
      <c r="LT448" s="3"/>
      <c r="LU448" s="3"/>
      <c r="LV448" s="3"/>
      <c r="LW448" s="3"/>
      <c r="LX448" s="3"/>
      <c r="LY448" s="3"/>
      <c r="LZ448" s="3"/>
      <c r="MA448" s="3"/>
      <c r="MB448" s="3"/>
      <c r="MC448" s="3"/>
      <c r="MD448" s="3"/>
      <c r="ME448" s="3"/>
      <c r="MF448" s="3"/>
      <c r="MG448" s="3"/>
      <c r="MH448" s="3"/>
      <c r="MI448" s="3"/>
    </row>
    <row r="449" spans="1:347"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ID449" s="3"/>
      <c r="IE449" s="3"/>
      <c r="IF449" s="3"/>
      <c r="IG449" s="3"/>
      <c r="IH449" s="3"/>
      <c r="II449" s="3"/>
      <c r="IJ449" s="3"/>
      <c r="IK449" s="3"/>
      <c r="IL449" s="3"/>
      <c r="IM449" s="3"/>
      <c r="IN449" s="3"/>
      <c r="IO449" s="3"/>
      <c r="IP449" s="3"/>
      <c r="IQ449" s="3"/>
      <c r="IR449" s="3"/>
      <c r="IS449" s="3"/>
      <c r="IT449" s="3"/>
      <c r="IU449" s="3"/>
      <c r="IV449" s="3"/>
      <c r="IW449" s="3"/>
      <c r="IX449" s="3"/>
      <c r="IY449" s="3"/>
      <c r="IZ449" s="3"/>
      <c r="JA449" s="3"/>
      <c r="JB449" s="3"/>
      <c r="JC449" s="3"/>
      <c r="JD449" s="3"/>
      <c r="JE449" s="3"/>
      <c r="JF449" s="3"/>
      <c r="JG449" s="3"/>
      <c r="JH449" s="3"/>
      <c r="JI449" s="3"/>
      <c r="JJ449" s="3"/>
      <c r="JK449" s="3"/>
      <c r="JL449" s="3"/>
      <c r="JM449" s="3"/>
      <c r="JN449" s="3"/>
      <c r="JO449" s="3"/>
      <c r="JP449" s="3"/>
      <c r="JQ449" s="3"/>
      <c r="JR449" s="3"/>
      <c r="JS449" s="3"/>
      <c r="JT449" s="3"/>
      <c r="JU449" s="3"/>
      <c r="JV449" s="3"/>
      <c r="JW449" s="3"/>
      <c r="JX449" s="3"/>
      <c r="JY449" s="3"/>
      <c r="JZ449" s="3"/>
      <c r="KA449" s="3"/>
      <c r="KB449" s="3"/>
      <c r="KC449" s="3"/>
      <c r="KD449" s="3"/>
      <c r="KE449" s="3"/>
      <c r="KF449" s="3"/>
      <c r="KG449" s="3"/>
      <c r="KH449" s="3"/>
      <c r="KI449" s="3"/>
      <c r="KJ449" s="3"/>
      <c r="KK449" s="3"/>
      <c r="KL449" s="3"/>
      <c r="KM449" s="3"/>
      <c r="KN449" s="3"/>
      <c r="KO449" s="3"/>
      <c r="KP449" s="3"/>
      <c r="KQ449" s="3"/>
      <c r="KR449" s="3"/>
      <c r="KS449" s="3"/>
      <c r="KT449" s="3"/>
      <c r="KU449" s="3"/>
      <c r="KV449" s="3"/>
      <c r="KW449" s="3"/>
      <c r="KX449" s="3"/>
      <c r="KY449" s="3"/>
      <c r="KZ449" s="3"/>
      <c r="LA449" s="3"/>
      <c r="LB449" s="3"/>
      <c r="LC449" s="3"/>
      <c r="LD449" s="3"/>
      <c r="LE449" s="3"/>
      <c r="LF449" s="3"/>
      <c r="LG449" s="3"/>
      <c r="LH449" s="3"/>
      <c r="LI449" s="3"/>
      <c r="LJ449" s="3"/>
      <c r="LK449" s="3"/>
      <c r="LL449" s="3"/>
      <c r="LM449" s="3"/>
      <c r="LN449" s="3"/>
      <c r="LO449" s="3"/>
      <c r="LP449" s="3"/>
      <c r="LQ449" s="3"/>
      <c r="LR449" s="3"/>
      <c r="LS449" s="3"/>
      <c r="LT449" s="3"/>
      <c r="LU449" s="3"/>
      <c r="LV449" s="3"/>
      <c r="LW449" s="3"/>
      <c r="LX449" s="3"/>
      <c r="LY449" s="3"/>
      <c r="LZ449" s="3"/>
      <c r="MA449" s="3"/>
      <c r="MB449" s="3"/>
      <c r="MC449" s="3"/>
      <c r="MD449" s="3"/>
      <c r="ME449" s="3"/>
      <c r="MF449" s="3"/>
      <c r="MG449" s="3"/>
      <c r="MH449" s="3"/>
      <c r="MI449" s="3"/>
    </row>
    <row r="450" spans="1:347"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ID450" s="3"/>
      <c r="IE450" s="3"/>
      <c r="IF450" s="3"/>
      <c r="IG450" s="3"/>
      <c r="IH450" s="3"/>
      <c r="II450" s="3"/>
      <c r="IJ450" s="3"/>
      <c r="IK450" s="3"/>
      <c r="IL450" s="3"/>
      <c r="IM450" s="3"/>
      <c r="IN450" s="3"/>
      <c r="IO450" s="3"/>
      <c r="IP450" s="3"/>
      <c r="IQ450" s="3"/>
      <c r="IR450" s="3"/>
      <c r="IS450" s="3"/>
      <c r="IT450" s="3"/>
      <c r="IU450" s="3"/>
      <c r="IV450" s="3"/>
      <c r="IW450" s="3"/>
      <c r="IX450" s="3"/>
      <c r="IY450" s="3"/>
      <c r="IZ450" s="3"/>
      <c r="JA450" s="3"/>
      <c r="JB450" s="3"/>
      <c r="JC450" s="3"/>
      <c r="JD450" s="3"/>
      <c r="JE450" s="3"/>
      <c r="JF450" s="3"/>
      <c r="JG450" s="3"/>
      <c r="JH450" s="3"/>
      <c r="JI450" s="3"/>
      <c r="JJ450" s="3"/>
      <c r="JK450" s="3"/>
      <c r="JL450" s="3"/>
      <c r="JM450" s="3"/>
      <c r="JN450" s="3"/>
      <c r="JO450" s="3"/>
      <c r="JP450" s="3"/>
      <c r="JQ450" s="3"/>
      <c r="JR450" s="3"/>
      <c r="JS450" s="3"/>
      <c r="JT450" s="3"/>
      <c r="JU450" s="3"/>
      <c r="JV450" s="3"/>
      <c r="JW450" s="3"/>
      <c r="JX450" s="3"/>
      <c r="JY450" s="3"/>
      <c r="JZ450" s="3"/>
      <c r="KA450" s="3"/>
      <c r="KB450" s="3"/>
      <c r="KC450" s="3"/>
      <c r="KD450" s="3"/>
      <c r="KE450" s="3"/>
      <c r="KF450" s="3"/>
      <c r="KG450" s="3"/>
      <c r="KH450" s="3"/>
      <c r="KI450" s="3"/>
      <c r="KJ450" s="3"/>
      <c r="KK450" s="3"/>
      <c r="KL450" s="3"/>
      <c r="KM450" s="3"/>
      <c r="KN450" s="3"/>
      <c r="KO450" s="3"/>
      <c r="KP450" s="3"/>
      <c r="KQ450" s="3"/>
      <c r="KR450" s="3"/>
      <c r="KS450" s="3"/>
      <c r="KT450" s="3"/>
      <c r="KU450" s="3"/>
      <c r="KV450" s="3"/>
      <c r="KW450" s="3"/>
      <c r="KX450" s="3"/>
      <c r="KY450" s="3"/>
      <c r="KZ450" s="3"/>
      <c r="LA450" s="3"/>
      <c r="LB450" s="3"/>
      <c r="LC450" s="3"/>
      <c r="LD450" s="3"/>
      <c r="LE450" s="3"/>
      <c r="LF450" s="3"/>
      <c r="LG450" s="3"/>
      <c r="LH450" s="3"/>
      <c r="LI450" s="3"/>
      <c r="LJ450" s="3"/>
      <c r="LK450" s="3"/>
      <c r="LL450" s="3"/>
      <c r="LM450" s="3"/>
      <c r="LN450" s="3"/>
      <c r="LO450" s="3"/>
      <c r="LP450" s="3"/>
      <c r="LQ450" s="3"/>
      <c r="LR450" s="3"/>
      <c r="LS450" s="3"/>
      <c r="LT450" s="3"/>
      <c r="LU450" s="3"/>
      <c r="LV450" s="3"/>
      <c r="LW450" s="3"/>
      <c r="LX450" s="3"/>
      <c r="LY450" s="3"/>
      <c r="LZ450" s="3"/>
      <c r="MA450" s="3"/>
      <c r="MB450" s="3"/>
      <c r="MC450" s="3"/>
      <c r="MD450" s="3"/>
      <c r="ME450" s="3"/>
      <c r="MF450" s="3"/>
      <c r="MG450" s="3"/>
      <c r="MH450" s="3"/>
      <c r="MI450" s="3"/>
    </row>
    <row r="451" spans="1:347"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ID451" s="3"/>
      <c r="IE451" s="3"/>
      <c r="IF451" s="3"/>
      <c r="IG451" s="3"/>
      <c r="IH451" s="3"/>
      <c r="II451" s="3"/>
      <c r="IJ451" s="3"/>
      <c r="IK451" s="3"/>
      <c r="IL451" s="3"/>
      <c r="IM451" s="3"/>
      <c r="IN451" s="3"/>
      <c r="IO451" s="3"/>
      <c r="IP451" s="3"/>
      <c r="IQ451" s="3"/>
      <c r="IR451" s="3"/>
      <c r="IS451" s="3"/>
      <c r="IT451" s="3"/>
      <c r="IU451" s="3"/>
      <c r="IV451" s="3"/>
      <c r="IW451" s="3"/>
      <c r="IX451" s="3"/>
      <c r="IY451" s="3"/>
      <c r="IZ451" s="3"/>
      <c r="JA451" s="3"/>
      <c r="JB451" s="3"/>
      <c r="JC451" s="3"/>
      <c r="JD451" s="3"/>
      <c r="JE451" s="3"/>
      <c r="JF451" s="3"/>
      <c r="JG451" s="3"/>
      <c r="JH451" s="3"/>
      <c r="JI451" s="3"/>
      <c r="JJ451" s="3"/>
      <c r="JK451" s="3"/>
      <c r="JL451" s="3"/>
      <c r="JM451" s="3"/>
      <c r="JN451" s="3"/>
      <c r="JO451" s="3"/>
      <c r="JP451" s="3"/>
      <c r="JQ451" s="3"/>
      <c r="JR451" s="3"/>
      <c r="JS451" s="3"/>
      <c r="JT451" s="3"/>
      <c r="JU451" s="3"/>
      <c r="JV451" s="3"/>
      <c r="JW451" s="3"/>
      <c r="JX451" s="3"/>
      <c r="JY451" s="3"/>
      <c r="JZ451" s="3"/>
      <c r="KA451" s="3"/>
      <c r="KB451" s="3"/>
      <c r="KC451" s="3"/>
      <c r="KD451" s="3"/>
      <c r="KE451" s="3"/>
      <c r="KF451" s="3"/>
      <c r="KG451" s="3"/>
      <c r="KH451" s="3"/>
      <c r="KI451" s="3"/>
      <c r="KJ451" s="3"/>
      <c r="KK451" s="3"/>
      <c r="KL451" s="3"/>
      <c r="KM451" s="3"/>
      <c r="KN451" s="3"/>
      <c r="KO451" s="3"/>
      <c r="KP451" s="3"/>
      <c r="KQ451" s="3"/>
      <c r="KR451" s="3"/>
      <c r="KS451" s="3"/>
      <c r="KT451" s="3"/>
      <c r="KU451" s="3"/>
      <c r="KV451" s="3"/>
      <c r="KW451" s="3"/>
      <c r="KX451" s="3"/>
      <c r="KY451" s="3"/>
      <c r="KZ451" s="3"/>
      <c r="LA451" s="3"/>
      <c r="LB451" s="3"/>
      <c r="LC451" s="3"/>
      <c r="LD451" s="3"/>
      <c r="LE451" s="3"/>
      <c r="LF451" s="3"/>
      <c r="LG451" s="3"/>
      <c r="LH451" s="3"/>
      <c r="LI451" s="3"/>
      <c r="LJ451" s="3"/>
      <c r="LK451" s="3"/>
      <c r="LL451" s="3"/>
      <c r="LM451" s="3"/>
      <c r="LN451" s="3"/>
      <c r="LO451" s="3"/>
      <c r="LP451" s="3"/>
      <c r="LQ451" s="3"/>
      <c r="LR451" s="3"/>
      <c r="LS451" s="3"/>
      <c r="LT451" s="3"/>
      <c r="LU451" s="3"/>
      <c r="LV451" s="3"/>
      <c r="LW451" s="3"/>
      <c r="LX451" s="3"/>
      <c r="LY451" s="3"/>
      <c r="LZ451" s="3"/>
      <c r="MA451" s="3"/>
      <c r="MB451" s="3"/>
      <c r="MC451" s="3"/>
      <c r="MD451" s="3"/>
      <c r="ME451" s="3"/>
      <c r="MF451" s="3"/>
      <c r="MG451" s="3"/>
      <c r="MH451" s="3"/>
      <c r="MI451" s="3"/>
    </row>
    <row r="452" spans="1:347"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ID452" s="3"/>
      <c r="IE452" s="3"/>
      <c r="IF452" s="3"/>
      <c r="IG452" s="3"/>
      <c r="IH452" s="3"/>
      <c r="II452" s="3"/>
      <c r="IJ452" s="3"/>
      <c r="IK452" s="3"/>
      <c r="IL452" s="3"/>
      <c r="IM452" s="3"/>
      <c r="IN452" s="3"/>
      <c r="IO452" s="3"/>
      <c r="IP452" s="3"/>
      <c r="IQ452" s="3"/>
      <c r="IR452" s="3"/>
      <c r="IS452" s="3"/>
      <c r="IT452" s="3"/>
      <c r="IU452" s="3"/>
      <c r="IV452" s="3"/>
      <c r="IW452" s="3"/>
      <c r="IX452" s="3"/>
      <c r="IY452" s="3"/>
      <c r="IZ452" s="3"/>
      <c r="JA452" s="3"/>
      <c r="JB452" s="3"/>
      <c r="JC452" s="3"/>
      <c r="JD452" s="3"/>
      <c r="JE452" s="3"/>
      <c r="JF452" s="3"/>
      <c r="JG452" s="3"/>
      <c r="JH452" s="3"/>
      <c r="JI452" s="3"/>
      <c r="JJ452" s="3"/>
      <c r="JK452" s="3"/>
      <c r="JL452" s="3"/>
      <c r="JM452" s="3"/>
      <c r="JN452" s="3"/>
      <c r="JO452" s="3"/>
      <c r="JP452" s="3"/>
      <c r="JQ452" s="3"/>
      <c r="JR452" s="3"/>
      <c r="JS452" s="3"/>
      <c r="JT452" s="3"/>
      <c r="JU452" s="3"/>
      <c r="JV452" s="3"/>
      <c r="JW452" s="3"/>
      <c r="JX452" s="3"/>
      <c r="JY452" s="3"/>
      <c r="JZ452" s="3"/>
      <c r="KA452" s="3"/>
      <c r="KB452" s="3"/>
      <c r="KC452" s="3"/>
      <c r="KD452" s="3"/>
      <c r="KE452" s="3"/>
      <c r="KF452" s="3"/>
      <c r="KG452" s="3"/>
      <c r="KH452" s="3"/>
      <c r="KI452" s="3"/>
      <c r="KJ452" s="3"/>
      <c r="KK452" s="3"/>
      <c r="KL452" s="3"/>
      <c r="KM452" s="3"/>
      <c r="KN452" s="3"/>
      <c r="KO452" s="3"/>
      <c r="KP452" s="3"/>
      <c r="KQ452" s="3"/>
      <c r="KR452" s="3"/>
      <c r="KS452" s="3"/>
      <c r="KT452" s="3"/>
      <c r="KU452" s="3"/>
      <c r="KV452" s="3"/>
      <c r="KW452" s="3"/>
      <c r="KX452" s="3"/>
      <c r="KY452" s="3"/>
      <c r="KZ452" s="3"/>
      <c r="LA452" s="3"/>
      <c r="LB452" s="3"/>
      <c r="LC452" s="3"/>
      <c r="LD452" s="3"/>
      <c r="LE452" s="3"/>
      <c r="LF452" s="3"/>
      <c r="LG452" s="3"/>
      <c r="LH452" s="3"/>
      <c r="LI452" s="3"/>
      <c r="LJ452" s="3"/>
      <c r="LK452" s="3"/>
      <c r="LL452" s="3"/>
      <c r="LM452" s="3"/>
      <c r="LN452" s="3"/>
      <c r="LO452" s="3"/>
      <c r="LP452" s="3"/>
      <c r="LQ452" s="3"/>
      <c r="LR452" s="3"/>
      <c r="LS452" s="3"/>
      <c r="LT452" s="3"/>
      <c r="LU452" s="3"/>
      <c r="LV452" s="3"/>
      <c r="LW452" s="3"/>
      <c r="LX452" s="3"/>
      <c r="LY452" s="3"/>
      <c r="LZ452" s="3"/>
      <c r="MA452" s="3"/>
      <c r="MB452" s="3"/>
      <c r="MC452" s="3"/>
      <c r="MD452" s="3"/>
      <c r="ME452" s="3"/>
      <c r="MF452" s="3"/>
      <c r="MG452" s="3"/>
      <c r="MH452" s="3"/>
      <c r="MI452" s="3"/>
    </row>
    <row r="453" spans="1:347"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ID453" s="3"/>
      <c r="IE453" s="3"/>
      <c r="IF453" s="3"/>
      <c r="IG453" s="3"/>
      <c r="IH453" s="3"/>
      <c r="II453" s="3"/>
      <c r="IJ453" s="3"/>
      <c r="IK453" s="3"/>
      <c r="IL453" s="3"/>
      <c r="IM453" s="3"/>
      <c r="IN453" s="3"/>
      <c r="IO453" s="3"/>
      <c r="IP453" s="3"/>
      <c r="IQ453" s="3"/>
      <c r="IR453" s="3"/>
      <c r="IS453" s="3"/>
      <c r="IT453" s="3"/>
      <c r="IU453" s="3"/>
      <c r="IV453" s="3"/>
      <c r="IW453" s="3"/>
      <c r="IX453" s="3"/>
      <c r="IY453" s="3"/>
      <c r="IZ453" s="3"/>
      <c r="JA453" s="3"/>
      <c r="JB453" s="3"/>
      <c r="JC453" s="3"/>
      <c r="JD453" s="3"/>
      <c r="JE453" s="3"/>
      <c r="JF453" s="3"/>
      <c r="JG453" s="3"/>
      <c r="JH453" s="3"/>
      <c r="JI453" s="3"/>
      <c r="JJ453" s="3"/>
      <c r="JK453" s="3"/>
      <c r="JL453" s="3"/>
      <c r="JM453" s="3"/>
      <c r="JN453" s="3"/>
      <c r="JO453" s="3"/>
      <c r="JP453" s="3"/>
      <c r="JQ453" s="3"/>
      <c r="JR453" s="3"/>
      <c r="JS453" s="3"/>
      <c r="JT453" s="3"/>
      <c r="JU453" s="3"/>
      <c r="JV453" s="3"/>
      <c r="JW453" s="3"/>
      <c r="JX453" s="3"/>
      <c r="JY453" s="3"/>
      <c r="JZ453" s="3"/>
      <c r="KA453" s="3"/>
      <c r="KB453" s="3"/>
      <c r="KC453" s="3"/>
      <c r="KD453" s="3"/>
      <c r="KE453" s="3"/>
      <c r="KF453" s="3"/>
      <c r="KG453" s="3"/>
      <c r="KH453" s="3"/>
      <c r="KI453" s="3"/>
      <c r="KJ453" s="3"/>
      <c r="KK453" s="3"/>
      <c r="KL453" s="3"/>
      <c r="KM453" s="3"/>
      <c r="KN453" s="3"/>
      <c r="KO453" s="3"/>
      <c r="KP453" s="3"/>
      <c r="KQ453" s="3"/>
      <c r="KR453" s="3"/>
      <c r="KS453" s="3"/>
      <c r="KT453" s="3"/>
      <c r="KU453" s="3"/>
      <c r="KV453" s="3"/>
      <c r="KW453" s="3"/>
      <c r="KX453" s="3"/>
      <c r="KY453" s="3"/>
      <c r="KZ453" s="3"/>
      <c r="LA453" s="3"/>
      <c r="LB453" s="3"/>
      <c r="LC453" s="3"/>
      <c r="LD453" s="3"/>
      <c r="LE453" s="3"/>
      <c r="LF453" s="3"/>
      <c r="LG453" s="3"/>
      <c r="LH453" s="3"/>
      <c r="LI453" s="3"/>
      <c r="LJ453" s="3"/>
      <c r="LK453" s="3"/>
      <c r="LL453" s="3"/>
      <c r="LM453" s="3"/>
      <c r="LN453" s="3"/>
      <c r="LO453" s="3"/>
      <c r="LP453" s="3"/>
      <c r="LQ453" s="3"/>
      <c r="LR453" s="3"/>
      <c r="LS453" s="3"/>
      <c r="LT453" s="3"/>
      <c r="LU453" s="3"/>
      <c r="LV453" s="3"/>
      <c r="LW453" s="3"/>
      <c r="LX453" s="3"/>
      <c r="LY453" s="3"/>
      <c r="LZ453" s="3"/>
      <c r="MA453" s="3"/>
      <c r="MB453" s="3"/>
      <c r="MC453" s="3"/>
      <c r="MD453" s="3"/>
      <c r="ME453" s="3"/>
      <c r="MF453" s="3"/>
      <c r="MG453" s="3"/>
      <c r="MH453" s="3"/>
      <c r="MI453" s="3"/>
    </row>
    <row r="454" spans="1:347"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ID454" s="3"/>
      <c r="IE454" s="3"/>
      <c r="IF454" s="3"/>
      <c r="IG454" s="3"/>
      <c r="IH454" s="3"/>
      <c r="II454" s="3"/>
      <c r="IJ454" s="3"/>
      <c r="IK454" s="3"/>
      <c r="IL454" s="3"/>
      <c r="IM454" s="3"/>
      <c r="IN454" s="3"/>
      <c r="IO454" s="3"/>
      <c r="IP454" s="3"/>
      <c r="IQ454" s="3"/>
      <c r="IR454" s="3"/>
      <c r="IS454" s="3"/>
      <c r="IT454" s="3"/>
      <c r="IU454" s="3"/>
      <c r="IV454" s="3"/>
      <c r="IW454" s="3"/>
      <c r="IX454" s="3"/>
      <c r="IY454" s="3"/>
      <c r="IZ454" s="3"/>
      <c r="JA454" s="3"/>
      <c r="JB454" s="3"/>
      <c r="JC454" s="3"/>
      <c r="JD454" s="3"/>
      <c r="JE454" s="3"/>
      <c r="JF454" s="3"/>
      <c r="JG454" s="3"/>
      <c r="JH454" s="3"/>
      <c r="JI454" s="3"/>
      <c r="JJ454" s="3"/>
      <c r="JK454" s="3"/>
      <c r="JL454" s="3"/>
      <c r="JM454" s="3"/>
      <c r="JN454" s="3"/>
      <c r="JO454" s="3"/>
      <c r="JP454" s="3"/>
      <c r="JQ454" s="3"/>
      <c r="JR454" s="3"/>
      <c r="JS454" s="3"/>
      <c r="JT454" s="3"/>
      <c r="JU454" s="3"/>
      <c r="JV454" s="3"/>
      <c r="JW454" s="3"/>
      <c r="JX454" s="3"/>
      <c r="JY454" s="3"/>
      <c r="JZ454" s="3"/>
      <c r="KA454" s="3"/>
      <c r="KB454" s="3"/>
      <c r="KC454" s="3"/>
      <c r="KD454" s="3"/>
      <c r="KE454" s="3"/>
      <c r="KF454" s="3"/>
      <c r="KG454" s="3"/>
      <c r="KH454" s="3"/>
      <c r="KI454" s="3"/>
      <c r="KJ454" s="3"/>
      <c r="KK454" s="3"/>
      <c r="KL454" s="3"/>
      <c r="KM454" s="3"/>
      <c r="KN454" s="3"/>
      <c r="KO454" s="3"/>
      <c r="KP454" s="3"/>
      <c r="KQ454" s="3"/>
      <c r="KR454" s="3"/>
      <c r="KS454" s="3"/>
      <c r="KT454" s="3"/>
      <c r="KU454" s="3"/>
      <c r="KV454" s="3"/>
      <c r="KW454" s="3"/>
      <c r="KX454" s="3"/>
      <c r="KY454" s="3"/>
      <c r="KZ454" s="3"/>
      <c r="LA454" s="3"/>
      <c r="LB454" s="3"/>
      <c r="LC454" s="3"/>
      <c r="LD454" s="3"/>
      <c r="LE454" s="3"/>
      <c r="LF454" s="3"/>
      <c r="LG454" s="3"/>
      <c r="LH454" s="3"/>
      <c r="LI454" s="3"/>
      <c r="LJ454" s="3"/>
      <c r="LK454" s="3"/>
      <c r="LL454" s="3"/>
      <c r="LM454" s="3"/>
      <c r="LN454" s="3"/>
      <c r="LO454" s="3"/>
      <c r="LP454" s="3"/>
      <c r="LQ454" s="3"/>
      <c r="LR454" s="3"/>
      <c r="LS454" s="3"/>
      <c r="LT454" s="3"/>
      <c r="LU454" s="3"/>
      <c r="LV454" s="3"/>
      <c r="LW454" s="3"/>
      <c r="LX454" s="3"/>
      <c r="LY454" s="3"/>
      <c r="LZ454" s="3"/>
      <c r="MA454" s="3"/>
      <c r="MB454" s="3"/>
      <c r="MC454" s="3"/>
      <c r="MD454" s="3"/>
      <c r="ME454" s="3"/>
      <c r="MF454" s="3"/>
      <c r="MG454" s="3"/>
      <c r="MH454" s="3"/>
      <c r="MI454" s="3"/>
    </row>
    <row r="455" spans="1:347"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c r="HX455" s="3"/>
      <c r="HY455" s="3"/>
      <c r="HZ455" s="3"/>
      <c r="IA455" s="3"/>
      <c r="IB455" s="3"/>
      <c r="IC455" s="3"/>
      <c r="ID455" s="3"/>
      <c r="IE455" s="3"/>
      <c r="IF455" s="3"/>
      <c r="IG455" s="3"/>
      <c r="IH455" s="3"/>
      <c r="II455" s="3"/>
      <c r="IJ455" s="3"/>
      <c r="IK455" s="3"/>
      <c r="IL455" s="3"/>
      <c r="IM455" s="3"/>
      <c r="IN455" s="3"/>
      <c r="IO455" s="3"/>
      <c r="IP455" s="3"/>
      <c r="IQ455" s="3"/>
      <c r="IR455" s="3"/>
      <c r="IS455" s="3"/>
      <c r="IT455" s="3"/>
      <c r="IU455" s="3"/>
      <c r="IV455" s="3"/>
      <c r="IW455" s="3"/>
      <c r="IX455" s="3"/>
      <c r="IY455" s="3"/>
      <c r="IZ455" s="3"/>
      <c r="JA455" s="3"/>
      <c r="JB455" s="3"/>
      <c r="JC455" s="3"/>
      <c r="JD455" s="3"/>
      <c r="JE455" s="3"/>
      <c r="JF455" s="3"/>
      <c r="JG455" s="3"/>
      <c r="JH455" s="3"/>
      <c r="JI455" s="3"/>
      <c r="JJ455" s="3"/>
      <c r="JK455" s="3"/>
      <c r="JL455" s="3"/>
      <c r="JM455" s="3"/>
      <c r="JN455" s="3"/>
      <c r="JO455" s="3"/>
      <c r="JP455" s="3"/>
      <c r="JQ455" s="3"/>
      <c r="JR455" s="3"/>
      <c r="JS455" s="3"/>
      <c r="JT455" s="3"/>
      <c r="JU455" s="3"/>
      <c r="JV455" s="3"/>
      <c r="JW455" s="3"/>
      <c r="JX455" s="3"/>
      <c r="JY455" s="3"/>
      <c r="JZ455" s="3"/>
      <c r="KA455" s="3"/>
      <c r="KB455" s="3"/>
      <c r="KC455" s="3"/>
      <c r="KD455" s="3"/>
      <c r="KE455" s="3"/>
      <c r="KF455" s="3"/>
      <c r="KG455" s="3"/>
      <c r="KH455" s="3"/>
      <c r="KI455" s="3"/>
      <c r="KJ455" s="3"/>
      <c r="KK455" s="3"/>
      <c r="KL455" s="3"/>
      <c r="KM455" s="3"/>
      <c r="KN455" s="3"/>
      <c r="KO455" s="3"/>
      <c r="KP455" s="3"/>
      <c r="KQ455" s="3"/>
      <c r="KR455" s="3"/>
      <c r="KS455" s="3"/>
      <c r="KT455" s="3"/>
      <c r="KU455" s="3"/>
      <c r="KV455" s="3"/>
      <c r="KW455" s="3"/>
      <c r="KX455" s="3"/>
      <c r="KY455" s="3"/>
      <c r="KZ455" s="3"/>
      <c r="LA455" s="3"/>
      <c r="LB455" s="3"/>
      <c r="LC455" s="3"/>
      <c r="LD455" s="3"/>
      <c r="LE455" s="3"/>
      <c r="LF455" s="3"/>
      <c r="LG455" s="3"/>
      <c r="LH455" s="3"/>
      <c r="LI455" s="3"/>
      <c r="LJ455" s="3"/>
      <c r="LK455" s="3"/>
      <c r="LL455" s="3"/>
      <c r="LM455" s="3"/>
      <c r="LN455" s="3"/>
      <c r="LO455" s="3"/>
      <c r="LP455" s="3"/>
      <c r="LQ455" s="3"/>
      <c r="LR455" s="3"/>
      <c r="LS455" s="3"/>
      <c r="LT455" s="3"/>
      <c r="LU455" s="3"/>
      <c r="LV455" s="3"/>
      <c r="LW455" s="3"/>
      <c r="LX455" s="3"/>
      <c r="LY455" s="3"/>
      <c r="LZ455" s="3"/>
      <c r="MA455" s="3"/>
      <c r="MB455" s="3"/>
      <c r="MC455" s="3"/>
      <c r="MD455" s="3"/>
      <c r="ME455" s="3"/>
      <c r="MF455" s="3"/>
      <c r="MG455" s="3"/>
      <c r="MH455" s="3"/>
      <c r="MI455" s="3"/>
    </row>
    <row r="456" spans="1:347"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row>
    <row r="457" spans="1:347"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ID457" s="3"/>
      <c r="IE457" s="3"/>
      <c r="IF457" s="3"/>
      <c r="IG457" s="3"/>
      <c r="IH457" s="3"/>
      <c r="II457" s="3"/>
      <c r="IJ457" s="3"/>
      <c r="IK457" s="3"/>
      <c r="IL457" s="3"/>
      <c r="IM457" s="3"/>
      <c r="IN457" s="3"/>
      <c r="IO457" s="3"/>
      <c r="IP457" s="3"/>
      <c r="IQ457" s="3"/>
      <c r="IR457" s="3"/>
      <c r="IS457" s="3"/>
      <c r="IT457" s="3"/>
      <c r="IU457" s="3"/>
      <c r="IV457" s="3"/>
      <c r="IW457" s="3"/>
      <c r="IX457" s="3"/>
      <c r="IY457" s="3"/>
      <c r="IZ457" s="3"/>
      <c r="JA457" s="3"/>
      <c r="JB457" s="3"/>
      <c r="JC457" s="3"/>
      <c r="JD457" s="3"/>
      <c r="JE457" s="3"/>
      <c r="JF457" s="3"/>
      <c r="JG457" s="3"/>
      <c r="JH457" s="3"/>
      <c r="JI457" s="3"/>
      <c r="JJ457" s="3"/>
      <c r="JK457" s="3"/>
      <c r="JL457" s="3"/>
      <c r="JM457" s="3"/>
      <c r="JN457" s="3"/>
      <c r="JO457" s="3"/>
      <c r="JP457" s="3"/>
      <c r="JQ457" s="3"/>
      <c r="JR457" s="3"/>
      <c r="JS457" s="3"/>
      <c r="JT457" s="3"/>
      <c r="JU457" s="3"/>
      <c r="JV457" s="3"/>
      <c r="JW457" s="3"/>
      <c r="JX457" s="3"/>
      <c r="JY457" s="3"/>
      <c r="JZ457" s="3"/>
      <c r="KA457" s="3"/>
      <c r="KB457" s="3"/>
      <c r="KC457" s="3"/>
      <c r="KD457" s="3"/>
      <c r="KE457" s="3"/>
      <c r="KF457" s="3"/>
      <c r="KG457" s="3"/>
      <c r="KH457" s="3"/>
      <c r="KI457" s="3"/>
      <c r="KJ457" s="3"/>
      <c r="KK457" s="3"/>
      <c r="KL457" s="3"/>
      <c r="KM457" s="3"/>
      <c r="KN457" s="3"/>
      <c r="KO457" s="3"/>
      <c r="KP457" s="3"/>
      <c r="KQ457" s="3"/>
      <c r="KR457" s="3"/>
      <c r="KS457" s="3"/>
      <c r="KT457" s="3"/>
      <c r="KU457" s="3"/>
      <c r="KV457" s="3"/>
      <c r="KW457" s="3"/>
      <c r="KX457" s="3"/>
      <c r="KY457" s="3"/>
      <c r="KZ457" s="3"/>
      <c r="LA457" s="3"/>
      <c r="LB457" s="3"/>
      <c r="LC457" s="3"/>
      <c r="LD457" s="3"/>
      <c r="LE457" s="3"/>
      <c r="LF457" s="3"/>
      <c r="LG457" s="3"/>
      <c r="LH457" s="3"/>
      <c r="LI457" s="3"/>
      <c r="LJ457" s="3"/>
      <c r="LK457" s="3"/>
      <c r="LL457" s="3"/>
      <c r="LM457" s="3"/>
      <c r="LN457" s="3"/>
      <c r="LO457" s="3"/>
      <c r="LP457" s="3"/>
      <c r="LQ457" s="3"/>
      <c r="LR457" s="3"/>
      <c r="LS457" s="3"/>
      <c r="LT457" s="3"/>
      <c r="LU457" s="3"/>
      <c r="LV457" s="3"/>
      <c r="LW457" s="3"/>
      <c r="LX457" s="3"/>
      <c r="LY457" s="3"/>
      <c r="LZ457" s="3"/>
      <c r="MA457" s="3"/>
      <c r="MB457" s="3"/>
      <c r="MC457" s="3"/>
      <c r="MD457" s="3"/>
      <c r="ME457" s="3"/>
      <c r="MF457" s="3"/>
      <c r="MG457" s="3"/>
      <c r="MH457" s="3"/>
      <c r="MI457" s="3"/>
    </row>
    <row r="458" spans="1:347"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ID458" s="3"/>
      <c r="IE458" s="3"/>
      <c r="IF458" s="3"/>
      <c r="IG458" s="3"/>
      <c r="IH458" s="3"/>
      <c r="II458" s="3"/>
      <c r="IJ458" s="3"/>
      <c r="IK458" s="3"/>
      <c r="IL458" s="3"/>
      <c r="IM458" s="3"/>
      <c r="IN458" s="3"/>
      <c r="IO458" s="3"/>
      <c r="IP458" s="3"/>
      <c r="IQ458" s="3"/>
      <c r="IR458" s="3"/>
      <c r="IS458" s="3"/>
      <c r="IT458" s="3"/>
      <c r="IU458" s="3"/>
      <c r="IV458" s="3"/>
      <c r="IW458" s="3"/>
      <c r="IX458" s="3"/>
      <c r="IY458" s="3"/>
      <c r="IZ458" s="3"/>
      <c r="JA458" s="3"/>
      <c r="JB458" s="3"/>
      <c r="JC458" s="3"/>
      <c r="JD458" s="3"/>
      <c r="JE458" s="3"/>
      <c r="JF458" s="3"/>
      <c r="JG458" s="3"/>
      <c r="JH458" s="3"/>
      <c r="JI458" s="3"/>
      <c r="JJ458" s="3"/>
      <c r="JK458" s="3"/>
      <c r="JL458" s="3"/>
      <c r="JM458" s="3"/>
      <c r="JN458" s="3"/>
      <c r="JO458" s="3"/>
      <c r="JP458" s="3"/>
      <c r="JQ458" s="3"/>
      <c r="JR458" s="3"/>
      <c r="JS458" s="3"/>
      <c r="JT458" s="3"/>
      <c r="JU458" s="3"/>
      <c r="JV458" s="3"/>
      <c r="JW458" s="3"/>
      <c r="JX458" s="3"/>
      <c r="JY458" s="3"/>
      <c r="JZ458" s="3"/>
      <c r="KA458" s="3"/>
      <c r="KB458" s="3"/>
      <c r="KC458" s="3"/>
      <c r="KD458" s="3"/>
      <c r="KE458" s="3"/>
      <c r="KF458" s="3"/>
      <c r="KG458" s="3"/>
      <c r="KH458" s="3"/>
      <c r="KI458" s="3"/>
      <c r="KJ458" s="3"/>
      <c r="KK458" s="3"/>
      <c r="KL458" s="3"/>
      <c r="KM458" s="3"/>
      <c r="KN458" s="3"/>
      <c r="KO458" s="3"/>
      <c r="KP458" s="3"/>
      <c r="KQ458" s="3"/>
      <c r="KR458" s="3"/>
      <c r="KS458" s="3"/>
      <c r="KT458" s="3"/>
      <c r="KU458" s="3"/>
      <c r="KV458" s="3"/>
      <c r="KW458" s="3"/>
      <c r="KX458" s="3"/>
      <c r="KY458" s="3"/>
      <c r="KZ458" s="3"/>
      <c r="LA458" s="3"/>
      <c r="LB458" s="3"/>
      <c r="LC458" s="3"/>
      <c r="LD458" s="3"/>
      <c r="LE458" s="3"/>
      <c r="LF458" s="3"/>
      <c r="LG458" s="3"/>
      <c r="LH458" s="3"/>
      <c r="LI458" s="3"/>
      <c r="LJ458" s="3"/>
      <c r="LK458" s="3"/>
      <c r="LL458" s="3"/>
      <c r="LM458" s="3"/>
      <c r="LN458" s="3"/>
      <c r="LO458" s="3"/>
      <c r="LP458" s="3"/>
      <c r="LQ458" s="3"/>
      <c r="LR458" s="3"/>
      <c r="LS458" s="3"/>
      <c r="LT458" s="3"/>
      <c r="LU458" s="3"/>
      <c r="LV458" s="3"/>
      <c r="LW458" s="3"/>
      <c r="LX458" s="3"/>
      <c r="LY458" s="3"/>
      <c r="LZ458" s="3"/>
      <c r="MA458" s="3"/>
      <c r="MB458" s="3"/>
      <c r="MC458" s="3"/>
      <c r="MD458" s="3"/>
      <c r="ME458" s="3"/>
      <c r="MF458" s="3"/>
      <c r="MG458" s="3"/>
      <c r="MH458" s="3"/>
      <c r="MI458" s="3"/>
    </row>
    <row r="459" spans="1:347"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ID459" s="3"/>
      <c r="IE459" s="3"/>
      <c r="IF459" s="3"/>
      <c r="IG459" s="3"/>
      <c r="IH459" s="3"/>
      <c r="II459" s="3"/>
      <c r="IJ459" s="3"/>
      <c r="IK459" s="3"/>
      <c r="IL459" s="3"/>
      <c r="IM459" s="3"/>
      <c r="IN459" s="3"/>
      <c r="IO459" s="3"/>
      <c r="IP459" s="3"/>
      <c r="IQ459" s="3"/>
      <c r="IR459" s="3"/>
      <c r="IS459" s="3"/>
      <c r="IT459" s="3"/>
      <c r="IU459" s="3"/>
      <c r="IV459" s="3"/>
      <c r="IW459" s="3"/>
      <c r="IX459" s="3"/>
      <c r="IY459" s="3"/>
      <c r="IZ459" s="3"/>
      <c r="JA459" s="3"/>
      <c r="JB459" s="3"/>
      <c r="JC459" s="3"/>
      <c r="JD459" s="3"/>
      <c r="JE459" s="3"/>
      <c r="JF459" s="3"/>
      <c r="JG459" s="3"/>
      <c r="JH459" s="3"/>
      <c r="JI459" s="3"/>
      <c r="JJ459" s="3"/>
      <c r="JK459" s="3"/>
      <c r="JL459" s="3"/>
      <c r="JM459" s="3"/>
      <c r="JN459" s="3"/>
      <c r="JO459" s="3"/>
      <c r="JP459" s="3"/>
      <c r="JQ459" s="3"/>
      <c r="JR459" s="3"/>
      <c r="JS459" s="3"/>
      <c r="JT459" s="3"/>
      <c r="JU459" s="3"/>
      <c r="JV459" s="3"/>
      <c r="JW459" s="3"/>
      <c r="JX459" s="3"/>
      <c r="JY459" s="3"/>
      <c r="JZ459" s="3"/>
      <c r="KA459" s="3"/>
      <c r="KB459" s="3"/>
      <c r="KC459" s="3"/>
      <c r="KD459" s="3"/>
      <c r="KE459" s="3"/>
      <c r="KF459" s="3"/>
      <c r="KG459" s="3"/>
      <c r="KH459" s="3"/>
      <c r="KI459" s="3"/>
      <c r="KJ459" s="3"/>
      <c r="KK459" s="3"/>
      <c r="KL459" s="3"/>
      <c r="KM459" s="3"/>
      <c r="KN459" s="3"/>
      <c r="KO459" s="3"/>
      <c r="KP459" s="3"/>
      <c r="KQ459" s="3"/>
      <c r="KR459" s="3"/>
      <c r="KS459" s="3"/>
      <c r="KT459" s="3"/>
      <c r="KU459" s="3"/>
      <c r="KV459" s="3"/>
      <c r="KW459" s="3"/>
      <c r="KX459" s="3"/>
      <c r="KY459" s="3"/>
      <c r="KZ459" s="3"/>
      <c r="LA459" s="3"/>
      <c r="LB459" s="3"/>
      <c r="LC459" s="3"/>
      <c r="LD459" s="3"/>
      <c r="LE459" s="3"/>
      <c r="LF459" s="3"/>
      <c r="LG459" s="3"/>
      <c r="LH459" s="3"/>
      <c r="LI459" s="3"/>
      <c r="LJ459" s="3"/>
      <c r="LK459" s="3"/>
      <c r="LL459" s="3"/>
      <c r="LM459" s="3"/>
      <c r="LN459" s="3"/>
      <c r="LO459" s="3"/>
      <c r="LP459" s="3"/>
      <c r="LQ459" s="3"/>
      <c r="LR459" s="3"/>
      <c r="LS459" s="3"/>
      <c r="LT459" s="3"/>
      <c r="LU459" s="3"/>
      <c r="LV459" s="3"/>
      <c r="LW459" s="3"/>
      <c r="LX459" s="3"/>
      <c r="LY459" s="3"/>
      <c r="LZ459" s="3"/>
      <c r="MA459" s="3"/>
      <c r="MB459" s="3"/>
      <c r="MC459" s="3"/>
      <c r="MD459" s="3"/>
      <c r="ME459" s="3"/>
      <c r="MF459" s="3"/>
      <c r="MG459" s="3"/>
      <c r="MH459" s="3"/>
      <c r="MI459" s="3"/>
    </row>
    <row r="460" spans="1:347"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ID460" s="3"/>
      <c r="IE460" s="3"/>
      <c r="IF460" s="3"/>
      <c r="IG460" s="3"/>
      <c r="IH460" s="3"/>
      <c r="II460" s="3"/>
      <c r="IJ460" s="3"/>
      <c r="IK460" s="3"/>
      <c r="IL460" s="3"/>
      <c r="IM460" s="3"/>
      <c r="IN460" s="3"/>
      <c r="IO460" s="3"/>
      <c r="IP460" s="3"/>
      <c r="IQ460" s="3"/>
      <c r="IR460" s="3"/>
      <c r="IS460" s="3"/>
      <c r="IT460" s="3"/>
      <c r="IU460" s="3"/>
      <c r="IV460" s="3"/>
      <c r="IW460" s="3"/>
      <c r="IX460" s="3"/>
      <c r="IY460" s="3"/>
      <c r="IZ460" s="3"/>
      <c r="JA460" s="3"/>
      <c r="JB460" s="3"/>
      <c r="JC460" s="3"/>
      <c r="JD460" s="3"/>
      <c r="JE460" s="3"/>
      <c r="JF460" s="3"/>
      <c r="JG460" s="3"/>
      <c r="JH460" s="3"/>
      <c r="JI460" s="3"/>
      <c r="JJ460" s="3"/>
      <c r="JK460" s="3"/>
      <c r="JL460" s="3"/>
      <c r="JM460" s="3"/>
      <c r="JN460" s="3"/>
      <c r="JO460" s="3"/>
      <c r="JP460" s="3"/>
      <c r="JQ460" s="3"/>
      <c r="JR460" s="3"/>
      <c r="JS460" s="3"/>
      <c r="JT460" s="3"/>
      <c r="JU460" s="3"/>
      <c r="JV460" s="3"/>
      <c r="JW460" s="3"/>
      <c r="JX460" s="3"/>
      <c r="JY460" s="3"/>
      <c r="JZ460" s="3"/>
      <c r="KA460" s="3"/>
      <c r="KB460" s="3"/>
      <c r="KC460" s="3"/>
      <c r="KD460" s="3"/>
      <c r="KE460" s="3"/>
      <c r="KF460" s="3"/>
      <c r="KG460" s="3"/>
      <c r="KH460" s="3"/>
      <c r="KI460" s="3"/>
      <c r="KJ460" s="3"/>
      <c r="KK460" s="3"/>
      <c r="KL460" s="3"/>
      <c r="KM460" s="3"/>
      <c r="KN460" s="3"/>
      <c r="KO460" s="3"/>
      <c r="KP460" s="3"/>
      <c r="KQ460" s="3"/>
      <c r="KR460" s="3"/>
      <c r="KS460" s="3"/>
      <c r="KT460" s="3"/>
      <c r="KU460" s="3"/>
      <c r="KV460" s="3"/>
      <c r="KW460" s="3"/>
      <c r="KX460" s="3"/>
      <c r="KY460" s="3"/>
      <c r="KZ460" s="3"/>
      <c r="LA460" s="3"/>
      <c r="LB460" s="3"/>
      <c r="LC460" s="3"/>
      <c r="LD460" s="3"/>
      <c r="LE460" s="3"/>
      <c r="LF460" s="3"/>
      <c r="LG460" s="3"/>
      <c r="LH460" s="3"/>
      <c r="LI460" s="3"/>
      <c r="LJ460" s="3"/>
      <c r="LK460" s="3"/>
      <c r="LL460" s="3"/>
      <c r="LM460" s="3"/>
      <c r="LN460" s="3"/>
      <c r="LO460" s="3"/>
      <c r="LP460" s="3"/>
      <c r="LQ460" s="3"/>
      <c r="LR460" s="3"/>
      <c r="LS460" s="3"/>
      <c r="LT460" s="3"/>
      <c r="LU460" s="3"/>
      <c r="LV460" s="3"/>
      <c r="LW460" s="3"/>
      <c r="LX460" s="3"/>
      <c r="LY460" s="3"/>
      <c r="LZ460" s="3"/>
      <c r="MA460" s="3"/>
      <c r="MB460" s="3"/>
      <c r="MC460" s="3"/>
      <c r="MD460" s="3"/>
      <c r="ME460" s="3"/>
      <c r="MF460" s="3"/>
      <c r="MG460" s="3"/>
      <c r="MH460" s="3"/>
      <c r="MI460" s="3"/>
    </row>
    <row r="461" spans="1:347"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ID461" s="3"/>
      <c r="IE461" s="3"/>
      <c r="IF461" s="3"/>
      <c r="IG461" s="3"/>
      <c r="IH461" s="3"/>
      <c r="II461" s="3"/>
      <c r="IJ461" s="3"/>
      <c r="IK461" s="3"/>
      <c r="IL461" s="3"/>
      <c r="IM461" s="3"/>
      <c r="IN461" s="3"/>
      <c r="IO461" s="3"/>
      <c r="IP461" s="3"/>
      <c r="IQ461" s="3"/>
      <c r="IR461" s="3"/>
      <c r="IS461" s="3"/>
      <c r="IT461" s="3"/>
      <c r="IU461" s="3"/>
      <c r="IV461" s="3"/>
      <c r="IW461" s="3"/>
      <c r="IX461" s="3"/>
      <c r="IY461" s="3"/>
      <c r="IZ461" s="3"/>
      <c r="JA461" s="3"/>
      <c r="JB461" s="3"/>
      <c r="JC461" s="3"/>
      <c r="JD461" s="3"/>
      <c r="JE461" s="3"/>
      <c r="JF461" s="3"/>
      <c r="JG461" s="3"/>
      <c r="JH461" s="3"/>
      <c r="JI461" s="3"/>
      <c r="JJ461" s="3"/>
      <c r="JK461" s="3"/>
      <c r="JL461" s="3"/>
      <c r="JM461" s="3"/>
      <c r="JN461" s="3"/>
      <c r="JO461" s="3"/>
      <c r="JP461" s="3"/>
      <c r="JQ461" s="3"/>
      <c r="JR461" s="3"/>
      <c r="JS461" s="3"/>
      <c r="JT461" s="3"/>
      <c r="JU461" s="3"/>
      <c r="JV461" s="3"/>
      <c r="JW461" s="3"/>
      <c r="JX461" s="3"/>
      <c r="JY461" s="3"/>
      <c r="JZ461" s="3"/>
      <c r="KA461" s="3"/>
      <c r="KB461" s="3"/>
      <c r="KC461" s="3"/>
      <c r="KD461" s="3"/>
      <c r="KE461" s="3"/>
      <c r="KF461" s="3"/>
      <c r="KG461" s="3"/>
      <c r="KH461" s="3"/>
      <c r="KI461" s="3"/>
      <c r="KJ461" s="3"/>
      <c r="KK461" s="3"/>
      <c r="KL461" s="3"/>
      <c r="KM461" s="3"/>
      <c r="KN461" s="3"/>
      <c r="KO461" s="3"/>
      <c r="KP461" s="3"/>
      <c r="KQ461" s="3"/>
      <c r="KR461" s="3"/>
      <c r="KS461" s="3"/>
      <c r="KT461" s="3"/>
      <c r="KU461" s="3"/>
      <c r="KV461" s="3"/>
      <c r="KW461" s="3"/>
      <c r="KX461" s="3"/>
      <c r="KY461" s="3"/>
      <c r="KZ461" s="3"/>
      <c r="LA461" s="3"/>
      <c r="LB461" s="3"/>
      <c r="LC461" s="3"/>
      <c r="LD461" s="3"/>
      <c r="LE461" s="3"/>
      <c r="LF461" s="3"/>
      <c r="LG461" s="3"/>
      <c r="LH461" s="3"/>
      <c r="LI461" s="3"/>
      <c r="LJ461" s="3"/>
      <c r="LK461" s="3"/>
      <c r="LL461" s="3"/>
      <c r="LM461" s="3"/>
      <c r="LN461" s="3"/>
      <c r="LO461" s="3"/>
      <c r="LP461" s="3"/>
      <c r="LQ461" s="3"/>
      <c r="LR461" s="3"/>
      <c r="LS461" s="3"/>
      <c r="LT461" s="3"/>
      <c r="LU461" s="3"/>
      <c r="LV461" s="3"/>
      <c r="LW461" s="3"/>
      <c r="LX461" s="3"/>
      <c r="LY461" s="3"/>
      <c r="LZ461" s="3"/>
      <c r="MA461" s="3"/>
      <c r="MB461" s="3"/>
      <c r="MC461" s="3"/>
      <c r="MD461" s="3"/>
      <c r="ME461" s="3"/>
      <c r="MF461" s="3"/>
      <c r="MG461" s="3"/>
      <c r="MH461" s="3"/>
      <c r="MI461" s="3"/>
    </row>
    <row r="462" spans="1:347"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ID462" s="3"/>
      <c r="IE462" s="3"/>
      <c r="IF462" s="3"/>
      <c r="IG462" s="3"/>
      <c r="IH462" s="3"/>
      <c r="II462" s="3"/>
      <c r="IJ462" s="3"/>
      <c r="IK462" s="3"/>
      <c r="IL462" s="3"/>
      <c r="IM462" s="3"/>
      <c r="IN462" s="3"/>
      <c r="IO462" s="3"/>
      <c r="IP462" s="3"/>
      <c r="IQ462" s="3"/>
      <c r="IR462" s="3"/>
      <c r="IS462" s="3"/>
      <c r="IT462" s="3"/>
      <c r="IU462" s="3"/>
      <c r="IV462" s="3"/>
      <c r="IW462" s="3"/>
      <c r="IX462" s="3"/>
      <c r="IY462" s="3"/>
      <c r="IZ462" s="3"/>
      <c r="JA462" s="3"/>
      <c r="JB462" s="3"/>
      <c r="JC462" s="3"/>
      <c r="JD462" s="3"/>
      <c r="JE462" s="3"/>
      <c r="JF462" s="3"/>
      <c r="JG462" s="3"/>
      <c r="JH462" s="3"/>
      <c r="JI462" s="3"/>
      <c r="JJ462" s="3"/>
      <c r="JK462" s="3"/>
      <c r="JL462" s="3"/>
      <c r="JM462" s="3"/>
      <c r="JN462" s="3"/>
      <c r="JO462" s="3"/>
      <c r="JP462" s="3"/>
      <c r="JQ462" s="3"/>
      <c r="JR462" s="3"/>
      <c r="JS462" s="3"/>
      <c r="JT462" s="3"/>
      <c r="JU462" s="3"/>
      <c r="JV462" s="3"/>
      <c r="JW462" s="3"/>
      <c r="JX462" s="3"/>
      <c r="JY462" s="3"/>
      <c r="JZ462" s="3"/>
      <c r="KA462" s="3"/>
      <c r="KB462" s="3"/>
      <c r="KC462" s="3"/>
      <c r="KD462" s="3"/>
      <c r="KE462" s="3"/>
      <c r="KF462" s="3"/>
      <c r="KG462" s="3"/>
      <c r="KH462" s="3"/>
      <c r="KI462" s="3"/>
      <c r="KJ462" s="3"/>
      <c r="KK462" s="3"/>
      <c r="KL462" s="3"/>
      <c r="KM462" s="3"/>
      <c r="KN462" s="3"/>
      <c r="KO462" s="3"/>
      <c r="KP462" s="3"/>
      <c r="KQ462" s="3"/>
      <c r="KR462" s="3"/>
      <c r="KS462" s="3"/>
      <c r="KT462" s="3"/>
      <c r="KU462" s="3"/>
      <c r="KV462" s="3"/>
      <c r="KW462" s="3"/>
      <c r="KX462" s="3"/>
      <c r="KY462" s="3"/>
      <c r="KZ462" s="3"/>
      <c r="LA462" s="3"/>
      <c r="LB462" s="3"/>
      <c r="LC462" s="3"/>
      <c r="LD462" s="3"/>
      <c r="LE462" s="3"/>
      <c r="LF462" s="3"/>
      <c r="LG462" s="3"/>
      <c r="LH462" s="3"/>
      <c r="LI462" s="3"/>
      <c r="LJ462" s="3"/>
      <c r="LK462" s="3"/>
      <c r="LL462" s="3"/>
      <c r="LM462" s="3"/>
      <c r="LN462" s="3"/>
      <c r="LO462" s="3"/>
      <c r="LP462" s="3"/>
      <c r="LQ462" s="3"/>
      <c r="LR462" s="3"/>
      <c r="LS462" s="3"/>
      <c r="LT462" s="3"/>
      <c r="LU462" s="3"/>
      <c r="LV462" s="3"/>
      <c r="LW462" s="3"/>
      <c r="LX462" s="3"/>
      <c r="LY462" s="3"/>
      <c r="LZ462" s="3"/>
      <c r="MA462" s="3"/>
      <c r="MB462" s="3"/>
      <c r="MC462" s="3"/>
      <c r="MD462" s="3"/>
      <c r="ME462" s="3"/>
      <c r="MF462" s="3"/>
      <c r="MG462" s="3"/>
      <c r="MH462" s="3"/>
      <c r="MI462" s="3"/>
    </row>
    <row r="463" spans="1:347"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ID463" s="3"/>
      <c r="IE463" s="3"/>
      <c r="IF463" s="3"/>
      <c r="IG463" s="3"/>
      <c r="IH463" s="3"/>
      <c r="II463" s="3"/>
      <c r="IJ463" s="3"/>
      <c r="IK463" s="3"/>
      <c r="IL463" s="3"/>
      <c r="IM463" s="3"/>
      <c r="IN463" s="3"/>
      <c r="IO463" s="3"/>
      <c r="IP463" s="3"/>
      <c r="IQ463" s="3"/>
      <c r="IR463" s="3"/>
      <c r="IS463" s="3"/>
      <c r="IT463" s="3"/>
      <c r="IU463" s="3"/>
      <c r="IV463" s="3"/>
      <c r="IW463" s="3"/>
      <c r="IX463" s="3"/>
      <c r="IY463" s="3"/>
      <c r="IZ463" s="3"/>
      <c r="JA463" s="3"/>
      <c r="JB463" s="3"/>
      <c r="JC463" s="3"/>
      <c r="JD463" s="3"/>
      <c r="JE463" s="3"/>
      <c r="JF463" s="3"/>
      <c r="JG463" s="3"/>
      <c r="JH463" s="3"/>
      <c r="JI463" s="3"/>
      <c r="JJ463" s="3"/>
      <c r="JK463" s="3"/>
      <c r="JL463" s="3"/>
      <c r="JM463" s="3"/>
      <c r="JN463" s="3"/>
      <c r="JO463" s="3"/>
      <c r="JP463" s="3"/>
      <c r="JQ463" s="3"/>
      <c r="JR463" s="3"/>
      <c r="JS463" s="3"/>
      <c r="JT463" s="3"/>
      <c r="JU463" s="3"/>
      <c r="JV463" s="3"/>
      <c r="JW463" s="3"/>
      <c r="JX463" s="3"/>
      <c r="JY463" s="3"/>
      <c r="JZ463" s="3"/>
      <c r="KA463" s="3"/>
      <c r="KB463" s="3"/>
      <c r="KC463" s="3"/>
      <c r="KD463" s="3"/>
      <c r="KE463" s="3"/>
      <c r="KF463" s="3"/>
      <c r="KG463" s="3"/>
      <c r="KH463" s="3"/>
      <c r="KI463" s="3"/>
      <c r="KJ463" s="3"/>
      <c r="KK463" s="3"/>
      <c r="KL463" s="3"/>
      <c r="KM463" s="3"/>
      <c r="KN463" s="3"/>
      <c r="KO463" s="3"/>
      <c r="KP463" s="3"/>
      <c r="KQ463" s="3"/>
      <c r="KR463" s="3"/>
      <c r="KS463" s="3"/>
      <c r="KT463" s="3"/>
      <c r="KU463" s="3"/>
      <c r="KV463" s="3"/>
      <c r="KW463" s="3"/>
      <c r="KX463" s="3"/>
      <c r="KY463" s="3"/>
      <c r="KZ463" s="3"/>
      <c r="LA463" s="3"/>
      <c r="LB463" s="3"/>
      <c r="LC463" s="3"/>
      <c r="LD463" s="3"/>
      <c r="LE463" s="3"/>
      <c r="LF463" s="3"/>
      <c r="LG463" s="3"/>
      <c r="LH463" s="3"/>
      <c r="LI463" s="3"/>
      <c r="LJ463" s="3"/>
      <c r="LK463" s="3"/>
      <c r="LL463" s="3"/>
      <c r="LM463" s="3"/>
      <c r="LN463" s="3"/>
      <c r="LO463" s="3"/>
      <c r="LP463" s="3"/>
      <c r="LQ463" s="3"/>
      <c r="LR463" s="3"/>
      <c r="LS463" s="3"/>
      <c r="LT463" s="3"/>
      <c r="LU463" s="3"/>
      <c r="LV463" s="3"/>
      <c r="LW463" s="3"/>
      <c r="LX463" s="3"/>
      <c r="LY463" s="3"/>
      <c r="LZ463" s="3"/>
      <c r="MA463" s="3"/>
      <c r="MB463" s="3"/>
      <c r="MC463" s="3"/>
      <c r="MD463" s="3"/>
      <c r="ME463" s="3"/>
      <c r="MF463" s="3"/>
      <c r="MG463" s="3"/>
      <c r="MH463" s="3"/>
      <c r="MI463" s="3"/>
    </row>
    <row r="464" spans="1:347"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ID464" s="3"/>
      <c r="IE464" s="3"/>
      <c r="IF464" s="3"/>
      <c r="IG464" s="3"/>
      <c r="IH464" s="3"/>
      <c r="II464" s="3"/>
      <c r="IJ464" s="3"/>
      <c r="IK464" s="3"/>
      <c r="IL464" s="3"/>
      <c r="IM464" s="3"/>
      <c r="IN464" s="3"/>
      <c r="IO464" s="3"/>
      <c r="IP464" s="3"/>
      <c r="IQ464" s="3"/>
      <c r="IR464" s="3"/>
      <c r="IS464" s="3"/>
      <c r="IT464" s="3"/>
      <c r="IU464" s="3"/>
      <c r="IV464" s="3"/>
      <c r="IW464" s="3"/>
      <c r="IX464" s="3"/>
      <c r="IY464" s="3"/>
      <c r="IZ464" s="3"/>
      <c r="JA464" s="3"/>
      <c r="JB464" s="3"/>
      <c r="JC464" s="3"/>
      <c r="JD464" s="3"/>
      <c r="JE464" s="3"/>
      <c r="JF464" s="3"/>
      <c r="JG464" s="3"/>
      <c r="JH464" s="3"/>
      <c r="JI464" s="3"/>
      <c r="JJ464" s="3"/>
      <c r="JK464" s="3"/>
      <c r="JL464" s="3"/>
      <c r="JM464" s="3"/>
      <c r="JN464" s="3"/>
      <c r="JO464" s="3"/>
      <c r="JP464" s="3"/>
      <c r="JQ464" s="3"/>
      <c r="JR464" s="3"/>
      <c r="JS464" s="3"/>
      <c r="JT464" s="3"/>
      <c r="JU464" s="3"/>
      <c r="JV464" s="3"/>
      <c r="JW464" s="3"/>
      <c r="JX464" s="3"/>
      <c r="JY464" s="3"/>
      <c r="JZ464" s="3"/>
      <c r="KA464" s="3"/>
      <c r="KB464" s="3"/>
      <c r="KC464" s="3"/>
      <c r="KD464" s="3"/>
      <c r="KE464" s="3"/>
      <c r="KF464" s="3"/>
      <c r="KG464" s="3"/>
      <c r="KH464" s="3"/>
      <c r="KI464" s="3"/>
      <c r="KJ464" s="3"/>
      <c r="KK464" s="3"/>
      <c r="KL464" s="3"/>
      <c r="KM464" s="3"/>
      <c r="KN464" s="3"/>
      <c r="KO464" s="3"/>
      <c r="KP464" s="3"/>
      <c r="KQ464" s="3"/>
      <c r="KR464" s="3"/>
      <c r="KS464" s="3"/>
      <c r="KT464" s="3"/>
      <c r="KU464" s="3"/>
      <c r="KV464" s="3"/>
      <c r="KW464" s="3"/>
      <c r="KX464" s="3"/>
      <c r="KY464" s="3"/>
      <c r="KZ464" s="3"/>
      <c r="LA464" s="3"/>
      <c r="LB464" s="3"/>
      <c r="LC464" s="3"/>
      <c r="LD464" s="3"/>
      <c r="LE464" s="3"/>
      <c r="LF464" s="3"/>
      <c r="LG464" s="3"/>
      <c r="LH464" s="3"/>
      <c r="LI464" s="3"/>
      <c r="LJ464" s="3"/>
      <c r="LK464" s="3"/>
      <c r="LL464" s="3"/>
      <c r="LM464" s="3"/>
      <c r="LN464" s="3"/>
      <c r="LO464" s="3"/>
      <c r="LP464" s="3"/>
      <c r="LQ464" s="3"/>
      <c r="LR464" s="3"/>
      <c r="LS464" s="3"/>
      <c r="LT464" s="3"/>
      <c r="LU464" s="3"/>
      <c r="LV464" s="3"/>
      <c r="LW464" s="3"/>
      <c r="LX464" s="3"/>
      <c r="LY464" s="3"/>
      <c r="LZ464" s="3"/>
      <c r="MA464" s="3"/>
      <c r="MB464" s="3"/>
      <c r="MC464" s="3"/>
      <c r="MD464" s="3"/>
      <c r="ME464" s="3"/>
      <c r="MF464" s="3"/>
      <c r="MG464" s="3"/>
      <c r="MH464" s="3"/>
      <c r="MI464" s="3"/>
    </row>
    <row r="465" spans="1:347"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c r="HX465" s="3"/>
      <c r="HY465" s="3"/>
      <c r="HZ465" s="3"/>
      <c r="IA465" s="3"/>
      <c r="IB465" s="3"/>
      <c r="IC465" s="3"/>
      <c r="ID465" s="3"/>
      <c r="IE465" s="3"/>
      <c r="IF465" s="3"/>
      <c r="IG465" s="3"/>
      <c r="IH465" s="3"/>
      <c r="II465" s="3"/>
      <c r="IJ465" s="3"/>
      <c r="IK465" s="3"/>
      <c r="IL465" s="3"/>
      <c r="IM465" s="3"/>
      <c r="IN465" s="3"/>
      <c r="IO465" s="3"/>
      <c r="IP465" s="3"/>
      <c r="IQ465" s="3"/>
      <c r="IR465" s="3"/>
      <c r="IS465" s="3"/>
      <c r="IT465" s="3"/>
      <c r="IU465" s="3"/>
      <c r="IV465" s="3"/>
      <c r="IW465" s="3"/>
      <c r="IX465" s="3"/>
      <c r="IY465" s="3"/>
      <c r="IZ465" s="3"/>
      <c r="JA465" s="3"/>
      <c r="JB465" s="3"/>
      <c r="JC465" s="3"/>
      <c r="JD465" s="3"/>
      <c r="JE465" s="3"/>
      <c r="JF465" s="3"/>
      <c r="JG465" s="3"/>
      <c r="JH465" s="3"/>
      <c r="JI465" s="3"/>
      <c r="JJ465" s="3"/>
      <c r="JK465" s="3"/>
      <c r="JL465" s="3"/>
      <c r="JM465" s="3"/>
      <c r="JN465" s="3"/>
      <c r="JO465" s="3"/>
      <c r="JP465" s="3"/>
      <c r="JQ465" s="3"/>
      <c r="JR465" s="3"/>
      <c r="JS465" s="3"/>
      <c r="JT465" s="3"/>
      <c r="JU465" s="3"/>
      <c r="JV465" s="3"/>
      <c r="JW465" s="3"/>
      <c r="JX465" s="3"/>
      <c r="JY465" s="3"/>
      <c r="JZ465" s="3"/>
      <c r="KA465" s="3"/>
      <c r="KB465" s="3"/>
      <c r="KC465" s="3"/>
      <c r="KD465" s="3"/>
      <c r="KE465" s="3"/>
      <c r="KF465" s="3"/>
      <c r="KG465" s="3"/>
      <c r="KH465" s="3"/>
      <c r="KI465" s="3"/>
      <c r="KJ465" s="3"/>
      <c r="KK465" s="3"/>
      <c r="KL465" s="3"/>
      <c r="KM465" s="3"/>
      <c r="KN465" s="3"/>
      <c r="KO465" s="3"/>
      <c r="KP465" s="3"/>
      <c r="KQ465" s="3"/>
      <c r="KR465" s="3"/>
      <c r="KS465" s="3"/>
      <c r="KT465" s="3"/>
      <c r="KU465" s="3"/>
      <c r="KV465" s="3"/>
      <c r="KW465" s="3"/>
      <c r="KX465" s="3"/>
      <c r="KY465" s="3"/>
      <c r="KZ465" s="3"/>
      <c r="LA465" s="3"/>
      <c r="LB465" s="3"/>
      <c r="LC465" s="3"/>
      <c r="LD465" s="3"/>
      <c r="LE465" s="3"/>
      <c r="LF465" s="3"/>
      <c r="LG465" s="3"/>
      <c r="LH465" s="3"/>
      <c r="LI465" s="3"/>
      <c r="LJ465" s="3"/>
      <c r="LK465" s="3"/>
      <c r="LL465" s="3"/>
      <c r="LM465" s="3"/>
      <c r="LN465" s="3"/>
      <c r="LO465" s="3"/>
      <c r="LP465" s="3"/>
      <c r="LQ465" s="3"/>
      <c r="LR465" s="3"/>
      <c r="LS465" s="3"/>
      <c r="LT465" s="3"/>
      <c r="LU465" s="3"/>
      <c r="LV465" s="3"/>
      <c r="LW465" s="3"/>
      <c r="LX465" s="3"/>
      <c r="LY465" s="3"/>
      <c r="LZ465" s="3"/>
      <c r="MA465" s="3"/>
      <c r="MB465" s="3"/>
      <c r="MC465" s="3"/>
      <c r="MD465" s="3"/>
      <c r="ME465" s="3"/>
      <c r="MF465" s="3"/>
      <c r="MG465" s="3"/>
      <c r="MH465" s="3"/>
      <c r="MI465" s="3"/>
    </row>
    <row r="466" spans="1:347"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ID466" s="3"/>
      <c r="IE466" s="3"/>
      <c r="IF466" s="3"/>
      <c r="IG466" s="3"/>
      <c r="IH466" s="3"/>
      <c r="II466" s="3"/>
      <c r="IJ466" s="3"/>
      <c r="IK466" s="3"/>
      <c r="IL466" s="3"/>
      <c r="IM466" s="3"/>
      <c r="IN466" s="3"/>
      <c r="IO466" s="3"/>
      <c r="IP466" s="3"/>
      <c r="IQ466" s="3"/>
      <c r="IR466" s="3"/>
      <c r="IS466" s="3"/>
      <c r="IT466" s="3"/>
      <c r="IU466" s="3"/>
      <c r="IV466" s="3"/>
      <c r="IW466" s="3"/>
      <c r="IX466" s="3"/>
      <c r="IY466" s="3"/>
      <c r="IZ466" s="3"/>
      <c r="JA466" s="3"/>
      <c r="JB466" s="3"/>
      <c r="JC466" s="3"/>
      <c r="JD466" s="3"/>
      <c r="JE466" s="3"/>
      <c r="JF466" s="3"/>
      <c r="JG466" s="3"/>
      <c r="JH466" s="3"/>
      <c r="JI466" s="3"/>
      <c r="JJ466" s="3"/>
      <c r="JK466" s="3"/>
      <c r="JL466" s="3"/>
      <c r="JM466" s="3"/>
      <c r="JN466" s="3"/>
      <c r="JO466" s="3"/>
      <c r="JP466" s="3"/>
      <c r="JQ466" s="3"/>
      <c r="JR466" s="3"/>
      <c r="JS466" s="3"/>
      <c r="JT466" s="3"/>
      <c r="JU466" s="3"/>
      <c r="JV466" s="3"/>
      <c r="JW466" s="3"/>
      <c r="JX466" s="3"/>
      <c r="JY466" s="3"/>
      <c r="JZ466" s="3"/>
      <c r="KA466" s="3"/>
      <c r="KB466" s="3"/>
      <c r="KC466" s="3"/>
      <c r="KD466" s="3"/>
      <c r="KE466" s="3"/>
      <c r="KF466" s="3"/>
      <c r="KG466" s="3"/>
      <c r="KH466" s="3"/>
      <c r="KI466" s="3"/>
      <c r="KJ466" s="3"/>
      <c r="KK466" s="3"/>
      <c r="KL466" s="3"/>
      <c r="KM466" s="3"/>
      <c r="KN466" s="3"/>
      <c r="KO466" s="3"/>
      <c r="KP466" s="3"/>
      <c r="KQ466" s="3"/>
      <c r="KR466" s="3"/>
      <c r="KS466" s="3"/>
      <c r="KT466" s="3"/>
      <c r="KU466" s="3"/>
      <c r="KV466" s="3"/>
      <c r="KW466" s="3"/>
      <c r="KX466" s="3"/>
      <c r="KY466" s="3"/>
      <c r="KZ466" s="3"/>
      <c r="LA466" s="3"/>
      <c r="LB466" s="3"/>
      <c r="LC466" s="3"/>
      <c r="LD466" s="3"/>
      <c r="LE466" s="3"/>
      <c r="LF466" s="3"/>
      <c r="LG466" s="3"/>
      <c r="LH466" s="3"/>
      <c r="LI466" s="3"/>
      <c r="LJ466" s="3"/>
      <c r="LK466" s="3"/>
      <c r="LL466" s="3"/>
      <c r="LM466" s="3"/>
      <c r="LN466" s="3"/>
      <c r="LO466" s="3"/>
      <c r="LP466" s="3"/>
      <c r="LQ466" s="3"/>
      <c r="LR466" s="3"/>
      <c r="LS466" s="3"/>
      <c r="LT466" s="3"/>
      <c r="LU466" s="3"/>
      <c r="LV466" s="3"/>
      <c r="LW466" s="3"/>
      <c r="LX466" s="3"/>
      <c r="LY466" s="3"/>
      <c r="LZ466" s="3"/>
      <c r="MA466" s="3"/>
      <c r="MB466" s="3"/>
      <c r="MC466" s="3"/>
      <c r="MD466" s="3"/>
      <c r="ME466" s="3"/>
      <c r="MF466" s="3"/>
      <c r="MG466" s="3"/>
      <c r="MH466" s="3"/>
      <c r="MI466" s="3"/>
    </row>
    <row r="467" spans="1:347"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ID467" s="3"/>
      <c r="IE467" s="3"/>
      <c r="IF467" s="3"/>
      <c r="IG467" s="3"/>
      <c r="IH467" s="3"/>
      <c r="II467" s="3"/>
      <c r="IJ467" s="3"/>
      <c r="IK467" s="3"/>
      <c r="IL467" s="3"/>
      <c r="IM467" s="3"/>
      <c r="IN467" s="3"/>
      <c r="IO467" s="3"/>
      <c r="IP467" s="3"/>
      <c r="IQ467" s="3"/>
      <c r="IR467" s="3"/>
      <c r="IS467" s="3"/>
      <c r="IT467" s="3"/>
      <c r="IU467" s="3"/>
      <c r="IV467" s="3"/>
      <c r="IW467" s="3"/>
      <c r="IX467" s="3"/>
      <c r="IY467" s="3"/>
      <c r="IZ467" s="3"/>
      <c r="JA467" s="3"/>
      <c r="JB467" s="3"/>
      <c r="JC467" s="3"/>
      <c r="JD467" s="3"/>
      <c r="JE467" s="3"/>
      <c r="JF467" s="3"/>
      <c r="JG467" s="3"/>
      <c r="JH467" s="3"/>
      <c r="JI467" s="3"/>
      <c r="JJ467" s="3"/>
      <c r="JK467" s="3"/>
      <c r="JL467" s="3"/>
      <c r="JM467" s="3"/>
      <c r="JN467" s="3"/>
      <c r="JO467" s="3"/>
      <c r="JP467" s="3"/>
      <c r="JQ467" s="3"/>
      <c r="JR467" s="3"/>
      <c r="JS467" s="3"/>
      <c r="JT467" s="3"/>
      <c r="JU467" s="3"/>
      <c r="JV467" s="3"/>
      <c r="JW467" s="3"/>
      <c r="JX467" s="3"/>
      <c r="JY467" s="3"/>
      <c r="JZ467" s="3"/>
      <c r="KA467" s="3"/>
      <c r="KB467" s="3"/>
      <c r="KC467" s="3"/>
      <c r="KD467" s="3"/>
      <c r="KE467" s="3"/>
      <c r="KF467" s="3"/>
      <c r="KG467" s="3"/>
      <c r="KH467" s="3"/>
      <c r="KI467" s="3"/>
      <c r="KJ467" s="3"/>
      <c r="KK467" s="3"/>
      <c r="KL467" s="3"/>
      <c r="KM467" s="3"/>
      <c r="KN467" s="3"/>
      <c r="KO467" s="3"/>
      <c r="KP467" s="3"/>
      <c r="KQ467" s="3"/>
      <c r="KR467" s="3"/>
      <c r="KS467" s="3"/>
      <c r="KT467" s="3"/>
      <c r="KU467" s="3"/>
      <c r="KV467" s="3"/>
      <c r="KW467" s="3"/>
      <c r="KX467" s="3"/>
      <c r="KY467" s="3"/>
      <c r="KZ467" s="3"/>
      <c r="LA467" s="3"/>
      <c r="LB467" s="3"/>
      <c r="LC467" s="3"/>
      <c r="LD467" s="3"/>
      <c r="LE467" s="3"/>
      <c r="LF467" s="3"/>
      <c r="LG467" s="3"/>
      <c r="LH467" s="3"/>
      <c r="LI467" s="3"/>
      <c r="LJ467" s="3"/>
      <c r="LK467" s="3"/>
      <c r="LL467" s="3"/>
      <c r="LM467" s="3"/>
      <c r="LN467" s="3"/>
      <c r="LO467" s="3"/>
      <c r="LP467" s="3"/>
      <c r="LQ467" s="3"/>
      <c r="LR467" s="3"/>
      <c r="LS467" s="3"/>
      <c r="LT467" s="3"/>
      <c r="LU467" s="3"/>
      <c r="LV467" s="3"/>
      <c r="LW467" s="3"/>
      <c r="LX467" s="3"/>
      <c r="LY467" s="3"/>
      <c r="LZ467" s="3"/>
      <c r="MA467" s="3"/>
      <c r="MB467" s="3"/>
      <c r="MC467" s="3"/>
      <c r="MD467" s="3"/>
      <c r="ME467" s="3"/>
      <c r="MF467" s="3"/>
      <c r="MG467" s="3"/>
      <c r="MH467" s="3"/>
      <c r="MI467" s="3"/>
    </row>
    <row r="468" spans="1:347"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ID468" s="3"/>
      <c r="IE468" s="3"/>
      <c r="IF468" s="3"/>
      <c r="IG468" s="3"/>
      <c r="IH468" s="3"/>
      <c r="II468" s="3"/>
      <c r="IJ468" s="3"/>
      <c r="IK468" s="3"/>
      <c r="IL468" s="3"/>
      <c r="IM468" s="3"/>
      <c r="IN468" s="3"/>
      <c r="IO468" s="3"/>
      <c r="IP468" s="3"/>
      <c r="IQ468" s="3"/>
      <c r="IR468" s="3"/>
      <c r="IS468" s="3"/>
      <c r="IT468" s="3"/>
      <c r="IU468" s="3"/>
      <c r="IV468" s="3"/>
      <c r="IW468" s="3"/>
      <c r="IX468" s="3"/>
      <c r="IY468" s="3"/>
      <c r="IZ468" s="3"/>
      <c r="JA468" s="3"/>
      <c r="JB468" s="3"/>
      <c r="JC468" s="3"/>
      <c r="JD468" s="3"/>
      <c r="JE468" s="3"/>
      <c r="JF468" s="3"/>
      <c r="JG468" s="3"/>
      <c r="JH468" s="3"/>
      <c r="JI468" s="3"/>
      <c r="JJ468" s="3"/>
      <c r="JK468" s="3"/>
      <c r="JL468" s="3"/>
      <c r="JM468" s="3"/>
      <c r="JN468" s="3"/>
      <c r="JO468" s="3"/>
      <c r="JP468" s="3"/>
      <c r="JQ468" s="3"/>
      <c r="JR468" s="3"/>
      <c r="JS468" s="3"/>
      <c r="JT468" s="3"/>
      <c r="JU468" s="3"/>
      <c r="JV468" s="3"/>
      <c r="JW468" s="3"/>
      <c r="JX468" s="3"/>
      <c r="JY468" s="3"/>
      <c r="JZ468" s="3"/>
      <c r="KA468" s="3"/>
      <c r="KB468" s="3"/>
      <c r="KC468" s="3"/>
      <c r="KD468" s="3"/>
      <c r="KE468" s="3"/>
      <c r="KF468" s="3"/>
      <c r="KG468" s="3"/>
      <c r="KH468" s="3"/>
      <c r="KI468" s="3"/>
      <c r="KJ468" s="3"/>
      <c r="KK468" s="3"/>
      <c r="KL468" s="3"/>
      <c r="KM468" s="3"/>
      <c r="KN468" s="3"/>
      <c r="KO468" s="3"/>
      <c r="KP468" s="3"/>
      <c r="KQ468" s="3"/>
      <c r="KR468" s="3"/>
      <c r="KS468" s="3"/>
      <c r="KT468" s="3"/>
      <c r="KU468" s="3"/>
      <c r="KV468" s="3"/>
      <c r="KW468" s="3"/>
      <c r="KX468" s="3"/>
      <c r="KY468" s="3"/>
      <c r="KZ468" s="3"/>
      <c r="LA468" s="3"/>
      <c r="LB468" s="3"/>
      <c r="LC468" s="3"/>
      <c r="LD468" s="3"/>
      <c r="LE468" s="3"/>
      <c r="LF468" s="3"/>
      <c r="LG468" s="3"/>
      <c r="LH468" s="3"/>
      <c r="LI468" s="3"/>
      <c r="LJ468" s="3"/>
      <c r="LK468" s="3"/>
      <c r="LL468" s="3"/>
      <c r="LM468" s="3"/>
      <c r="LN468" s="3"/>
      <c r="LO468" s="3"/>
      <c r="LP468" s="3"/>
      <c r="LQ468" s="3"/>
      <c r="LR468" s="3"/>
      <c r="LS468" s="3"/>
      <c r="LT468" s="3"/>
      <c r="LU468" s="3"/>
      <c r="LV468" s="3"/>
      <c r="LW468" s="3"/>
      <c r="LX468" s="3"/>
      <c r="LY468" s="3"/>
      <c r="LZ468" s="3"/>
      <c r="MA468" s="3"/>
      <c r="MB468" s="3"/>
      <c r="MC468" s="3"/>
      <c r="MD468" s="3"/>
      <c r="ME468" s="3"/>
      <c r="MF468" s="3"/>
      <c r="MG468" s="3"/>
      <c r="MH468" s="3"/>
      <c r="MI468" s="3"/>
    </row>
    <row r="469" spans="1:347"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ID469" s="3"/>
      <c r="IE469" s="3"/>
      <c r="IF469" s="3"/>
      <c r="IG469" s="3"/>
      <c r="IH469" s="3"/>
      <c r="II469" s="3"/>
      <c r="IJ469" s="3"/>
      <c r="IK469" s="3"/>
      <c r="IL469" s="3"/>
      <c r="IM469" s="3"/>
      <c r="IN469" s="3"/>
      <c r="IO469" s="3"/>
      <c r="IP469" s="3"/>
      <c r="IQ469" s="3"/>
      <c r="IR469" s="3"/>
      <c r="IS469" s="3"/>
      <c r="IT469" s="3"/>
      <c r="IU469" s="3"/>
      <c r="IV469" s="3"/>
      <c r="IW469" s="3"/>
      <c r="IX469" s="3"/>
      <c r="IY469" s="3"/>
      <c r="IZ469" s="3"/>
      <c r="JA469" s="3"/>
      <c r="JB469" s="3"/>
      <c r="JC469" s="3"/>
      <c r="JD469" s="3"/>
      <c r="JE469" s="3"/>
      <c r="JF469" s="3"/>
      <c r="JG469" s="3"/>
      <c r="JH469" s="3"/>
      <c r="JI469" s="3"/>
      <c r="JJ469" s="3"/>
      <c r="JK469" s="3"/>
      <c r="JL469" s="3"/>
      <c r="JM469" s="3"/>
      <c r="JN469" s="3"/>
      <c r="JO469" s="3"/>
      <c r="JP469" s="3"/>
      <c r="JQ469" s="3"/>
      <c r="JR469" s="3"/>
      <c r="JS469" s="3"/>
      <c r="JT469" s="3"/>
      <c r="JU469" s="3"/>
      <c r="JV469" s="3"/>
      <c r="JW469" s="3"/>
      <c r="JX469" s="3"/>
      <c r="JY469" s="3"/>
      <c r="JZ469" s="3"/>
      <c r="KA469" s="3"/>
      <c r="KB469" s="3"/>
      <c r="KC469" s="3"/>
      <c r="KD469" s="3"/>
      <c r="KE469" s="3"/>
      <c r="KF469" s="3"/>
      <c r="KG469" s="3"/>
      <c r="KH469" s="3"/>
      <c r="KI469" s="3"/>
      <c r="KJ469" s="3"/>
      <c r="KK469" s="3"/>
      <c r="KL469" s="3"/>
      <c r="KM469" s="3"/>
      <c r="KN469" s="3"/>
      <c r="KO469" s="3"/>
      <c r="KP469" s="3"/>
      <c r="KQ469" s="3"/>
      <c r="KR469" s="3"/>
      <c r="KS469" s="3"/>
      <c r="KT469" s="3"/>
      <c r="KU469" s="3"/>
      <c r="KV469" s="3"/>
      <c r="KW469" s="3"/>
      <c r="KX469" s="3"/>
      <c r="KY469" s="3"/>
      <c r="KZ469" s="3"/>
      <c r="LA469" s="3"/>
      <c r="LB469" s="3"/>
      <c r="LC469" s="3"/>
      <c r="LD469" s="3"/>
      <c r="LE469" s="3"/>
      <c r="LF469" s="3"/>
      <c r="LG469" s="3"/>
      <c r="LH469" s="3"/>
      <c r="LI469" s="3"/>
      <c r="LJ469" s="3"/>
      <c r="LK469" s="3"/>
      <c r="LL469" s="3"/>
      <c r="LM469" s="3"/>
      <c r="LN469" s="3"/>
      <c r="LO469" s="3"/>
      <c r="LP469" s="3"/>
      <c r="LQ469" s="3"/>
      <c r="LR469" s="3"/>
      <c r="LS469" s="3"/>
      <c r="LT469" s="3"/>
      <c r="LU469" s="3"/>
      <c r="LV469" s="3"/>
      <c r="LW469" s="3"/>
      <c r="LX469" s="3"/>
      <c r="LY469" s="3"/>
      <c r="LZ469" s="3"/>
      <c r="MA469" s="3"/>
      <c r="MB469" s="3"/>
      <c r="MC469" s="3"/>
      <c r="MD469" s="3"/>
      <c r="ME469" s="3"/>
      <c r="MF469" s="3"/>
      <c r="MG469" s="3"/>
      <c r="MH469" s="3"/>
      <c r="MI469" s="3"/>
    </row>
    <row r="470" spans="1:347"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ID470" s="3"/>
      <c r="IE470" s="3"/>
      <c r="IF470" s="3"/>
      <c r="IG470" s="3"/>
      <c r="IH470" s="3"/>
      <c r="II470" s="3"/>
      <c r="IJ470" s="3"/>
      <c r="IK470" s="3"/>
      <c r="IL470" s="3"/>
      <c r="IM470" s="3"/>
      <c r="IN470" s="3"/>
      <c r="IO470" s="3"/>
      <c r="IP470" s="3"/>
      <c r="IQ470" s="3"/>
      <c r="IR470" s="3"/>
      <c r="IS470" s="3"/>
      <c r="IT470" s="3"/>
      <c r="IU470" s="3"/>
      <c r="IV470" s="3"/>
      <c r="IW470" s="3"/>
      <c r="IX470" s="3"/>
      <c r="IY470" s="3"/>
      <c r="IZ470" s="3"/>
      <c r="JA470" s="3"/>
      <c r="JB470" s="3"/>
      <c r="JC470" s="3"/>
      <c r="JD470" s="3"/>
      <c r="JE470" s="3"/>
      <c r="JF470" s="3"/>
      <c r="JG470" s="3"/>
      <c r="JH470" s="3"/>
      <c r="JI470" s="3"/>
      <c r="JJ470" s="3"/>
      <c r="JK470" s="3"/>
      <c r="JL470" s="3"/>
      <c r="JM470" s="3"/>
      <c r="JN470" s="3"/>
      <c r="JO470" s="3"/>
      <c r="JP470" s="3"/>
      <c r="JQ470" s="3"/>
      <c r="JR470" s="3"/>
      <c r="JS470" s="3"/>
      <c r="JT470" s="3"/>
      <c r="JU470" s="3"/>
      <c r="JV470" s="3"/>
      <c r="JW470" s="3"/>
      <c r="JX470" s="3"/>
      <c r="JY470" s="3"/>
      <c r="JZ470" s="3"/>
      <c r="KA470" s="3"/>
      <c r="KB470" s="3"/>
      <c r="KC470" s="3"/>
      <c r="KD470" s="3"/>
      <c r="KE470" s="3"/>
      <c r="KF470" s="3"/>
      <c r="KG470" s="3"/>
      <c r="KH470" s="3"/>
      <c r="KI470" s="3"/>
      <c r="KJ470" s="3"/>
      <c r="KK470" s="3"/>
      <c r="KL470" s="3"/>
      <c r="KM470" s="3"/>
      <c r="KN470" s="3"/>
      <c r="KO470" s="3"/>
      <c r="KP470" s="3"/>
      <c r="KQ470" s="3"/>
      <c r="KR470" s="3"/>
      <c r="KS470" s="3"/>
      <c r="KT470" s="3"/>
      <c r="KU470" s="3"/>
      <c r="KV470" s="3"/>
      <c r="KW470" s="3"/>
      <c r="KX470" s="3"/>
      <c r="KY470" s="3"/>
      <c r="KZ470" s="3"/>
      <c r="LA470" s="3"/>
      <c r="LB470" s="3"/>
      <c r="LC470" s="3"/>
      <c r="LD470" s="3"/>
      <c r="LE470" s="3"/>
      <c r="LF470" s="3"/>
      <c r="LG470" s="3"/>
      <c r="LH470" s="3"/>
      <c r="LI470" s="3"/>
      <c r="LJ470" s="3"/>
      <c r="LK470" s="3"/>
      <c r="LL470" s="3"/>
      <c r="LM470" s="3"/>
      <c r="LN470" s="3"/>
      <c r="LO470" s="3"/>
      <c r="LP470" s="3"/>
      <c r="LQ470" s="3"/>
      <c r="LR470" s="3"/>
      <c r="LS470" s="3"/>
      <c r="LT470" s="3"/>
      <c r="LU470" s="3"/>
      <c r="LV470" s="3"/>
      <c r="LW470" s="3"/>
      <c r="LX470" s="3"/>
      <c r="LY470" s="3"/>
      <c r="LZ470" s="3"/>
      <c r="MA470" s="3"/>
      <c r="MB470" s="3"/>
      <c r="MC470" s="3"/>
      <c r="MD470" s="3"/>
      <c r="ME470" s="3"/>
      <c r="MF470" s="3"/>
      <c r="MG470" s="3"/>
      <c r="MH470" s="3"/>
      <c r="MI470" s="3"/>
    </row>
    <row r="471" spans="1:347"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ID471" s="3"/>
      <c r="IE471" s="3"/>
      <c r="IF471" s="3"/>
      <c r="IG471" s="3"/>
      <c r="IH471" s="3"/>
      <c r="II471" s="3"/>
      <c r="IJ471" s="3"/>
      <c r="IK471" s="3"/>
      <c r="IL471" s="3"/>
      <c r="IM471" s="3"/>
      <c r="IN471" s="3"/>
      <c r="IO471" s="3"/>
      <c r="IP471" s="3"/>
      <c r="IQ471" s="3"/>
      <c r="IR471" s="3"/>
      <c r="IS471" s="3"/>
      <c r="IT471" s="3"/>
      <c r="IU471" s="3"/>
      <c r="IV471" s="3"/>
      <c r="IW471" s="3"/>
      <c r="IX471" s="3"/>
      <c r="IY471" s="3"/>
      <c r="IZ471" s="3"/>
      <c r="JA471" s="3"/>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3"/>
      <c r="LV471" s="3"/>
      <c r="LW471" s="3"/>
      <c r="LX471" s="3"/>
      <c r="LY471" s="3"/>
      <c r="LZ471" s="3"/>
      <c r="MA471" s="3"/>
      <c r="MB471" s="3"/>
      <c r="MC471" s="3"/>
      <c r="MD471" s="3"/>
      <c r="ME471" s="3"/>
      <c r="MF471" s="3"/>
      <c r="MG471" s="3"/>
      <c r="MH471" s="3"/>
      <c r="MI471" s="3"/>
    </row>
    <row r="472" spans="1:347"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ID472" s="3"/>
      <c r="IE472" s="3"/>
      <c r="IF472" s="3"/>
      <c r="IG472" s="3"/>
      <c r="IH472" s="3"/>
      <c r="II472" s="3"/>
      <c r="IJ472" s="3"/>
      <c r="IK472" s="3"/>
      <c r="IL472" s="3"/>
      <c r="IM472" s="3"/>
      <c r="IN472" s="3"/>
      <c r="IO472" s="3"/>
      <c r="IP472" s="3"/>
      <c r="IQ472" s="3"/>
      <c r="IR472" s="3"/>
      <c r="IS472" s="3"/>
      <c r="IT472" s="3"/>
      <c r="IU472" s="3"/>
      <c r="IV472" s="3"/>
      <c r="IW472" s="3"/>
      <c r="IX472" s="3"/>
      <c r="IY472" s="3"/>
      <c r="IZ472" s="3"/>
      <c r="JA472" s="3"/>
      <c r="JB472" s="3"/>
      <c r="JC472" s="3"/>
      <c r="JD472" s="3"/>
      <c r="JE472" s="3"/>
      <c r="JF472" s="3"/>
      <c r="JG472" s="3"/>
      <c r="JH472" s="3"/>
      <c r="JI472" s="3"/>
      <c r="JJ472" s="3"/>
      <c r="JK472" s="3"/>
      <c r="JL472" s="3"/>
      <c r="JM472" s="3"/>
      <c r="JN472" s="3"/>
      <c r="JO472" s="3"/>
      <c r="JP472" s="3"/>
      <c r="JQ472" s="3"/>
      <c r="JR472" s="3"/>
      <c r="JS472" s="3"/>
      <c r="JT472" s="3"/>
      <c r="JU472" s="3"/>
      <c r="JV472" s="3"/>
      <c r="JW472" s="3"/>
      <c r="JX472" s="3"/>
      <c r="JY472" s="3"/>
      <c r="JZ472" s="3"/>
      <c r="KA472" s="3"/>
      <c r="KB472" s="3"/>
      <c r="KC472" s="3"/>
      <c r="KD472" s="3"/>
      <c r="KE472" s="3"/>
      <c r="KF472" s="3"/>
      <c r="KG472" s="3"/>
      <c r="KH472" s="3"/>
      <c r="KI472" s="3"/>
      <c r="KJ472" s="3"/>
      <c r="KK472" s="3"/>
      <c r="KL472" s="3"/>
      <c r="KM472" s="3"/>
      <c r="KN472" s="3"/>
      <c r="KO472" s="3"/>
      <c r="KP472" s="3"/>
      <c r="KQ472" s="3"/>
      <c r="KR472" s="3"/>
      <c r="KS472" s="3"/>
      <c r="KT472" s="3"/>
      <c r="KU472" s="3"/>
      <c r="KV472" s="3"/>
      <c r="KW472" s="3"/>
      <c r="KX472" s="3"/>
      <c r="KY472" s="3"/>
      <c r="KZ472" s="3"/>
      <c r="LA472" s="3"/>
      <c r="LB472" s="3"/>
      <c r="LC472" s="3"/>
      <c r="LD472" s="3"/>
      <c r="LE472" s="3"/>
      <c r="LF472" s="3"/>
      <c r="LG472" s="3"/>
      <c r="LH472" s="3"/>
      <c r="LI472" s="3"/>
      <c r="LJ472" s="3"/>
      <c r="LK472" s="3"/>
      <c r="LL472" s="3"/>
      <c r="LM472" s="3"/>
      <c r="LN472" s="3"/>
      <c r="LO472" s="3"/>
      <c r="LP472" s="3"/>
      <c r="LQ472" s="3"/>
      <c r="LR472" s="3"/>
      <c r="LS472" s="3"/>
      <c r="LT472" s="3"/>
      <c r="LU472" s="3"/>
      <c r="LV472" s="3"/>
      <c r="LW472" s="3"/>
      <c r="LX472" s="3"/>
      <c r="LY472" s="3"/>
      <c r="LZ472" s="3"/>
      <c r="MA472" s="3"/>
      <c r="MB472" s="3"/>
      <c r="MC472" s="3"/>
      <c r="MD472" s="3"/>
      <c r="ME472" s="3"/>
      <c r="MF472" s="3"/>
      <c r="MG472" s="3"/>
      <c r="MH472" s="3"/>
      <c r="MI472" s="3"/>
    </row>
    <row r="473" spans="1:347"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ID473" s="3"/>
      <c r="IE473" s="3"/>
      <c r="IF473" s="3"/>
      <c r="IG473" s="3"/>
      <c r="IH473" s="3"/>
      <c r="II473" s="3"/>
      <c r="IJ473" s="3"/>
      <c r="IK473" s="3"/>
      <c r="IL473" s="3"/>
      <c r="IM473" s="3"/>
      <c r="IN473" s="3"/>
      <c r="IO473" s="3"/>
      <c r="IP473" s="3"/>
      <c r="IQ473" s="3"/>
      <c r="IR473" s="3"/>
      <c r="IS473" s="3"/>
      <c r="IT473" s="3"/>
      <c r="IU473" s="3"/>
      <c r="IV473" s="3"/>
      <c r="IW473" s="3"/>
      <c r="IX473" s="3"/>
      <c r="IY473" s="3"/>
      <c r="IZ473" s="3"/>
      <c r="JA473" s="3"/>
      <c r="JB473" s="3"/>
      <c r="JC473" s="3"/>
      <c r="JD473" s="3"/>
      <c r="JE473" s="3"/>
      <c r="JF473" s="3"/>
      <c r="JG473" s="3"/>
      <c r="JH473" s="3"/>
      <c r="JI473" s="3"/>
      <c r="JJ473" s="3"/>
      <c r="JK473" s="3"/>
      <c r="JL473" s="3"/>
      <c r="JM473" s="3"/>
      <c r="JN473" s="3"/>
      <c r="JO473" s="3"/>
      <c r="JP473" s="3"/>
      <c r="JQ473" s="3"/>
      <c r="JR473" s="3"/>
      <c r="JS473" s="3"/>
      <c r="JT473" s="3"/>
      <c r="JU473" s="3"/>
      <c r="JV473" s="3"/>
      <c r="JW473" s="3"/>
      <c r="JX473" s="3"/>
      <c r="JY473" s="3"/>
      <c r="JZ473" s="3"/>
      <c r="KA473" s="3"/>
      <c r="KB473" s="3"/>
      <c r="KC473" s="3"/>
      <c r="KD473" s="3"/>
      <c r="KE473" s="3"/>
      <c r="KF473" s="3"/>
      <c r="KG473" s="3"/>
      <c r="KH473" s="3"/>
      <c r="KI473" s="3"/>
      <c r="KJ473" s="3"/>
      <c r="KK473" s="3"/>
      <c r="KL473" s="3"/>
      <c r="KM473" s="3"/>
      <c r="KN473" s="3"/>
      <c r="KO473" s="3"/>
      <c r="KP473" s="3"/>
      <c r="KQ473" s="3"/>
      <c r="KR473" s="3"/>
      <c r="KS473" s="3"/>
      <c r="KT473" s="3"/>
      <c r="KU473" s="3"/>
      <c r="KV473" s="3"/>
      <c r="KW473" s="3"/>
      <c r="KX473" s="3"/>
      <c r="KY473" s="3"/>
      <c r="KZ473" s="3"/>
      <c r="LA473" s="3"/>
      <c r="LB473" s="3"/>
      <c r="LC473" s="3"/>
      <c r="LD473" s="3"/>
      <c r="LE473" s="3"/>
      <c r="LF473" s="3"/>
      <c r="LG473" s="3"/>
      <c r="LH473" s="3"/>
      <c r="LI473" s="3"/>
      <c r="LJ473" s="3"/>
      <c r="LK473" s="3"/>
      <c r="LL473" s="3"/>
      <c r="LM473" s="3"/>
      <c r="LN473" s="3"/>
      <c r="LO473" s="3"/>
      <c r="LP473" s="3"/>
      <c r="LQ473" s="3"/>
      <c r="LR473" s="3"/>
      <c r="LS473" s="3"/>
      <c r="LT473" s="3"/>
      <c r="LU473" s="3"/>
      <c r="LV473" s="3"/>
      <c r="LW473" s="3"/>
      <c r="LX473" s="3"/>
      <c r="LY473" s="3"/>
      <c r="LZ473" s="3"/>
      <c r="MA473" s="3"/>
      <c r="MB473" s="3"/>
      <c r="MC473" s="3"/>
      <c r="MD473" s="3"/>
      <c r="ME473" s="3"/>
      <c r="MF473" s="3"/>
      <c r="MG473" s="3"/>
      <c r="MH473" s="3"/>
      <c r="MI473" s="3"/>
    </row>
    <row r="474" spans="1:347"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ID474" s="3"/>
      <c r="IE474" s="3"/>
      <c r="IF474" s="3"/>
      <c r="IG474" s="3"/>
      <c r="IH474" s="3"/>
      <c r="II474" s="3"/>
      <c r="IJ474" s="3"/>
      <c r="IK474" s="3"/>
      <c r="IL474" s="3"/>
      <c r="IM474" s="3"/>
      <c r="IN474" s="3"/>
      <c r="IO474" s="3"/>
      <c r="IP474" s="3"/>
      <c r="IQ474" s="3"/>
      <c r="IR474" s="3"/>
      <c r="IS474" s="3"/>
      <c r="IT474" s="3"/>
      <c r="IU474" s="3"/>
      <c r="IV474" s="3"/>
      <c r="IW474" s="3"/>
      <c r="IX474" s="3"/>
      <c r="IY474" s="3"/>
      <c r="IZ474" s="3"/>
      <c r="JA474" s="3"/>
      <c r="JB474" s="3"/>
      <c r="JC474" s="3"/>
      <c r="JD474" s="3"/>
      <c r="JE474" s="3"/>
      <c r="JF474" s="3"/>
      <c r="JG474" s="3"/>
      <c r="JH474" s="3"/>
      <c r="JI474" s="3"/>
      <c r="JJ474" s="3"/>
      <c r="JK474" s="3"/>
      <c r="JL474" s="3"/>
      <c r="JM474" s="3"/>
      <c r="JN474" s="3"/>
      <c r="JO474" s="3"/>
      <c r="JP474" s="3"/>
      <c r="JQ474" s="3"/>
      <c r="JR474" s="3"/>
      <c r="JS474" s="3"/>
      <c r="JT474" s="3"/>
      <c r="JU474" s="3"/>
      <c r="JV474" s="3"/>
      <c r="JW474" s="3"/>
      <c r="JX474" s="3"/>
      <c r="JY474" s="3"/>
      <c r="JZ474" s="3"/>
      <c r="KA474" s="3"/>
      <c r="KB474" s="3"/>
      <c r="KC474" s="3"/>
      <c r="KD474" s="3"/>
      <c r="KE474" s="3"/>
      <c r="KF474" s="3"/>
      <c r="KG474" s="3"/>
      <c r="KH474" s="3"/>
      <c r="KI474" s="3"/>
      <c r="KJ474" s="3"/>
      <c r="KK474" s="3"/>
      <c r="KL474" s="3"/>
      <c r="KM474" s="3"/>
      <c r="KN474" s="3"/>
      <c r="KO474" s="3"/>
      <c r="KP474" s="3"/>
      <c r="KQ474" s="3"/>
      <c r="KR474" s="3"/>
      <c r="KS474" s="3"/>
      <c r="KT474" s="3"/>
      <c r="KU474" s="3"/>
      <c r="KV474" s="3"/>
      <c r="KW474" s="3"/>
      <c r="KX474" s="3"/>
      <c r="KY474" s="3"/>
      <c r="KZ474" s="3"/>
      <c r="LA474" s="3"/>
      <c r="LB474" s="3"/>
      <c r="LC474" s="3"/>
      <c r="LD474" s="3"/>
      <c r="LE474" s="3"/>
      <c r="LF474" s="3"/>
      <c r="LG474" s="3"/>
      <c r="LH474" s="3"/>
      <c r="LI474" s="3"/>
      <c r="LJ474" s="3"/>
      <c r="LK474" s="3"/>
      <c r="LL474" s="3"/>
      <c r="LM474" s="3"/>
      <c r="LN474" s="3"/>
      <c r="LO474" s="3"/>
      <c r="LP474" s="3"/>
      <c r="LQ474" s="3"/>
      <c r="LR474" s="3"/>
      <c r="LS474" s="3"/>
      <c r="LT474" s="3"/>
      <c r="LU474" s="3"/>
      <c r="LV474" s="3"/>
      <c r="LW474" s="3"/>
      <c r="LX474" s="3"/>
      <c r="LY474" s="3"/>
      <c r="LZ474" s="3"/>
      <c r="MA474" s="3"/>
      <c r="MB474" s="3"/>
      <c r="MC474" s="3"/>
      <c r="MD474" s="3"/>
      <c r="ME474" s="3"/>
      <c r="MF474" s="3"/>
      <c r="MG474" s="3"/>
      <c r="MH474" s="3"/>
      <c r="MI474" s="3"/>
    </row>
    <row r="475" spans="1:347"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row>
    <row r="476" spans="1:347"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ID476" s="3"/>
      <c r="IE476" s="3"/>
      <c r="IF476" s="3"/>
      <c r="IG476" s="3"/>
      <c r="IH476" s="3"/>
      <c r="II476" s="3"/>
      <c r="IJ476" s="3"/>
      <c r="IK476" s="3"/>
      <c r="IL476" s="3"/>
      <c r="IM476" s="3"/>
      <c r="IN476" s="3"/>
      <c r="IO476" s="3"/>
      <c r="IP476" s="3"/>
      <c r="IQ476" s="3"/>
      <c r="IR476" s="3"/>
      <c r="IS476" s="3"/>
      <c r="IT476" s="3"/>
      <c r="IU476" s="3"/>
      <c r="IV476" s="3"/>
      <c r="IW476" s="3"/>
      <c r="IX476" s="3"/>
      <c r="IY476" s="3"/>
      <c r="IZ476" s="3"/>
      <c r="JA476" s="3"/>
      <c r="JB476" s="3"/>
      <c r="JC476" s="3"/>
      <c r="JD476" s="3"/>
      <c r="JE476" s="3"/>
      <c r="JF476" s="3"/>
      <c r="JG476" s="3"/>
      <c r="JH476" s="3"/>
      <c r="JI476" s="3"/>
      <c r="JJ476" s="3"/>
      <c r="JK476" s="3"/>
      <c r="JL476" s="3"/>
      <c r="JM476" s="3"/>
      <c r="JN476" s="3"/>
      <c r="JO476" s="3"/>
      <c r="JP476" s="3"/>
      <c r="JQ476" s="3"/>
      <c r="JR476" s="3"/>
      <c r="JS476" s="3"/>
      <c r="JT476" s="3"/>
      <c r="JU476" s="3"/>
      <c r="JV476" s="3"/>
      <c r="JW476" s="3"/>
      <c r="JX476" s="3"/>
      <c r="JY476" s="3"/>
      <c r="JZ476" s="3"/>
      <c r="KA476" s="3"/>
      <c r="KB476" s="3"/>
      <c r="KC476" s="3"/>
      <c r="KD476" s="3"/>
      <c r="KE476" s="3"/>
      <c r="KF476" s="3"/>
      <c r="KG476" s="3"/>
      <c r="KH476" s="3"/>
      <c r="KI476" s="3"/>
      <c r="KJ476" s="3"/>
      <c r="KK476" s="3"/>
      <c r="KL476" s="3"/>
      <c r="KM476" s="3"/>
      <c r="KN476" s="3"/>
      <c r="KO476" s="3"/>
      <c r="KP476" s="3"/>
      <c r="KQ476" s="3"/>
      <c r="KR476" s="3"/>
      <c r="KS476" s="3"/>
      <c r="KT476" s="3"/>
      <c r="KU476" s="3"/>
      <c r="KV476" s="3"/>
      <c r="KW476" s="3"/>
      <c r="KX476" s="3"/>
      <c r="KY476" s="3"/>
      <c r="KZ476" s="3"/>
      <c r="LA476" s="3"/>
      <c r="LB476" s="3"/>
      <c r="LC476" s="3"/>
      <c r="LD476" s="3"/>
      <c r="LE476" s="3"/>
      <c r="LF476" s="3"/>
      <c r="LG476" s="3"/>
      <c r="LH476" s="3"/>
      <c r="LI476" s="3"/>
      <c r="LJ476" s="3"/>
      <c r="LK476" s="3"/>
      <c r="LL476" s="3"/>
      <c r="LM476" s="3"/>
      <c r="LN476" s="3"/>
      <c r="LO476" s="3"/>
      <c r="LP476" s="3"/>
      <c r="LQ476" s="3"/>
      <c r="LR476" s="3"/>
      <c r="LS476" s="3"/>
      <c r="LT476" s="3"/>
      <c r="LU476" s="3"/>
      <c r="LV476" s="3"/>
      <c r="LW476" s="3"/>
      <c r="LX476" s="3"/>
      <c r="LY476" s="3"/>
      <c r="LZ476" s="3"/>
      <c r="MA476" s="3"/>
      <c r="MB476" s="3"/>
      <c r="MC476" s="3"/>
      <c r="MD476" s="3"/>
      <c r="ME476" s="3"/>
      <c r="MF476" s="3"/>
      <c r="MG476" s="3"/>
      <c r="MH476" s="3"/>
      <c r="MI476" s="3"/>
    </row>
    <row r="477" spans="1:347"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ID477" s="3"/>
      <c r="IE477" s="3"/>
      <c r="IF477" s="3"/>
      <c r="IG477" s="3"/>
      <c r="IH477" s="3"/>
      <c r="II477" s="3"/>
      <c r="IJ477" s="3"/>
      <c r="IK477" s="3"/>
      <c r="IL477" s="3"/>
      <c r="IM477" s="3"/>
      <c r="IN477" s="3"/>
      <c r="IO477" s="3"/>
      <c r="IP477" s="3"/>
      <c r="IQ477" s="3"/>
      <c r="IR477" s="3"/>
      <c r="IS477" s="3"/>
      <c r="IT477" s="3"/>
      <c r="IU477" s="3"/>
      <c r="IV477" s="3"/>
      <c r="IW477" s="3"/>
      <c r="IX477" s="3"/>
      <c r="IY477" s="3"/>
      <c r="IZ477" s="3"/>
      <c r="JA477" s="3"/>
      <c r="JB477" s="3"/>
      <c r="JC477" s="3"/>
      <c r="JD477" s="3"/>
      <c r="JE477" s="3"/>
      <c r="JF477" s="3"/>
      <c r="JG477" s="3"/>
      <c r="JH477" s="3"/>
      <c r="JI477" s="3"/>
      <c r="JJ477" s="3"/>
      <c r="JK477" s="3"/>
      <c r="JL477" s="3"/>
      <c r="JM477" s="3"/>
      <c r="JN477" s="3"/>
      <c r="JO477" s="3"/>
      <c r="JP477" s="3"/>
      <c r="JQ477" s="3"/>
      <c r="JR477" s="3"/>
      <c r="JS477" s="3"/>
      <c r="JT477" s="3"/>
      <c r="JU477" s="3"/>
      <c r="JV477" s="3"/>
      <c r="JW477" s="3"/>
      <c r="JX477" s="3"/>
      <c r="JY477" s="3"/>
      <c r="JZ477" s="3"/>
      <c r="KA477" s="3"/>
      <c r="KB477" s="3"/>
      <c r="KC477" s="3"/>
      <c r="KD477" s="3"/>
      <c r="KE477" s="3"/>
      <c r="KF477" s="3"/>
      <c r="KG477" s="3"/>
      <c r="KH477" s="3"/>
      <c r="KI477" s="3"/>
      <c r="KJ477" s="3"/>
      <c r="KK477" s="3"/>
      <c r="KL477" s="3"/>
      <c r="KM477" s="3"/>
      <c r="KN477" s="3"/>
      <c r="KO477" s="3"/>
      <c r="KP477" s="3"/>
      <c r="KQ477" s="3"/>
      <c r="KR477" s="3"/>
      <c r="KS477" s="3"/>
      <c r="KT477" s="3"/>
      <c r="KU477" s="3"/>
      <c r="KV477" s="3"/>
      <c r="KW477" s="3"/>
      <c r="KX477" s="3"/>
      <c r="KY477" s="3"/>
      <c r="KZ477" s="3"/>
      <c r="LA477" s="3"/>
      <c r="LB477" s="3"/>
      <c r="LC477" s="3"/>
      <c r="LD477" s="3"/>
      <c r="LE477" s="3"/>
      <c r="LF477" s="3"/>
      <c r="LG477" s="3"/>
      <c r="LH477" s="3"/>
      <c r="LI477" s="3"/>
      <c r="LJ477" s="3"/>
      <c r="LK477" s="3"/>
      <c r="LL477" s="3"/>
      <c r="LM477" s="3"/>
      <c r="LN477" s="3"/>
      <c r="LO477" s="3"/>
      <c r="LP477" s="3"/>
      <c r="LQ477" s="3"/>
      <c r="LR477" s="3"/>
      <c r="LS477" s="3"/>
      <c r="LT477" s="3"/>
      <c r="LU477" s="3"/>
      <c r="LV477" s="3"/>
      <c r="LW477" s="3"/>
      <c r="LX477" s="3"/>
      <c r="LY477" s="3"/>
      <c r="LZ477" s="3"/>
      <c r="MA477" s="3"/>
      <c r="MB477" s="3"/>
      <c r="MC477" s="3"/>
      <c r="MD477" s="3"/>
      <c r="ME477" s="3"/>
      <c r="MF477" s="3"/>
      <c r="MG477" s="3"/>
      <c r="MH477" s="3"/>
      <c r="MI477" s="3"/>
    </row>
    <row r="478" spans="1:347"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ID478" s="3"/>
      <c r="IE478" s="3"/>
      <c r="IF478" s="3"/>
      <c r="IG478" s="3"/>
      <c r="IH478" s="3"/>
      <c r="II478" s="3"/>
      <c r="IJ478" s="3"/>
      <c r="IK478" s="3"/>
      <c r="IL478" s="3"/>
      <c r="IM478" s="3"/>
      <c r="IN478" s="3"/>
      <c r="IO478" s="3"/>
      <c r="IP478" s="3"/>
      <c r="IQ478" s="3"/>
      <c r="IR478" s="3"/>
      <c r="IS478" s="3"/>
      <c r="IT478" s="3"/>
      <c r="IU478" s="3"/>
      <c r="IV478" s="3"/>
      <c r="IW478" s="3"/>
      <c r="IX478" s="3"/>
      <c r="IY478" s="3"/>
      <c r="IZ478" s="3"/>
      <c r="JA478" s="3"/>
      <c r="JB478" s="3"/>
      <c r="JC478" s="3"/>
      <c r="JD478" s="3"/>
      <c r="JE478" s="3"/>
      <c r="JF478" s="3"/>
      <c r="JG478" s="3"/>
      <c r="JH478" s="3"/>
      <c r="JI478" s="3"/>
      <c r="JJ478" s="3"/>
      <c r="JK478" s="3"/>
      <c r="JL478" s="3"/>
      <c r="JM478" s="3"/>
      <c r="JN478" s="3"/>
      <c r="JO478" s="3"/>
      <c r="JP478" s="3"/>
      <c r="JQ478" s="3"/>
      <c r="JR478" s="3"/>
      <c r="JS478" s="3"/>
      <c r="JT478" s="3"/>
      <c r="JU478" s="3"/>
      <c r="JV478" s="3"/>
      <c r="JW478" s="3"/>
      <c r="JX478" s="3"/>
      <c r="JY478" s="3"/>
      <c r="JZ478" s="3"/>
      <c r="KA478" s="3"/>
      <c r="KB478" s="3"/>
      <c r="KC478" s="3"/>
      <c r="KD478" s="3"/>
      <c r="KE478" s="3"/>
      <c r="KF478" s="3"/>
      <c r="KG478" s="3"/>
      <c r="KH478" s="3"/>
      <c r="KI478" s="3"/>
      <c r="KJ478" s="3"/>
      <c r="KK478" s="3"/>
      <c r="KL478" s="3"/>
      <c r="KM478" s="3"/>
      <c r="KN478" s="3"/>
      <c r="KO478" s="3"/>
      <c r="KP478" s="3"/>
      <c r="KQ478" s="3"/>
      <c r="KR478" s="3"/>
      <c r="KS478" s="3"/>
      <c r="KT478" s="3"/>
      <c r="KU478" s="3"/>
      <c r="KV478" s="3"/>
      <c r="KW478" s="3"/>
      <c r="KX478" s="3"/>
      <c r="KY478" s="3"/>
      <c r="KZ478" s="3"/>
      <c r="LA478" s="3"/>
      <c r="LB478" s="3"/>
      <c r="LC478" s="3"/>
      <c r="LD478" s="3"/>
      <c r="LE478" s="3"/>
      <c r="LF478" s="3"/>
      <c r="LG478" s="3"/>
      <c r="LH478" s="3"/>
      <c r="LI478" s="3"/>
      <c r="LJ478" s="3"/>
      <c r="LK478" s="3"/>
      <c r="LL478" s="3"/>
      <c r="LM478" s="3"/>
      <c r="LN478" s="3"/>
      <c r="LO478" s="3"/>
      <c r="LP478" s="3"/>
      <c r="LQ478" s="3"/>
      <c r="LR478" s="3"/>
      <c r="LS478" s="3"/>
      <c r="LT478" s="3"/>
      <c r="LU478" s="3"/>
      <c r="LV478" s="3"/>
      <c r="LW478" s="3"/>
      <c r="LX478" s="3"/>
      <c r="LY478" s="3"/>
      <c r="LZ478" s="3"/>
      <c r="MA478" s="3"/>
      <c r="MB478" s="3"/>
      <c r="MC478" s="3"/>
      <c r="MD478" s="3"/>
      <c r="ME478" s="3"/>
      <c r="MF478" s="3"/>
      <c r="MG478" s="3"/>
      <c r="MH478" s="3"/>
      <c r="MI478" s="3"/>
    </row>
    <row r="479" spans="1:347"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ID479" s="3"/>
      <c r="IE479" s="3"/>
      <c r="IF479" s="3"/>
      <c r="IG479" s="3"/>
      <c r="IH479" s="3"/>
      <c r="II479" s="3"/>
      <c r="IJ479" s="3"/>
      <c r="IK479" s="3"/>
      <c r="IL479" s="3"/>
      <c r="IM479" s="3"/>
      <c r="IN479" s="3"/>
      <c r="IO479" s="3"/>
      <c r="IP479" s="3"/>
      <c r="IQ479" s="3"/>
      <c r="IR479" s="3"/>
      <c r="IS479" s="3"/>
      <c r="IT479" s="3"/>
      <c r="IU479" s="3"/>
      <c r="IV479" s="3"/>
      <c r="IW479" s="3"/>
      <c r="IX479" s="3"/>
      <c r="IY479" s="3"/>
      <c r="IZ479" s="3"/>
      <c r="JA479" s="3"/>
      <c r="JB479" s="3"/>
      <c r="JC479" s="3"/>
      <c r="JD479" s="3"/>
      <c r="JE479" s="3"/>
      <c r="JF479" s="3"/>
      <c r="JG479" s="3"/>
      <c r="JH479" s="3"/>
      <c r="JI479" s="3"/>
      <c r="JJ479" s="3"/>
      <c r="JK479" s="3"/>
      <c r="JL479" s="3"/>
      <c r="JM479" s="3"/>
      <c r="JN479" s="3"/>
      <c r="JO479" s="3"/>
      <c r="JP479" s="3"/>
      <c r="JQ479" s="3"/>
      <c r="JR479" s="3"/>
      <c r="JS479" s="3"/>
      <c r="JT479" s="3"/>
      <c r="JU479" s="3"/>
      <c r="JV479" s="3"/>
      <c r="JW479" s="3"/>
      <c r="JX479" s="3"/>
      <c r="JY479" s="3"/>
      <c r="JZ479" s="3"/>
      <c r="KA479" s="3"/>
      <c r="KB479" s="3"/>
      <c r="KC479" s="3"/>
      <c r="KD479" s="3"/>
      <c r="KE479" s="3"/>
      <c r="KF479" s="3"/>
      <c r="KG479" s="3"/>
      <c r="KH479" s="3"/>
      <c r="KI479" s="3"/>
      <c r="KJ479" s="3"/>
      <c r="KK479" s="3"/>
      <c r="KL479" s="3"/>
      <c r="KM479" s="3"/>
      <c r="KN479" s="3"/>
      <c r="KO479" s="3"/>
      <c r="KP479" s="3"/>
      <c r="KQ479" s="3"/>
      <c r="KR479" s="3"/>
      <c r="KS479" s="3"/>
      <c r="KT479" s="3"/>
      <c r="KU479" s="3"/>
      <c r="KV479" s="3"/>
      <c r="KW479" s="3"/>
      <c r="KX479" s="3"/>
      <c r="KY479" s="3"/>
      <c r="KZ479" s="3"/>
      <c r="LA479" s="3"/>
      <c r="LB479" s="3"/>
      <c r="LC479" s="3"/>
      <c r="LD479" s="3"/>
      <c r="LE479" s="3"/>
      <c r="LF479" s="3"/>
      <c r="LG479" s="3"/>
      <c r="LH479" s="3"/>
      <c r="LI479" s="3"/>
      <c r="LJ479" s="3"/>
      <c r="LK479" s="3"/>
      <c r="LL479" s="3"/>
      <c r="LM479" s="3"/>
      <c r="LN479" s="3"/>
      <c r="LO479" s="3"/>
      <c r="LP479" s="3"/>
      <c r="LQ479" s="3"/>
      <c r="LR479" s="3"/>
      <c r="LS479" s="3"/>
      <c r="LT479" s="3"/>
      <c r="LU479" s="3"/>
      <c r="LV479" s="3"/>
      <c r="LW479" s="3"/>
      <c r="LX479" s="3"/>
      <c r="LY479" s="3"/>
      <c r="LZ479" s="3"/>
      <c r="MA479" s="3"/>
      <c r="MB479" s="3"/>
      <c r="MC479" s="3"/>
      <c r="MD479" s="3"/>
      <c r="ME479" s="3"/>
      <c r="MF479" s="3"/>
      <c r="MG479" s="3"/>
      <c r="MH479" s="3"/>
      <c r="MI479" s="3"/>
    </row>
    <row r="480" spans="1:347"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c r="LV480" s="3"/>
      <c r="LW480" s="3"/>
      <c r="LX480" s="3"/>
      <c r="LY480" s="3"/>
      <c r="LZ480" s="3"/>
      <c r="MA480" s="3"/>
      <c r="MB480" s="3"/>
      <c r="MC480" s="3"/>
      <c r="MD480" s="3"/>
      <c r="ME480" s="3"/>
      <c r="MF480" s="3"/>
      <c r="MG480" s="3"/>
      <c r="MH480" s="3"/>
      <c r="MI480" s="3"/>
    </row>
    <row r="481" spans="1:347"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ID481" s="3"/>
      <c r="IE481" s="3"/>
      <c r="IF481" s="3"/>
      <c r="IG481" s="3"/>
      <c r="IH481" s="3"/>
      <c r="II481" s="3"/>
      <c r="IJ481" s="3"/>
      <c r="IK481" s="3"/>
      <c r="IL481" s="3"/>
      <c r="IM481" s="3"/>
      <c r="IN481" s="3"/>
      <c r="IO481" s="3"/>
      <c r="IP481" s="3"/>
      <c r="IQ481" s="3"/>
      <c r="IR481" s="3"/>
      <c r="IS481" s="3"/>
      <c r="IT481" s="3"/>
      <c r="IU481" s="3"/>
      <c r="IV481" s="3"/>
      <c r="IW481" s="3"/>
      <c r="IX481" s="3"/>
      <c r="IY481" s="3"/>
      <c r="IZ481" s="3"/>
      <c r="JA481" s="3"/>
      <c r="JB481" s="3"/>
      <c r="JC481" s="3"/>
      <c r="JD481" s="3"/>
      <c r="JE481" s="3"/>
      <c r="JF481" s="3"/>
      <c r="JG481" s="3"/>
      <c r="JH481" s="3"/>
      <c r="JI481" s="3"/>
      <c r="JJ481" s="3"/>
      <c r="JK481" s="3"/>
      <c r="JL481" s="3"/>
      <c r="JM481" s="3"/>
      <c r="JN481" s="3"/>
      <c r="JO481" s="3"/>
      <c r="JP481" s="3"/>
      <c r="JQ481" s="3"/>
      <c r="JR481" s="3"/>
      <c r="JS481" s="3"/>
      <c r="JT481" s="3"/>
      <c r="JU481" s="3"/>
      <c r="JV481" s="3"/>
      <c r="JW481" s="3"/>
      <c r="JX481" s="3"/>
      <c r="JY481" s="3"/>
      <c r="JZ481" s="3"/>
      <c r="KA481" s="3"/>
      <c r="KB481" s="3"/>
      <c r="KC481" s="3"/>
      <c r="KD481" s="3"/>
      <c r="KE481" s="3"/>
      <c r="KF481" s="3"/>
      <c r="KG481" s="3"/>
      <c r="KH481" s="3"/>
      <c r="KI481" s="3"/>
      <c r="KJ481" s="3"/>
      <c r="KK481" s="3"/>
      <c r="KL481" s="3"/>
      <c r="KM481" s="3"/>
      <c r="KN481" s="3"/>
      <c r="KO481" s="3"/>
      <c r="KP481" s="3"/>
      <c r="KQ481" s="3"/>
      <c r="KR481" s="3"/>
      <c r="KS481" s="3"/>
      <c r="KT481" s="3"/>
      <c r="KU481" s="3"/>
      <c r="KV481" s="3"/>
      <c r="KW481" s="3"/>
      <c r="KX481" s="3"/>
      <c r="KY481" s="3"/>
      <c r="KZ481" s="3"/>
      <c r="LA481" s="3"/>
      <c r="LB481" s="3"/>
      <c r="LC481" s="3"/>
      <c r="LD481" s="3"/>
      <c r="LE481" s="3"/>
      <c r="LF481" s="3"/>
      <c r="LG481" s="3"/>
      <c r="LH481" s="3"/>
      <c r="LI481" s="3"/>
      <c r="LJ481" s="3"/>
      <c r="LK481" s="3"/>
      <c r="LL481" s="3"/>
      <c r="LM481" s="3"/>
      <c r="LN481" s="3"/>
      <c r="LO481" s="3"/>
      <c r="LP481" s="3"/>
      <c r="LQ481" s="3"/>
      <c r="LR481" s="3"/>
      <c r="LS481" s="3"/>
      <c r="LT481" s="3"/>
      <c r="LU481" s="3"/>
      <c r="LV481" s="3"/>
      <c r="LW481" s="3"/>
      <c r="LX481" s="3"/>
      <c r="LY481" s="3"/>
      <c r="LZ481" s="3"/>
      <c r="MA481" s="3"/>
      <c r="MB481" s="3"/>
      <c r="MC481" s="3"/>
      <c r="MD481" s="3"/>
      <c r="ME481" s="3"/>
      <c r="MF481" s="3"/>
      <c r="MG481" s="3"/>
      <c r="MH481" s="3"/>
      <c r="MI481" s="3"/>
    </row>
    <row r="482" spans="1:347"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row>
    <row r="483" spans="1:347"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row>
    <row r="484" spans="1:347"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row>
    <row r="485" spans="1:347"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row>
    <row r="486" spans="1:347"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row>
    <row r="487" spans="1:347"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row>
    <row r="488" spans="1:347"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row>
    <row r="489" spans="1:347"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row>
    <row r="490" spans="1:347"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row>
    <row r="491" spans="1:347"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c r="LV491" s="3"/>
      <c r="LW491" s="3"/>
      <c r="LX491" s="3"/>
      <c r="LY491" s="3"/>
      <c r="LZ491" s="3"/>
      <c r="MA491" s="3"/>
      <c r="MB491" s="3"/>
      <c r="MC491" s="3"/>
      <c r="MD491" s="3"/>
      <c r="ME491" s="3"/>
      <c r="MF491" s="3"/>
      <c r="MG491" s="3"/>
      <c r="MH491" s="3"/>
      <c r="MI491" s="3"/>
    </row>
    <row r="492" spans="1:347"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c r="LV492" s="3"/>
      <c r="LW492" s="3"/>
      <c r="LX492" s="3"/>
      <c r="LY492" s="3"/>
      <c r="LZ492" s="3"/>
      <c r="MA492" s="3"/>
      <c r="MB492" s="3"/>
      <c r="MC492" s="3"/>
      <c r="MD492" s="3"/>
      <c r="ME492" s="3"/>
      <c r="MF492" s="3"/>
      <c r="MG492" s="3"/>
      <c r="MH492" s="3"/>
      <c r="MI492" s="3"/>
    </row>
    <row r="493" spans="1:347"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c r="LV493" s="3"/>
      <c r="LW493" s="3"/>
      <c r="LX493" s="3"/>
      <c r="LY493" s="3"/>
      <c r="LZ493" s="3"/>
      <c r="MA493" s="3"/>
      <c r="MB493" s="3"/>
      <c r="MC493" s="3"/>
      <c r="MD493" s="3"/>
      <c r="ME493" s="3"/>
      <c r="MF493" s="3"/>
      <c r="MG493" s="3"/>
      <c r="MH493" s="3"/>
      <c r="MI493" s="3"/>
    </row>
    <row r="494" spans="1:347"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row>
    <row r="495" spans="1:347"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c r="LV495" s="3"/>
      <c r="LW495" s="3"/>
      <c r="LX495" s="3"/>
      <c r="LY495" s="3"/>
      <c r="LZ495" s="3"/>
      <c r="MA495" s="3"/>
      <c r="MB495" s="3"/>
      <c r="MC495" s="3"/>
      <c r="MD495" s="3"/>
      <c r="ME495" s="3"/>
      <c r="MF495" s="3"/>
      <c r="MG495" s="3"/>
      <c r="MH495" s="3"/>
      <c r="MI495" s="3"/>
    </row>
    <row r="496" spans="1:347"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c r="LV496" s="3"/>
      <c r="LW496" s="3"/>
      <c r="LX496" s="3"/>
      <c r="LY496" s="3"/>
      <c r="LZ496" s="3"/>
      <c r="MA496" s="3"/>
      <c r="MB496" s="3"/>
      <c r="MC496" s="3"/>
      <c r="MD496" s="3"/>
      <c r="ME496" s="3"/>
      <c r="MF496" s="3"/>
      <c r="MG496" s="3"/>
      <c r="MH496" s="3"/>
      <c r="MI496" s="3"/>
    </row>
    <row r="497" spans="1:347"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c r="LV497" s="3"/>
      <c r="LW497" s="3"/>
      <c r="LX497" s="3"/>
      <c r="LY497" s="3"/>
      <c r="LZ497" s="3"/>
      <c r="MA497" s="3"/>
      <c r="MB497" s="3"/>
      <c r="MC497" s="3"/>
      <c r="MD497" s="3"/>
      <c r="ME497" s="3"/>
      <c r="MF497" s="3"/>
      <c r="MG497" s="3"/>
      <c r="MH497" s="3"/>
      <c r="MI497" s="3"/>
    </row>
    <row r="498" spans="1:347"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c r="LV498" s="3"/>
      <c r="LW498" s="3"/>
      <c r="LX498" s="3"/>
      <c r="LY498" s="3"/>
      <c r="LZ498" s="3"/>
      <c r="MA498" s="3"/>
      <c r="MB498" s="3"/>
      <c r="MC498" s="3"/>
      <c r="MD498" s="3"/>
      <c r="ME498" s="3"/>
      <c r="MF498" s="3"/>
      <c r="MG498" s="3"/>
      <c r="MH498" s="3"/>
      <c r="MI498" s="3"/>
    </row>
    <row r="499" spans="1:347"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c r="LV499" s="3"/>
      <c r="LW499" s="3"/>
      <c r="LX499" s="3"/>
      <c r="LY499" s="3"/>
      <c r="LZ499" s="3"/>
      <c r="MA499" s="3"/>
      <c r="MB499" s="3"/>
      <c r="MC499" s="3"/>
      <c r="MD499" s="3"/>
      <c r="ME499" s="3"/>
      <c r="MF499" s="3"/>
      <c r="MG499" s="3"/>
      <c r="MH499" s="3"/>
      <c r="MI499" s="3"/>
    </row>
    <row r="500" spans="1:347"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c r="LV500" s="3"/>
      <c r="LW500" s="3"/>
      <c r="LX500" s="3"/>
      <c r="LY500" s="3"/>
      <c r="LZ500" s="3"/>
      <c r="MA500" s="3"/>
      <c r="MB500" s="3"/>
      <c r="MC500" s="3"/>
      <c r="MD500" s="3"/>
      <c r="ME500" s="3"/>
      <c r="MF500" s="3"/>
      <c r="MG500" s="3"/>
      <c r="MH500" s="3"/>
      <c r="MI500" s="3"/>
    </row>
    <row r="501" spans="1:347"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c r="LV501" s="3"/>
      <c r="LW501" s="3"/>
      <c r="LX501" s="3"/>
      <c r="LY501" s="3"/>
      <c r="LZ501" s="3"/>
      <c r="MA501" s="3"/>
      <c r="MB501" s="3"/>
      <c r="MC501" s="3"/>
      <c r="MD501" s="3"/>
      <c r="ME501" s="3"/>
      <c r="MF501" s="3"/>
      <c r="MG501" s="3"/>
      <c r="MH501" s="3"/>
      <c r="MI501" s="3"/>
    </row>
    <row r="502" spans="1:347"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c r="LV502" s="3"/>
      <c r="LW502" s="3"/>
      <c r="LX502" s="3"/>
      <c r="LY502" s="3"/>
      <c r="LZ502" s="3"/>
      <c r="MA502" s="3"/>
      <c r="MB502" s="3"/>
      <c r="MC502" s="3"/>
      <c r="MD502" s="3"/>
      <c r="ME502" s="3"/>
      <c r="MF502" s="3"/>
      <c r="MG502" s="3"/>
      <c r="MH502" s="3"/>
      <c r="MI502" s="3"/>
    </row>
    <row r="503" spans="1:347"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ID503" s="3"/>
      <c r="IE503" s="3"/>
      <c r="IF503" s="3"/>
      <c r="IG503" s="3"/>
      <c r="IH503" s="3"/>
      <c r="II503" s="3"/>
      <c r="IJ503" s="3"/>
      <c r="IK503" s="3"/>
      <c r="IL503" s="3"/>
      <c r="IM503" s="3"/>
      <c r="IN503" s="3"/>
      <c r="IO503" s="3"/>
      <c r="IP503" s="3"/>
      <c r="IQ503" s="3"/>
      <c r="IR503" s="3"/>
      <c r="IS503" s="3"/>
      <c r="IT503" s="3"/>
      <c r="IU503" s="3"/>
      <c r="IV503" s="3"/>
      <c r="IW503" s="3"/>
      <c r="IX503" s="3"/>
      <c r="IY503" s="3"/>
      <c r="IZ503" s="3"/>
      <c r="JA503" s="3"/>
      <c r="JB503" s="3"/>
      <c r="JC503" s="3"/>
      <c r="JD503" s="3"/>
      <c r="JE503" s="3"/>
      <c r="JF503" s="3"/>
      <c r="JG503" s="3"/>
      <c r="JH503" s="3"/>
      <c r="JI503" s="3"/>
      <c r="JJ503" s="3"/>
      <c r="JK503" s="3"/>
      <c r="JL503" s="3"/>
      <c r="JM503" s="3"/>
      <c r="JN503" s="3"/>
      <c r="JO503" s="3"/>
      <c r="JP503" s="3"/>
      <c r="JQ503" s="3"/>
      <c r="JR503" s="3"/>
      <c r="JS503" s="3"/>
      <c r="JT503" s="3"/>
      <c r="JU503" s="3"/>
      <c r="JV503" s="3"/>
      <c r="JW503" s="3"/>
      <c r="JX503" s="3"/>
      <c r="JY503" s="3"/>
      <c r="JZ503" s="3"/>
      <c r="KA503" s="3"/>
      <c r="KB503" s="3"/>
      <c r="KC503" s="3"/>
      <c r="KD503" s="3"/>
      <c r="KE503" s="3"/>
      <c r="KF503" s="3"/>
      <c r="KG503" s="3"/>
      <c r="KH503" s="3"/>
      <c r="KI503" s="3"/>
      <c r="KJ503" s="3"/>
      <c r="KK503" s="3"/>
      <c r="KL503" s="3"/>
      <c r="KM503" s="3"/>
      <c r="KN503" s="3"/>
      <c r="KO503" s="3"/>
      <c r="KP503" s="3"/>
      <c r="KQ503" s="3"/>
      <c r="KR503" s="3"/>
      <c r="KS503" s="3"/>
      <c r="KT503" s="3"/>
      <c r="KU503" s="3"/>
      <c r="KV503" s="3"/>
      <c r="KW503" s="3"/>
      <c r="KX503" s="3"/>
      <c r="KY503" s="3"/>
      <c r="KZ503" s="3"/>
      <c r="LA503" s="3"/>
      <c r="LB503" s="3"/>
      <c r="LC503" s="3"/>
      <c r="LD503" s="3"/>
      <c r="LE503" s="3"/>
      <c r="LF503" s="3"/>
      <c r="LG503" s="3"/>
      <c r="LH503" s="3"/>
      <c r="LI503" s="3"/>
      <c r="LJ503" s="3"/>
      <c r="LK503" s="3"/>
      <c r="LL503" s="3"/>
      <c r="LM503" s="3"/>
      <c r="LN503" s="3"/>
      <c r="LO503" s="3"/>
      <c r="LP503" s="3"/>
      <c r="LQ503" s="3"/>
      <c r="LR503" s="3"/>
      <c r="LS503" s="3"/>
      <c r="LT503" s="3"/>
      <c r="LU503" s="3"/>
      <c r="LV503" s="3"/>
      <c r="LW503" s="3"/>
      <c r="LX503" s="3"/>
      <c r="LY503" s="3"/>
      <c r="LZ503" s="3"/>
      <c r="MA503" s="3"/>
      <c r="MB503" s="3"/>
      <c r="MC503" s="3"/>
      <c r="MD503" s="3"/>
      <c r="ME503" s="3"/>
      <c r="MF503" s="3"/>
      <c r="MG503" s="3"/>
      <c r="MH503" s="3"/>
      <c r="MI503" s="3"/>
    </row>
    <row r="504" spans="1:347"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ID504" s="3"/>
      <c r="IE504" s="3"/>
      <c r="IF504" s="3"/>
      <c r="IG504" s="3"/>
      <c r="IH504" s="3"/>
      <c r="II504" s="3"/>
      <c r="IJ504" s="3"/>
      <c r="IK504" s="3"/>
      <c r="IL504" s="3"/>
      <c r="IM504" s="3"/>
      <c r="IN504" s="3"/>
      <c r="IO504" s="3"/>
      <c r="IP504" s="3"/>
      <c r="IQ504" s="3"/>
      <c r="IR504" s="3"/>
      <c r="IS504" s="3"/>
      <c r="IT504" s="3"/>
      <c r="IU504" s="3"/>
      <c r="IV504" s="3"/>
      <c r="IW504" s="3"/>
      <c r="IX504" s="3"/>
      <c r="IY504" s="3"/>
      <c r="IZ504" s="3"/>
      <c r="JA504" s="3"/>
      <c r="JB504" s="3"/>
      <c r="JC504" s="3"/>
      <c r="JD504" s="3"/>
      <c r="JE504" s="3"/>
      <c r="JF504" s="3"/>
      <c r="JG504" s="3"/>
      <c r="JH504" s="3"/>
      <c r="JI504" s="3"/>
      <c r="JJ504" s="3"/>
      <c r="JK504" s="3"/>
      <c r="JL504" s="3"/>
      <c r="JM504" s="3"/>
      <c r="JN504" s="3"/>
      <c r="JO504" s="3"/>
      <c r="JP504" s="3"/>
      <c r="JQ504" s="3"/>
      <c r="JR504" s="3"/>
      <c r="JS504" s="3"/>
      <c r="JT504" s="3"/>
      <c r="JU504" s="3"/>
      <c r="JV504" s="3"/>
      <c r="JW504" s="3"/>
      <c r="JX504" s="3"/>
      <c r="JY504" s="3"/>
      <c r="JZ504" s="3"/>
      <c r="KA504" s="3"/>
      <c r="KB504" s="3"/>
      <c r="KC504" s="3"/>
      <c r="KD504" s="3"/>
      <c r="KE504" s="3"/>
      <c r="KF504" s="3"/>
      <c r="KG504" s="3"/>
      <c r="KH504" s="3"/>
      <c r="KI504" s="3"/>
      <c r="KJ504" s="3"/>
      <c r="KK504" s="3"/>
      <c r="KL504" s="3"/>
      <c r="KM504" s="3"/>
      <c r="KN504" s="3"/>
      <c r="KO504" s="3"/>
      <c r="KP504" s="3"/>
      <c r="KQ504" s="3"/>
      <c r="KR504" s="3"/>
      <c r="KS504" s="3"/>
      <c r="KT504" s="3"/>
      <c r="KU504" s="3"/>
      <c r="KV504" s="3"/>
      <c r="KW504" s="3"/>
      <c r="KX504" s="3"/>
      <c r="KY504" s="3"/>
      <c r="KZ504" s="3"/>
      <c r="LA504" s="3"/>
      <c r="LB504" s="3"/>
      <c r="LC504" s="3"/>
      <c r="LD504" s="3"/>
      <c r="LE504" s="3"/>
      <c r="LF504" s="3"/>
      <c r="LG504" s="3"/>
      <c r="LH504" s="3"/>
      <c r="LI504" s="3"/>
      <c r="LJ504" s="3"/>
      <c r="LK504" s="3"/>
      <c r="LL504" s="3"/>
      <c r="LM504" s="3"/>
      <c r="LN504" s="3"/>
      <c r="LO504" s="3"/>
      <c r="LP504" s="3"/>
      <c r="LQ504" s="3"/>
      <c r="LR504" s="3"/>
      <c r="LS504" s="3"/>
      <c r="LT504" s="3"/>
      <c r="LU504" s="3"/>
      <c r="LV504" s="3"/>
      <c r="LW504" s="3"/>
      <c r="LX504" s="3"/>
      <c r="LY504" s="3"/>
      <c r="LZ504" s="3"/>
      <c r="MA504" s="3"/>
      <c r="MB504" s="3"/>
      <c r="MC504" s="3"/>
      <c r="MD504" s="3"/>
      <c r="ME504" s="3"/>
      <c r="MF504" s="3"/>
      <c r="MG504" s="3"/>
      <c r="MH504" s="3"/>
      <c r="MI504" s="3"/>
    </row>
    <row r="505" spans="1:347"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ID505" s="3"/>
      <c r="IE505" s="3"/>
      <c r="IF505" s="3"/>
      <c r="IG505" s="3"/>
      <c r="IH505" s="3"/>
      <c r="II505" s="3"/>
      <c r="IJ505" s="3"/>
      <c r="IK505" s="3"/>
      <c r="IL505" s="3"/>
      <c r="IM505" s="3"/>
      <c r="IN505" s="3"/>
      <c r="IO505" s="3"/>
      <c r="IP505" s="3"/>
      <c r="IQ505" s="3"/>
      <c r="IR505" s="3"/>
      <c r="IS505" s="3"/>
      <c r="IT505" s="3"/>
      <c r="IU505" s="3"/>
      <c r="IV505" s="3"/>
      <c r="IW505" s="3"/>
      <c r="IX505" s="3"/>
      <c r="IY505" s="3"/>
      <c r="IZ505" s="3"/>
      <c r="JA505" s="3"/>
      <c r="JB505" s="3"/>
      <c r="JC505" s="3"/>
      <c r="JD505" s="3"/>
      <c r="JE505" s="3"/>
      <c r="JF505" s="3"/>
      <c r="JG505" s="3"/>
      <c r="JH505" s="3"/>
      <c r="JI505" s="3"/>
      <c r="JJ505" s="3"/>
      <c r="JK505" s="3"/>
      <c r="JL505" s="3"/>
      <c r="JM505" s="3"/>
      <c r="JN505" s="3"/>
      <c r="JO505" s="3"/>
      <c r="JP505" s="3"/>
      <c r="JQ505" s="3"/>
      <c r="JR505" s="3"/>
      <c r="JS505" s="3"/>
      <c r="JT505" s="3"/>
      <c r="JU505" s="3"/>
      <c r="JV505" s="3"/>
      <c r="JW505" s="3"/>
      <c r="JX505" s="3"/>
      <c r="JY505" s="3"/>
      <c r="JZ505" s="3"/>
      <c r="KA505" s="3"/>
      <c r="KB505" s="3"/>
      <c r="KC505" s="3"/>
      <c r="KD505" s="3"/>
      <c r="KE505" s="3"/>
      <c r="KF505" s="3"/>
      <c r="KG505" s="3"/>
      <c r="KH505" s="3"/>
      <c r="KI505" s="3"/>
      <c r="KJ505" s="3"/>
      <c r="KK505" s="3"/>
      <c r="KL505" s="3"/>
      <c r="KM505" s="3"/>
      <c r="KN505" s="3"/>
      <c r="KO505" s="3"/>
      <c r="KP505" s="3"/>
      <c r="KQ505" s="3"/>
      <c r="KR505" s="3"/>
      <c r="KS505" s="3"/>
      <c r="KT505" s="3"/>
      <c r="KU505" s="3"/>
      <c r="KV505" s="3"/>
      <c r="KW505" s="3"/>
      <c r="KX505" s="3"/>
      <c r="KY505" s="3"/>
      <c r="KZ505" s="3"/>
      <c r="LA505" s="3"/>
      <c r="LB505" s="3"/>
      <c r="LC505" s="3"/>
      <c r="LD505" s="3"/>
      <c r="LE505" s="3"/>
      <c r="LF505" s="3"/>
      <c r="LG505" s="3"/>
      <c r="LH505" s="3"/>
      <c r="LI505" s="3"/>
      <c r="LJ505" s="3"/>
      <c r="LK505" s="3"/>
      <c r="LL505" s="3"/>
      <c r="LM505" s="3"/>
      <c r="LN505" s="3"/>
      <c r="LO505" s="3"/>
      <c r="LP505" s="3"/>
      <c r="LQ505" s="3"/>
      <c r="LR505" s="3"/>
      <c r="LS505" s="3"/>
      <c r="LT505" s="3"/>
      <c r="LU505" s="3"/>
      <c r="LV505" s="3"/>
      <c r="LW505" s="3"/>
      <c r="LX505" s="3"/>
      <c r="LY505" s="3"/>
      <c r="LZ505" s="3"/>
      <c r="MA505" s="3"/>
      <c r="MB505" s="3"/>
      <c r="MC505" s="3"/>
      <c r="MD505" s="3"/>
      <c r="ME505" s="3"/>
      <c r="MF505" s="3"/>
      <c r="MG505" s="3"/>
      <c r="MH505" s="3"/>
      <c r="MI505" s="3"/>
    </row>
    <row r="506" spans="1:347"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ID506" s="3"/>
      <c r="IE506" s="3"/>
      <c r="IF506" s="3"/>
      <c r="IG506" s="3"/>
      <c r="IH506" s="3"/>
      <c r="II506" s="3"/>
      <c r="IJ506" s="3"/>
      <c r="IK506" s="3"/>
      <c r="IL506" s="3"/>
      <c r="IM506" s="3"/>
      <c r="IN506" s="3"/>
      <c r="IO506" s="3"/>
      <c r="IP506" s="3"/>
      <c r="IQ506" s="3"/>
      <c r="IR506" s="3"/>
      <c r="IS506" s="3"/>
      <c r="IT506" s="3"/>
      <c r="IU506" s="3"/>
      <c r="IV506" s="3"/>
      <c r="IW506" s="3"/>
      <c r="IX506" s="3"/>
      <c r="IY506" s="3"/>
      <c r="IZ506" s="3"/>
      <c r="JA506" s="3"/>
      <c r="JB506" s="3"/>
      <c r="JC506" s="3"/>
      <c r="JD506" s="3"/>
      <c r="JE506" s="3"/>
      <c r="JF506" s="3"/>
      <c r="JG506" s="3"/>
      <c r="JH506" s="3"/>
      <c r="JI506" s="3"/>
      <c r="JJ506" s="3"/>
      <c r="JK506" s="3"/>
      <c r="JL506" s="3"/>
      <c r="JM506" s="3"/>
      <c r="JN506" s="3"/>
      <c r="JO506" s="3"/>
      <c r="JP506" s="3"/>
      <c r="JQ506" s="3"/>
      <c r="JR506" s="3"/>
      <c r="JS506" s="3"/>
      <c r="JT506" s="3"/>
      <c r="JU506" s="3"/>
      <c r="JV506" s="3"/>
      <c r="JW506" s="3"/>
      <c r="JX506" s="3"/>
      <c r="JY506" s="3"/>
      <c r="JZ506" s="3"/>
      <c r="KA506" s="3"/>
      <c r="KB506" s="3"/>
      <c r="KC506" s="3"/>
      <c r="KD506" s="3"/>
      <c r="KE506" s="3"/>
      <c r="KF506" s="3"/>
      <c r="KG506" s="3"/>
      <c r="KH506" s="3"/>
      <c r="KI506" s="3"/>
      <c r="KJ506" s="3"/>
      <c r="KK506" s="3"/>
      <c r="KL506" s="3"/>
      <c r="KM506" s="3"/>
      <c r="KN506" s="3"/>
      <c r="KO506" s="3"/>
      <c r="KP506" s="3"/>
      <c r="KQ506" s="3"/>
      <c r="KR506" s="3"/>
      <c r="KS506" s="3"/>
      <c r="KT506" s="3"/>
      <c r="KU506" s="3"/>
      <c r="KV506" s="3"/>
      <c r="KW506" s="3"/>
      <c r="KX506" s="3"/>
      <c r="KY506" s="3"/>
      <c r="KZ506" s="3"/>
      <c r="LA506" s="3"/>
      <c r="LB506" s="3"/>
      <c r="LC506" s="3"/>
      <c r="LD506" s="3"/>
      <c r="LE506" s="3"/>
      <c r="LF506" s="3"/>
      <c r="LG506" s="3"/>
      <c r="LH506" s="3"/>
      <c r="LI506" s="3"/>
      <c r="LJ506" s="3"/>
      <c r="LK506" s="3"/>
      <c r="LL506" s="3"/>
      <c r="LM506" s="3"/>
      <c r="LN506" s="3"/>
      <c r="LO506" s="3"/>
      <c r="LP506" s="3"/>
      <c r="LQ506" s="3"/>
      <c r="LR506" s="3"/>
      <c r="LS506" s="3"/>
      <c r="LT506" s="3"/>
      <c r="LU506" s="3"/>
      <c r="LV506" s="3"/>
      <c r="LW506" s="3"/>
      <c r="LX506" s="3"/>
      <c r="LY506" s="3"/>
      <c r="LZ506" s="3"/>
      <c r="MA506" s="3"/>
      <c r="MB506" s="3"/>
      <c r="MC506" s="3"/>
      <c r="MD506" s="3"/>
      <c r="ME506" s="3"/>
      <c r="MF506" s="3"/>
      <c r="MG506" s="3"/>
      <c r="MH506" s="3"/>
      <c r="MI506" s="3"/>
    </row>
    <row r="507" spans="1:347"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ID507" s="3"/>
      <c r="IE507" s="3"/>
      <c r="IF507" s="3"/>
      <c r="IG507" s="3"/>
      <c r="IH507" s="3"/>
      <c r="II507" s="3"/>
      <c r="IJ507" s="3"/>
      <c r="IK507" s="3"/>
      <c r="IL507" s="3"/>
      <c r="IM507" s="3"/>
      <c r="IN507" s="3"/>
      <c r="IO507" s="3"/>
      <c r="IP507" s="3"/>
      <c r="IQ507" s="3"/>
      <c r="IR507" s="3"/>
      <c r="IS507" s="3"/>
      <c r="IT507" s="3"/>
      <c r="IU507" s="3"/>
      <c r="IV507" s="3"/>
      <c r="IW507" s="3"/>
      <c r="IX507" s="3"/>
      <c r="IY507" s="3"/>
      <c r="IZ507" s="3"/>
      <c r="JA507" s="3"/>
      <c r="JB507" s="3"/>
      <c r="JC507" s="3"/>
      <c r="JD507" s="3"/>
      <c r="JE507" s="3"/>
      <c r="JF507" s="3"/>
      <c r="JG507" s="3"/>
      <c r="JH507" s="3"/>
      <c r="JI507" s="3"/>
      <c r="JJ507" s="3"/>
      <c r="JK507" s="3"/>
      <c r="JL507" s="3"/>
      <c r="JM507" s="3"/>
      <c r="JN507" s="3"/>
      <c r="JO507" s="3"/>
      <c r="JP507" s="3"/>
      <c r="JQ507" s="3"/>
      <c r="JR507" s="3"/>
      <c r="JS507" s="3"/>
      <c r="JT507" s="3"/>
      <c r="JU507" s="3"/>
      <c r="JV507" s="3"/>
      <c r="JW507" s="3"/>
      <c r="JX507" s="3"/>
      <c r="JY507" s="3"/>
      <c r="JZ507" s="3"/>
      <c r="KA507" s="3"/>
      <c r="KB507" s="3"/>
      <c r="KC507" s="3"/>
      <c r="KD507" s="3"/>
      <c r="KE507" s="3"/>
      <c r="KF507" s="3"/>
      <c r="KG507" s="3"/>
      <c r="KH507" s="3"/>
      <c r="KI507" s="3"/>
      <c r="KJ507" s="3"/>
      <c r="KK507" s="3"/>
      <c r="KL507" s="3"/>
      <c r="KM507" s="3"/>
      <c r="KN507" s="3"/>
      <c r="KO507" s="3"/>
      <c r="KP507" s="3"/>
      <c r="KQ507" s="3"/>
      <c r="KR507" s="3"/>
      <c r="KS507" s="3"/>
      <c r="KT507" s="3"/>
      <c r="KU507" s="3"/>
      <c r="KV507" s="3"/>
      <c r="KW507" s="3"/>
      <c r="KX507" s="3"/>
      <c r="KY507" s="3"/>
      <c r="KZ507" s="3"/>
      <c r="LA507" s="3"/>
      <c r="LB507" s="3"/>
      <c r="LC507" s="3"/>
      <c r="LD507" s="3"/>
      <c r="LE507" s="3"/>
      <c r="LF507" s="3"/>
      <c r="LG507" s="3"/>
      <c r="LH507" s="3"/>
      <c r="LI507" s="3"/>
      <c r="LJ507" s="3"/>
      <c r="LK507" s="3"/>
      <c r="LL507" s="3"/>
      <c r="LM507" s="3"/>
      <c r="LN507" s="3"/>
      <c r="LO507" s="3"/>
      <c r="LP507" s="3"/>
      <c r="LQ507" s="3"/>
      <c r="LR507" s="3"/>
      <c r="LS507" s="3"/>
      <c r="LT507" s="3"/>
      <c r="LU507" s="3"/>
      <c r="LV507" s="3"/>
      <c r="LW507" s="3"/>
      <c r="LX507" s="3"/>
      <c r="LY507" s="3"/>
      <c r="LZ507" s="3"/>
      <c r="MA507" s="3"/>
      <c r="MB507" s="3"/>
      <c r="MC507" s="3"/>
      <c r="MD507" s="3"/>
      <c r="ME507" s="3"/>
      <c r="MF507" s="3"/>
      <c r="MG507" s="3"/>
      <c r="MH507" s="3"/>
      <c r="MI507" s="3"/>
    </row>
    <row r="508" spans="1:347"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ID508" s="3"/>
      <c r="IE508" s="3"/>
      <c r="IF508" s="3"/>
      <c r="IG508" s="3"/>
      <c r="IH508" s="3"/>
      <c r="II508" s="3"/>
      <c r="IJ508" s="3"/>
      <c r="IK508" s="3"/>
      <c r="IL508" s="3"/>
      <c r="IM508" s="3"/>
      <c r="IN508" s="3"/>
      <c r="IO508" s="3"/>
      <c r="IP508" s="3"/>
      <c r="IQ508" s="3"/>
      <c r="IR508" s="3"/>
      <c r="IS508" s="3"/>
      <c r="IT508" s="3"/>
      <c r="IU508" s="3"/>
      <c r="IV508" s="3"/>
      <c r="IW508" s="3"/>
      <c r="IX508" s="3"/>
      <c r="IY508" s="3"/>
      <c r="IZ508" s="3"/>
      <c r="JA508" s="3"/>
      <c r="JB508" s="3"/>
      <c r="JC508" s="3"/>
      <c r="JD508" s="3"/>
      <c r="JE508" s="3"/>
      <c r="JF508" s="3"/>
      <c r="JG508" s="3"/>
      <c r="JH508" s="3"/>
      <c r="JI508" s="3"/>
      <c r="JJ508" s="3"/>
      <c r="JK508" s="3"/>
      <c r="JL508" s="3"/>
      <c r="JM508" s="3"/>
      <c r="JN508" s="3"/>
      <c r="JO508" s="3"/>
      <c r="JP508" s="3"/>
      <c r="JQ508" s="3"/>
      <c r="JR508" s="3"/>
      <c r="JS508" s="3"/>
      <c r="JT508" s="3"/>
      <c r="JU508" s="3"/>
      <c r="JV508" s="3"/>
      <c r="JW508" s="3"/>
      <c r="JX508" s="3"/>
      <c r="JY508" s="3"/>
      <c r="JZ508" s="3"/>
      <c r="KA508" s="3"/>
      <c r="KB508" s="3"/>
      <c r="KC508" s="3"/>
      <c r="KD508" s="3"/>
      <c r="KE508" s="3"/>
      <c r="KF508" s="3"/>
      <c r="KG508" s="3"/>
      <c r="KH508" s="3"/>
      <c r="KI508" s="3"/>
      <c r="KJ508" s="3"/>
      <c r="KK508" s="3"/>
      <c r="KL508" s="3"/>
      <c r="KM508" s="3"/>
      <c r="KN508" s="3"/>
      <c r="KO508" s="3"/>
      <c r="KP508" s="3"/>
      <c r="KQ508" s="3"/>
      <c r="KR508" s="3"/>
      <c r="KS508" s="3"/>
      <c r="KT508" s="3"/>
      <c r="KU508" s="3"/>
      <c r="KV508" s="3"/>
      <c r="KW508" s="3"/>
      <c r="KX508" s="3"/>
      <c r="KY508" s="3"/>
      <c r="KZ508" s="3"/>
      <c r="LA508" s="3"/>
      <c r="LB508" s="3"/>
      <c r="LC508" s="3"/>
      <c r="LD508" s="3"/>
      <c r="LE508" s="3"/>
      <c r="LF508" s="3"/>
      <c r="LG508" s="3"/>
      <c r="LH508" s="3"/>
      <c r="LI508" s="3"/>
      <c r="LJ508" s="3"/>
      <c r="LK508" s="3"/>
      <c r="LL508" s="3"/>
      <c r="LM508" s="3"/>
      <c r="LN508" s="3"/>
      <c r="LO508" s="3"/>
      <c r="LP508" s="3"/>
      <c r="LQ508" s="3"/>
      <c r="LR508" s="3"/>
      <c r="LS508" s="3"/>
      <c r="LT508" s="3"/>
      <c r="LU508" s="3"/>
      <c r="LV508" s="3"/>
      <c r="LW508" s="3"/>
      <c r="LX508" s="3"/>
      <c r="LY508" s="3"/>
      <c r="LZ508" s="3"/>
      <c r="MA508" s="3"/>
      <c r="MB508" s="3"/>
      <c r="MC508" s="3"/>
      <c r="MD508" s="3"/>
      <c r="ME508" s="3"/>
      <c r="MF508" s="3"/>
      <c r="MG508" s="3"/>
      <c r="MH508" s="3"/>
      <c r="MI508" s="3"/>
    </row>
    <row r="509" spans="1:347"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ID509" s="3"/>
      <c r="IE509" s="3"/>
      <c r="IF509" s="3"/>
      <c r="IG509" s="3"/>
      <c r="IH509" s="3"/>
      <c r="II509" s="3"/>
      <c r="IJ509" s="3"/>
      <c r="IK509" s="3"/>
      <c r="IL509" s="3"/>
      <c r="IM509" s="3"/>
      <c r="IN509" s="3"/>
      <c r="IO509" s="3"/>
      <c r="IP509" s="3"/>
      <c r="IQ509" s="3"/>
      <c r="IR509" s="3"/>
      <c r="IS509" s="3"/>
      <c r="IT509" s="3"/>
      <c r="IU509" s="3"/>
      <c r="IV509" s="3"/>
      <c r="IW509" s="3"/>
      <c r="IX509" s="3"/>
      <c r="IY509" s="3"/>
      <c r="IZ509" s="3"/>
      <c r="JA509" s="3"/>
      <c r="JB509" s="3"/>
      <c r="JC509" s="3"/>
      <c r="JD509" s="3"/>
      <c r="JE509" s="3"/>
      <c r="JF509" s="3"/>
      <c r="JG509" s="3"/>
      <c r="JH509" s="3"/>
      <c r="JI509" s="3"/>
      <c r="JJ509" s="3"/>
      <c r="JK509" s="3"/>
      <c r="JL509" s="3"/>
      <c r="JM509" s="3"/>
      <c r="JN509" s="3"/>
      <c r="JO509" s="3"/>
      <c r="JP509" s="3"/>
      <c r="JQ509" s="3"/>
      <c r="JR509" s="3"/>
      <c r="JS509" s="3"/>
      <c r="JT509" s="3"/>
      <c r="JU509" s="3"/>
      <c r="JV509" s="3"/>
      <c r="JW509" s="3"/>
      <c r="JX509" s="3"/>
      <c r="JY509" s="3"/>
      <c r="JZ509" s="3"/>
      <c r="KA509" s="3"/>
      <c r="KB509" s="3"/>
      <c r="KC509" s="3"/>
      <c r="KD509" s="3"/>
      <c r="KE509" s="3"/>
      <c r="KF509" s="3"/>
      <c r="KG509" s="3"/>
      <c r="KH509" s="3"/>
      <c r="KI509" s="3"/>
      <c r="KJ509" s="3"/>
      <c r="KK509" s="3"/>
      <c r="KL509" s="3"/>
      <c r="KM509" s="3"/>
      <c r="KN509" s="3"/>
      <c r="KO509" s="3"/>
      <c r="KP509" s="3"/>
      <c r="KQ509" s="3"/>
      <c r="KR509" s="3"/>
      <c r="KS509" s="3"/>
      <c r="KT509" s="3"/>
      <c r="KU509" s="3"/>
      <c r="KV509" s="3"/>
      <c r="KW509" s="3"/>
      <c r="KX509" s="3"/>
      <c r="KY509" s="3"/>
      <c r="KZ509" s="3"/>
      <c r="LA509" s="3"/>
      <c r="LB509" s="3"/>
      <c r="LC509" s="3"/>
      <c r="LD509" s="3"/>
      <c r="LE509" s="3"/>
      <c r="LF509" s="3"/>
      <c r="LG509" s="3"/>
      <c r="LH509" s="3"/>
      <c r="LI509" s="3"/>
      <c r="LJ509" s="3"/>
      <c r="LK509" s="3"/>
      <c r="LL509" s="3"/>
      <c r="LM509" s="3"/>
      <c r="LN509" s="3"/>
      <c r="LO509" s="3"/>
      <c r="LP509" s="3"/>
      <c r="LQ509" s="3"/>
      <c r="LR509" s="3"/>
      <c r="LS509" s="3"/>
      <c r="LT509" s="3"/>
      <c r="LU509" s="3"/>
      <c r="LV509" s="3"/>
      <c r="LW509" s="3"/>
      <c r="LX509" s="3"/>
      <c r="LY509" s="3"/>
      <c r="LZ509" s="3"/>
      <c r="MA509" s="3"/>
      <c r="MB509" s="3"/>
      <c r="MC509" s="3"/>
      <c r="MD509" s="3"/>
      <c r="ME509" s="3"/>
      <c r="MF509" s="3"/>
      <c r="MG509" s="3"/>
      <c r="MH509" s="3"/>
      <c r="MI509" s="3"/>
    </row>
    <row r="510" spans="1:347"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ID510" s="3"/>
      <c r="IE510" s="3"/>
      <c r="IF510" s="3"/>
      <c r="IG510" s="3"/>
      <c r="IH510" s="3"/>
      <c r="II510" s="3"/>
      <c r="IJ510" s="3"/>
      <c r="IK510" s="3"/>
      <c r="IL510" s="3"/>
      <c r="IM510" s="3"/>
      <c r="IN510" s="3"/>
      <c r="IO510" s="3"/>
      <c r="IP510" s="3"/>
      <c r="IQ510" s="3"/>
      <c r="IR510" s="3"/>
      <c r="IS510" s="3"/>
      <c r="IT510" s="3"/>
      <c r="IU510" s="3"/>
      <c r="IV510" s="3"/>
      <c r="IW510" s="3"/>
      <c r="IX510" s="3"/>
      <c r="IY510" s="3"/>
      <c r="IZ510" s="3"/>
      <c r="JA510" s="3"/>
      <c r="JB510" s="3"/>
      <c r="JC510" s="3"/>
      <c r="JD510" s="3"/>
      <c r="JE510" s="3"/>
      <c r="JF510" s="3"/>
      <c r="JG510" s="3"/>
      <c r="JH510" s="3"/>
      <c r="JI510" s="3"/>
      <c r="JJ510" s="3"/>
      <c r="JK510" s="3"/>
      <c r="JL510" s="3"/>
      <c r="JM510" s="3"/>
      <c r="JN510" s="3"/>
      <c r="JO510" s="3"/>
      <c r="JP510" s="3"/>
      <c r="JQ510" s="3"/>
      <c r="JR510" s="3"/>
      <c r="JS510" s="3"/>
      <c r="JT510" s="3"/>
      <c r="JU510" s="3"/>
      <c r="JV510" s="3"/>
      <c r="JW510" s="3"/>
      <c r="JX510" s="3"/>
      <c r="JY510" s="3"/>
      <c r="JZ510" s="3"/>
      <c r="KA510" s="3"/>
      <c r="KB510" s="3"/>
      <c r="KC510" s="3"/>
      <c r="KD510" s="3"/>
      <c r="KE510" s="3"/>
      <c r="KF510" s="3"/>
      <c r="KG510" s="3"/>
      <c r="KH510" s="3"/>
      <c r="KI510" s="3"/>
      <c r="KJ510" s="3"/>
      <c r="KK510" s="3"/>
      <c r="KL510" s="3"/>
      <c r="KM510" s="3"/>
      <c r="KN510" s="3"/>
      <c r="KO510" s="3"/>
      <c r="KP510" s="3"/>
      <c r="KQ510" s="3"/>
      <c r="KR510" s="3"/>
      <c r="KS510" s="3"/>
      <c r="KT510" s="3"/>
      <c r="KU510" s="3"/>
      <c r="KV510" s="3"/>
      <c r="KW510" s="3"/>
      <c r="KX510" s="3"/>
      <c r="KY510" s="3"/>
      <c r="KZ510" s="3"/>
      <c r="LA510" s="3"/>
      <c r="LB510" s="3"/>
      <c r="LC510" s="3"/>
      <c r="LD510" s="3"/>
      <c r="LE510" s="3"/>
      <c r="LF510" s="3"/>
      <c r="LG510" s="3"/>
      <c r="LH510" s="3"/>
      <c r="LI510" s="3"/>
      <c r="LJ510" s="3"/>
      <c r="LK510" s="3"/>
      <c r="LL510" s="3"/>
      <c r="LM510" s="3"/>
      <c r="LN510" s="3"/>
      <c r="LO510" s="3"/>
      <c r="LP510" s="3"/>
      <c r="LQ510" s="3"/>
      <c r="LR510" s="3"/>
      <c r="LS510" s="3"/>
      <c r="LT510" s="3"/>
      <c r="LU510" s="3"/>
      <c r="LV510" s="3"/>
      <c r="LW510" s="3"/>
      <c r="LX510" s="3"/>
      <c r="LY510" s="3"/>
      <c r="LZ510" s="3"/>
      <c r="MA510" s="3"/>
      <c r="MB510" s="3"/>
      <c r="MC510" s="3"/>
      <c r="MD510" s="3"/>
      <c r="ME510" s="3"/>
      <c r="MF510" s="3"/>
      <c r="MG510" s="3"/>
      <c r="MH510" s="3"/>
      <c r="MI510" s="3"/>
    </row>
    <row r="511" spans="1:347"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ID511" s="3"/>
      <c r="IE511" s="3"/>
      <c r="IF511" s="3"/>
      <c r="IG511" s="3"/>
      <c r="IH511" s="3"/>
      <c r="II511" s="3"/>
      <c r="IJ511" s="3"/>
      <c r="IK511" s="3"/>
      <c r="IL511" s="3"/>
      <c r="IM511" s="3"/>
      <c r="IN511" s="3"/>
      <c r="IO511" s="3"/>
      <c r="IP511" s="3"/>
      <c r="IQ511" s="3"/>
      <c r="IR511" s="3"/>
      <c r="IS511" s="3"/>
      <c r="IT511" s="3"/>
      <c r="IU511" s="3"/>
      <c r="IV511" s="3"/>
      <c r="IW511" s="3"/>
      <c r="IX511" s="3"/>
      <c r="IY511" s="3"/>
      <c r="IZ511" s="3"/>
      <c r="JA511" s="3"/>
      <c r="JB511" s="3"/>
      <c r="JC511" s="3"/>
      <c r="JD511" s="3"/>
      <c r="JE511" s="3"/>
      <c r="JF511" s="3"/>
      <c r="JG511" s="3"/>
      <c r="JH511" s="3"/>
      <c r="JI511" s="3"/>
      <c r="JJ511" s="3"/>
      <c r="JK511" s="3"/>
      <c r="JL511" s="3"/>
      <c r="JM511" s="3"/>
      <c r="JN511" s="3"/>
      <c r="JO511" s="3"/>
      <c r="JP511" s="3"/>
      <c r="JQ511" s="3"/>
      <c r="JR511" s="3"/>
      <c r="JS511" s="3"/>
      <c r="JT511" s="3"/>
      <c r="JU511" s="3"/>
      <c r="JV511" s="3"/>
      <c r="JW511" s="3"/>
      <c r="JX511" s="3"/>
      <c r="JY511" s="3"/>
      <c r="JZ511" s="3"/>
      <c r="KA511" s="3"/>
      <c r="KB511" s="3"/>
      <c r="KC511" s="3"/>
      <c r="KD511" s="3"/>
      <c r="KE511" s="3"/>
      <c r="KF511" s="3"/>
      <c r="KG511" s="3"/>
      <c r="KH511" s="3"/>
      <c r="KI511" s="3"/>
      <c r="KJ511" s="3"/>
      <c r="KK511" s="3"/>
      <c r="KL511" s="3"/>
      <c r="KM511" s="3"/>
      <c r="KN511" s="3"/>
      <c r="KO511" s="3"/>
      <c r="KP511" s="3"/>
      <c r="KQ511" s="3"/>
      <c r="KR511" s="3"/>
      <c r="KS511" s="3"/>
      <c r="KT511" s="3"/>
      <c r="KU511" s="3"/>
      <c r="KV511" s="3"/>
      <c r="KW511" s="3"/>
      <c r="KX511" s="3"/>
      <c r="KY511" s="3"/>
      <c r="KZ511" s="3"/>
      <c r="LA511" s="3"/>
      <c r="LB511" s="3"/>
      <c r="LC511" s="3"/>
      <c r="LD511" s="3"/>
      <c r="LE511" s="3"/>
      <c r="LF511" s="3"/>
      <c r="LG511" s="3"/>
      <c r="LH511" s="3"/>
      <c r="LI511" s="3"/>
      <c r="LJ511" s="3"/>
      <c r="LK511" s="3"/>
      <c r="LL511" s="3"/>
      <c r="LM511" s="3"/>
      <c r="LN511" s="3"/>
      <c r="LO511" s="3"/>
      <c r="LP511" s="3"/>
      <c r="LQ511" s="3"/>
      <c r="LR511" s="3"/>
      <c r="LS511" s="3"/>
      <c r="LT511" s="3"/>
      <c r="LU511" s="3"/>
      <c r="LV511" s="3"/>
      <c r="LW511" s="3"/>
      <c r="LX511" s="3"/>
      <c r="LY511" s="3"/>
      <c r="LZ511" s="3"/>
      <c r="MA511" s="3"/>
      <c r="MB511" s="3"/>
      <c r="MC511" s="3"/>
      <c r="MD511" s="3"/>
      <c r="ME511" s="3"/>
      <c r="MF511" s="3"/>
      <c r="MG511" s="3"/>
      <c r="MH511" s="3"/>
      <c r="MI511" s="3"/>
    </row>
    <row r="512" spans="1:347"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ID512" s="3"/>
      <c r="IE512" s="3"/>
      <c r="IF512" s="3"/>
      <c r="IG512" s="3"/>
      <c r="IH512" s="3"/>
      <c r="II512" s="3"/>
      <c r="IJ512" s="3"/>
      <c r="IK512" s="3"/>
      <c r="IL512" s="3"/>
      <c r="IM512" s="3"/>
      <c r="IN512" s="3"/>
      <c r="IO512" s="3"/>
      <c r="IP512" s="3"/>
      <c r="IQ512" s="3"/>
      <c r="IR512" s="3"/>
      <c r="IS512" s="3"/>
      <c r="IT512" s="3"/>
      <c r="IU512" s="3"/>
      <c r="IV512" s="3"/>
      <c r="IW512" s="3"/>
      <c r="IX512" s="3"/>
      <c r="IY512" s="3"/>
      <c r="IZ512" s="3"/>
      <c r="JA512" s="3"/>
      <c r="JB512" s="3"/>
      <c r="JC512" s="3"/>
      <c r="JD512" s="3"/>
      <c r="JE512" s="3"/>
      <c r="JF512" s="3"/>
      <c r="JG512" s="3"/>
      <c r="JH512" s="3"/>
      <c r="JI512" s="3"/>
      <c r="JJ512" s="3"/>
      <c r="JK512" s="3"/>
      <c r="JL512" s="3"/>
      <c r="JM512" s="3"/>
      <c r="JN512" s="3"/>
      <c r="JO512" s="3"/>
      <c r="JP512" s="3"/>
      <c r="JQ512" s="3"/>
      <c r="JR512" s="3"/>
      <c r="JS512" s="3"/>
      <c r="JT512" s="3"/>
      <c r="JU512" s="3"/>
      <c r="JV512" s="3"/>
      <c r="JW512" s="3"/>
      <c r="JX512" s="3"/>
      <c r="JY512" s="3"/>
      <c r="JZ512" s="3"/>
      <c r="KA512" s="3"/>
      <c r="KB512" s="3"/>
      <c r="KC512" s="3"/>
      <c r="KD512" s="3"/>
      <c r="KE512" s="3"/>
      <c r="KF512" s="3"/>
      <c r="KG512" s="3"/>
      <c r="KH512" s="3"/>
      <c r="KI512" s="3"/>
      <c r="KJ512" s="3"/>
      <c r="KK512" s="3"/>
      <c r="KL512" s="3"/>
      <c r="KM512" s="3"/>
      <c r="KN512" s="3"/>
      <c r="KO512" s="3"/>
      <c r="KP512" s="3"/>
      <c r="KQ512" s="3"/>
      <c r="KR512" s="3"/>
      <c r="KS512" s="3"/>
      <c r="KT512" s="3"/>
      <c r="KU512" s="3"/>
      <c r="KV512" s="3"/>
      <c r="KW512" s="3"/>
      <c r="KX512" s="3"/>
      <c r="KY512" s="3"/>
      <c r="KZ512" s="3"/>
      <c r="LA512" s="3"/>
      <c r="LB512" s="3"/>
      <c r="LC512" s="3"/>
      <c r="LD512" s="3"/>
      <c r="LE512" s="3"/>
      <c r="LF512" s="3"/>
      <c r="LG512" s="3"/>
      <c r="LH512" s="3"/>
      <c r="LI512" s="3"/>
      <c r="LJ512" s="3"/>
      <c r="LK512" s="3"/>
      <c r="LL512" s="3"/>
      <c r="LM512" s="3"/>
      <c r="LN512" s="3"/>
      <c r="LO512" s="3"/>
      <c r="LP512" s="3"/>
      <c r="LQ512" s="3"/>
      <c r="LR512" s="3"/>
      <c r="LS512" s="3"/>
      <c r="LT512" s="3"/>
      <c r="LU512" s="3"/>
      <c r="LV512" s="3"/>
      <c r="LW512" s="3"/>
      <c r="LX512" s="3"/>
      <c r="LY512" s="3"/>
      <c r="LZ512" s="3"/>
      <c r="MA512" s="3"/>
      <c r="MB512" s="3"/>
      <c r="MC512" s="3"/>
      <c r="MD512" s="3"/>
      <c r="ME512" s="3"/>
      <c r="MF512" s="3"/>
      <c r="MG512" s="3"/>
      <c r="MH512" s="3"/>
      <c r="MI512" s="3"/>
    </row>
    <row r="513" spans="1:347"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ID513" s="3"/>
      <c r="IE513" s="3"/>
      <c r="IF513" s="3"/>
      <c r="IG513" s="3"/>
      <c r="IH513" s="3"/>
      <c r="II513" s="3"/>
      <c r="IJ513" s="3"/>
      <c r="IK513" s="3"/>
      <c r="IL513" s="3"/>
      <c r="IM513" s="3"/>
      <c r="IN513" s="3"/>
      <c r="IO513" s="3"/>
      <c r="IP513" s="3"/>
      <c r="IQ513" s="3"/>
      <c r="IR513" s="3"/>
      <c r="IS513" s="3"/>
      <c r="IT513" s="3"/>
      <c r="IU513" s="3"/>
      <c r="IV513" s="3"/>
      <c r="IW513" s="3"/>
      <c r="IX513" s="3"/>
      <c r="IY513" s="3"/>
      <c r="IZ513" s="3"/>
      <c r="JA513" s="3"/>
      <c r="JB513" s="3"/>
      <c r="JC513" s="3"/>
      <c r="JD513" s="3"/>
      <c r="JE513" s="3"/>
      <c r="JF513" s="3"/>
      <c r="JG513" s="3"/>
      <c r="JH513" s="3"/>
      <c r="JI513" s="3"/>
      <c r="JJ513" s="3"/>
      <c r="JK513" s="3"/>
      <c r="JL513" s="3"/>
      <c r="JM513" s="3"/>
      <c r="JN513" s="3"/>
      <c r="JO513" s="3"/>
      <c r="JP513" s="3"/>
      <c r="JQ513" s="3"/>
      <c r="JR513" s="3"/>
      <c r="JS513" s="3"/>
      <c r="JT513" s="3"/>
      <c r="JU513" s="3"/>
      <c r="JV513" s="3"/>
      <c r="JW513" s="3"/>
      <c r="JX513" s="3"/>
      <c r="JY513" s="3"/>
      <c r="JZ513" s="3"/>
      <c r="KA513" s="3"/>
      <c r="KB513" s="3"/>
      <c r="KC513" s="3"/>
      <c r="KD513" s="3"/>
      <c r="KE513" s="3"/>
      <c r="KF513" s="3"/>
      <c r="KG513" s="3"/>
      <c r="KH513" s="3"/>
      <c r="KI513" s="3"/>
      <c r="KJ513" s="3"/>
      <c r="KK513" s="3"/>
      <c r="KL513" s="3"/>
      <c r="KM513" s="3"/>
      <c r="KN513" s="3"/>
      <c r="KO513" s="3"/>
      <c r="KP513" s="3"/>
      <c r="KQ513" s="3"/>
      <c r="KR513" s="3"/>
      <c r="KS513" s="3"/>
      <c r="KT513" s="3"/>
      <c r="KU513" s="3"/>
      <c r="KV513" s="3"/>
      <c r="KW513" s="3"/>
      <c r="KX513" s="3"/>
      <c r="KY513" s="3"/>
      <c r="KZ513" s="3"/>
      <c r="LA513" s="3"/>
      <c r="LB513" s="3"/>
      <c r="LC513" s="3"/>
      <c r="LD513" s="3"/>
      <c r="LE513" s="3"/>
      <c r="LF513" s="3"/>
      <c r="LG513" s="3"/>
      <c r="LH513" s="3"/>
      <c r="LI513" s="3"/>
      <c r="LJ513" s="3"/>
      <c r="LK513" s="3"/>
      <c r="LL513" s="3"/>
      <c r="LM513" s="3"/>
      <c r="LN513" s="3"/>
      <c r="LO513" s="3"/>
      <c r="LP513" s="3"/>
      <c r="LQ513" s="3"/>
      <c r="LR513" s="3"/>
      <c r="LS513" s="3"/>
      <c r="LT513" s="3"/>
      <c r="LU513" s="3"/>
      <c r="LV513" s="3"/>
      <c r="LW513" s="3"/>
      <c r="LX513" s="3"/>
      <c r="LY513" s="3"/>
      <c r="LZ513" s="3"/>
      <c r="MA513" s="3"/>
      <c r="MB513" s="3"/>
      <c r="MC513" s="3"/>
      <c r="MD513" s="3"/>
      <c r="ME513" s="3"/>
      <c r="MF513" s="3"/>
      <c r="MG513" s="3"/>
      <c r="MH513" s="3"/>
      <c r="MI513" s="3"/>
    </row>
    <row r="514" spans="1:347"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ID514" s="3"/>
      <c r="IE514" s="3"/>
      <c r="IF514" s="3"/>
      <c r="IG514" s="3"/>
      <c r="IH514" s="3"/>
      <c r="II514" s="3"/>
      <c r="IJ514" s="3"/>
      <c r="IK514" s="3"/>
      <c r="IL514" s="3"/>
      <c r="IM514" s="3"/>
      <c r="IN514" s="3"/>
      <c r="IO514" s="3"/>
      <c r="IP514" s="3"/>
      <c r="IQ514" s="3"/>
      <c r="IR514" s="3"/>
      <c r="IS514" s="3"/>
      <c r="IT514" s="3"/>
      <c r="IU514" s="3"/>
      <c r="IV514" s="3"/>
      <c r="IW514" s="3"/>
      <c r="IX514" s="3"/>
      <c r="IY514" s="3"/>
      <c r="IZ514" s="3"/>
      <c r="JA514" s="3"/>
      <c r="JB514" s="3"/>
      <c r="JC514" s="3"/>
      <c r="JD514" s="3"/>
      <c r="JE514" s="3"/>
      <c r="JF514" s="3"/>
      <c r="JG514" s="3"/>
      <c r="JH514" s="3"/>
      <c r="JI514" s="3"/>
      <c r="JJ514" s="3"/>
      <c r="JK514" s="3"/>
      <c r="JL514" s="3"/>
      <c r="JM514" s="3"/>
      <c r="JN514" s="3"/>
      <c r="JO514" s="3"/>
      <c r="JP514" s="3"/>
      <c r="JQ514" s="3"/>
      <c r="JR514" s="3"/>
      <c r="JS514" s="3"/>
      <c r="JT514" s="3"/>
      <c r="JU514" s="3"/>
      <c r="JV514" s="3"/>
      <c r="JW514" s="3"/>
      <c r="JX514" s="3"/>
      <c r="JY514" s="3"/>
      <c r="JZ514" s="3"/>
      <c r="KA514" s="3"/>
      <c r="KB514" s="3"/>
      <c r="KC514" s="3"/>
      <c r="KD514" s="3"/>
      <c r="KE514" s="3"/>
      <c r="KF514" s="3"/>
      <c r="KG514" s="3"/>
      <c r="KH514" s="3"/>
      <c r="KI514" s="3"/>
      <c r="KJ514" s="3"/>
      <c r="KK514" s="3"/>
      <c r="KL514" s="3"/>
      <c r="KM514" s="3"/>
      <c r="KN514" s="3"/>
      <c r="KO514" s="3"/>
      <c r="KP514" s="3"/>
      <c r="KQ514" s="3"/>
      <c r="KR514" s="3"/>
      <c r="KS514" s="3"/>
      <c r="KT514" s="3"/>
      <c r="KU514" s="3"/>
      <c r="KV514" s="3"/>
      <c r="KW514" s="3"/>
      <c r="KX514" s="3"/>
      <c r="KY514" s="3"/>
      <c r="KZ514" s="3"/>
      <c r="LA514" s="3"/>
      <c r="LB514" s="3"/>
      <c r="LC514" s="3"/>
      <c r="LD514" s="3"/>
      <c r="LE514" s="3"/>
      <c r="LF514" s="3"/>
      <c r="LG514" s="3"/>
      <c r="LH514" s="3"/>
      <c r="LI514" s="3"/>
      <c r="LJ514" s="3"/>
      <c r="LK514" s="3"/>
      <c r="LL514" s="3"/>
      <c r="LM514" s="3"/>
      <c r="LN514" s="3"/>
      <c r="LO514" s="3"/>
      <c r="LP514" s="3"/>
      <c r="LQ514" s="3"/>
      <c r="LR514" s="3"/>
      <c r="LS514" s="3"/>
      <c r="LT514" s="3"/>
      <c r="LU514" s="3"/>
      <c r="LV514" s="3"/>
      <c r="LW514" s="3"/>
      <c r="LX514" s="3"/>
      <c r="LY514" s="3"/>
      <c r="LZ514" s="3"/>
      <c r="MA514" s="3"/>
      <c r="MB514" s="3"/>
      <c r="MC514" s="3"/>
      <c r="MD514" s="3"/>
      <c r="ME514" s="3"/>
      <c r="MF514" s="3"/>
      <c r="MG514" s="3"/>
      <c r="MH514" s="3"/>
      <c r="MI514" s="3"/>
    </row>
    <row r="515" spans="1:347"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ID515" s="3"/>
      <c r="IE515" s="3"/>
      <c r="IF515" s="3"/>
      <c r="IG515" s="3"/>
      <c r="IH515" s="3"/>
      <c r="II515" s="3"/>
      <c r="IJ515" s="3"/>
      <c r="IK515" s="3"/>
      <c r="IL515" s="3"/>
      <c r="IM515" s="3"/>
      <c r="IN515" s="3"/>
      <c r="IO515" s="3"/>
      <c r="IP515" s="3"/>
      <c r="IQ515" s="3"/>
      <c r="IR515" s="3"/>
      <c r="IS515" s="3"/>
      <c r="IT515" s="3"/>
      <c r="IU515" s="3"/>
      <c r="IV515" s="3"/>
      <c r="IW515" s="3"/>
      <c r="IX515" s="3"/>
      <c r="IY515" s="3"/>
      <c r="IZ515" s="3"/>
      <c r="JA515" s="3"/>
      <c r="JB515" s="3"/>
      <c r="JC515" s="3"/>
      <c r="JD515" s="3"/>
      <c r="JE515" s="3"/>
      <c r="JF515" s="3"/>
      <c r="JG515" s="3"/>
      <c r="JH515" s="3"/>
      <c r="JI515" s="3"/>
      <c r="JJ515" s="3"/>
      <c r="JK515" s="3"/>
      <c r="JL515" s="3"/>
      <c r="JM515" s="3"/>
      <c r="JN515" s="3"/>
      <c r="JO515" s="3"/>
      <c r="JP515" s="3"/>
      <c r="JQ515" s="3"/>
      <c r="JR515" s="3"/>
      <c r="JS515" s="3"/>
      <c r="JT515" s="3"/>
      <c r="JU515" s="3"/>
      <c r="JV515" s="3"/>
      <c r="JW515" s="3"/>
      <c r="JX515" s="3"/>
      <c r="JY515" s="3"/>
      <c r="JZ515" s="3"/>
      <c r="KA515" s="3"/>
      <c r="KB515" s="3"/>
      <c r="KC515" s="3"/>
      <c r="KD515" s="3"/>
      <c r="KE515" s="3"/>
      <c r="KF515" s="3"/>
      <c r="KG515" s="3"/>
      <c r="KH515" s="3"/>
      <c r="KI515" s="3"/>
      <c r="KJ515" s="3"/>
      <c r="KK515" s="3"/>
      <c r="KL515" s="3"/>
      <c r="KM515" s="3"/>
      <c r="KN515" s="3"/>
      <c r="KO515" s="3"/>
      <c r="KP515" s="3"/>
      <c r="KQ515" s="3"/>
      <c r="KR515" s="3"/>
      <c r="KS515" s="3"/>
      <c r="KT515" s="3"/>
      <c r="KU515" s="3"/>
      <c r="KV515" s="3"/>
      <c r="KW515" s="3"/>
      <c r="KX515" s="3"/>
      <c r="KY515" s="3"/>
      <c r="KZ515" s="3"/>
      <c r="LA515" s="3"/>
      <c r="LB515" s="3"/>
      <c r="LC515" s="3"/>
      <c r="LD515" s="3"/>
      <c r="LE515" s="3"/>
      <c r="LF515" s="3"/>
      <c r="LG515" s="3"/>
      <c r="LH515" s="3"/>
      <c r="LI515" s="3"/>
      <c r="LJ515" s="3"/>
      <c r="LK515" s="3"/>
      <c r="LL515" s="3"/>
      <c r="LM515" s="3"/>
      <c r="LN515" s="3"/>
      <c r="LO515" s="3"/>
      <c r="LP515" s="3"/>
      <c r="LQ515" s="3"/>
      <c r="LR515" s="3"/>
      <c r="LS515" s="3"/>
      <c r="LT515" s="3"/>
      <c r="LU515" s="3"/>
      <c r="LV515" s="3"/>
      <c r="LW515" s="3"/>
      <c r="LX515" s="3"/>
      <c r="LY515" s="3"/>
      <c r="LZ515" s="3"/>
      <c r="MA515" s="3"/>
      <c r="MB515" s="3"/>
      <c r="MC515" s="3"/>
      <c r="MD515" s="3"/>
      <c r="ME515" s="3"/>
      <c r="MF515" s="3"/>
      <c r="MG515" s="3"/>
      <c r="MH515" s="3"/>
      <c r="MI515" s="3"/>
    </row>
    <row r="516" spans="1:347"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ID516" s="3"/>
      <c r="IE516" s="3"/>
      <c r="IF516" s="3"/>
      <c r="IG516" s="3"/>
      <c r="IH516" s="3"/>
      <c r="II516" s="3"/>
      <c r="IJ516" s="3"/>
      <c r="IK516" s="3"/>
      <c r="IL516" s="3"/>
      <c r="IM516" s="3"/>
      <c r="IN516" s="3"/>
      <c r="IO516" s="3"/>
      <c r="IP516" s="3"/>
      <c r="IQ516" s="3"/>
      <c r="IR516" s="3"/>
      <c r="IS516" s="3"/>
      <c r="IT516" s="3"/>
      <c r="IU516" s="3"/>
      <c r="IV516" s="3"/>
      <c r="IW516" s="3"/>
      <c r="IX516" s="3"/>
      <c r="IY516" s="3"/>
      <c r="IZ516" s="3"/>
      <c r="JA516" s="3"/>
      <c r="JB516" s="3"/>
      <c r="JC516" s="3"/>
      <c r="JD516" s="3"/>
      <c r="JE516" s="3"/>
      <c r="JF516" s="3"/>
      <c r="JG516" s="3"/>
      <c r="JH516" s="3"/>
      <c r="JI516" s="3"/>
      <c r="JJ516" s="3"/>
      <c r="JK516" s="3"/>
      <c r="JL516" s="3"/>
      <c r="JM516" s="3"/>
      <c r="JN516" s="3"/>
      <c r="JO516" s="3"/>
      <c r="JP516" s="3"/>
      <c r="JQ516" s="3"/>
      <c r="JR516" s="3"/>
      <c r="JS516" s="3"/>
      <c r="JT516" s="3"/>
      <c r="JU516" s="3"/>
      <c r="JV516" s="3"/>
      <c r="JW516" s="3"/>
      <c r="JX516" s="3"/>
      <c r="JY516" s="3"/>
      <c r="JZ516" s="3"/>
      <c r="KA516" s="3"/>
      <c r="KB516" s="3"/>
      <c r="KC516" s="3"/>
      <c r="KD516" s="3"/>
      <c r="KE516" s="3"/>
      <c r="KF516" s="3"/>
      <c r="KG516" s="3"/>
      <c r="KH516" s="3"/>
      <c r="KI516" s="3"/>
      <c r="KJ516" s="3"/>
      <c r="KK516" s="3"/>
      <c r="KL516" s="3"/>
      <c r="KM516" s="3"/>
      <c r="KN516" s="3"/>
      <c r="KO516" s="3"/>
      <c r="KP516" s="3"/>
      <c r="KQ516" s="3"/>
      <c r="KR516" s="3"/>
      <c r="KS516" s="3"/>
      <c r="KT516" s="3"/>
      <c r="KU516" s="3"/>
      <c r="KV516" s="3"/>
      <c r="KW516" s="3"/>
      <c r="KX516" s="3"/>
      <c r="KY516" s="3"/>
      <c r="KZ516" s="3"/>
      <c r="LA516" s="3"/>
      <c r="LB516" s="3"/>
      <c r="LC516" s="3"/>
      <c r="LD516" s="3"/>
      <c r="LE516" s="3"/>
      <c r="LF516" s="3"/>
      <c r="LG516" s="3"/>
      <c r="LH516" s="3"/>
      <c r="LI516" s="3"/>
      <c r="LJ516" s="3"/>
      <c r="LK516" s="3"/>
      <c r="LL516" s="3"/>
      <c r="LM516" s="3"/>
      <c r="LN516" s="3"/>
      <c r="LO516" s="3"/>
      <c r="LP516" s="3"/>
      <c r="LQ516" s="3"/>
      <c r="LR516" s="3"/>
      <c r="LS516" s="3"/>
      <c r="LT516" s="3"/>
      <c r="LU516" s="3"/>
      <c r="LV516" s="3"/>
      <c r="LW516" s="3"/>
      <c r="LX516" s="3"/>
      <c r="LY516" s="3"/>
      <c r="LZ516" s="3"/>
      <c r="MA516" s="3"/>
      <c r="MB516" s="3"/>
      <c r="MC516" s="3"/>
      <c r="MD516" s="3"/>
      <c r="ME516" s="3"/>
      <c r="MF516" s="3"/>
      <c r="MG516" s="3"/>
      <c r="MH516" s="3"/>
      <c r="MI516" s="3"/>
    </row>
    <row r="517" spans="1:347"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ID517" s="3"/>
      <c r="IE517" s="3"/>
      <c r="IF517" s="3"/>
      <c r="IG517" s="3"/>
      <c r="IH517" s="3"/>
      <c r="II517" s="3"/>
      <c r="IJ517" s="3"/>
      <c r="IK517" s="3"/>
      <c r="IL517" s="3"/>
      <c r="IM517" s="3"/>
      <c r="IN517" s="3"/>
      <c r="IO517" s="3"/>
      <c r="IP517" s="3"/>
      <c r="IQ517" s="3"/>
      <c r="IR517" s="3"/>
      <c r="IS517" s="3"/>
      <c r="IT517" s="3"/>
      <c r="IU517" s="3"/>
      <c r="IV517" s="3"/>
      <c r="IW517" s="3"/>
      <c r="IX517" s="3"/>
      <c r="IY517" s="3"/>
      <c r="IZ517" s="3"/>
      <c r="JA517" s="3"/>
      <c r="JB517" s="3"/>
      <c r="JC517" s="3"/>
      <c r="JD517" s="3"/>
      <c r="JE517" s="3"/>
      <c r="JF517" s="3"/>
      <c r="JG517" s="3"/>
      <c r="JH517" s="3"/>
      <c r="JI517" s="3"/>
      <c r="JJ517" s="3"/>
      <c r="JK517" s="3"/>
      <c r="JL517" s="3"/>
      <c r="JM517" s="3"/>
      <c r="JN517" s="3"/>
      <c r="JO517" s="3"/>
      <c r="JP517" s="3"/>
      <c r="JQ517" s="3"/>
      <c r="JR517" s="3"/>
      <c r="JS517" s="3"/>
      <c r="JT517" s="3"/>
      <c r="JU517" s="3"/>
      <c r="JV517" s="3"/>
      <c r="JW517" s="3"/>
      <c r="JX517" s="3"/>
      <c r="JY517" s="3"/>
      <c r="JZ517" s="3"/>
      <c r="KA517" s="3"/>
      <c r="KB517" s="3"/>
      <c r="KC517" s="3"/>
      <c r="KD517" s="3"/>
      <c r="KE517" s="3"/>
      <c r="KF517" s="3"/>
      <c r="KG517" s="3"/>
      <c r="KH517" s="3"/>
      <c r="KI517" s="3"/>
      <c r="KJ517" s="3"/>
      <c r="KK517" s="3"/>
      <c r="KL517" s="3"/>
      <c r="KM517" s="3"/>
      <c r="KN517" s="3"/>
      <c r="KO517" s="3"/>
      <c r="KP517" s="3"/>
      <c r="KQ517" s="3"/>
      <c r="KR517" s="3"/>
      <c r="KS517" s="3"/>
      <c r="KT517" s="3"/>
      <c r="KU517" s="3"/>
      <c r="KV517" s="3"/>
      <c r="KW517" s="3"/>
      <c r="KX517" s="3"/>
      <c r="KY517" s="3"/>
      <c r="KZ517" s="3"/>
      <c r="LA517" s="3"/>
      <c r="LB517" s="3"/>
      <c r="LC517" s="3"/>
      <c r="LD517" s="3"/>
      <c r="LE517" s="3"/>
      <c r="LF517" s="3"/>
      <c r="LG517" s="3"/>
      <c r="LH517" s="3"/>
      <c r="LI517" s="3"/>
      <c r="LJ517" s="3"/>
      <c r="LK517" s="3"/>
      <c r="LL517" s="3"/>
      <c r="LM517" s="3"/>
      <c r="LN517" s="3"/>
      <c r="LO517" s="3"/>
      <c r="LP517" s="3"/>
      <c r="LQ517" s="3"/>
      <c r="LR517" s="3"/>
      <c r="LS517" s="3"/>
      <c r="LT517" s="3"/>
      <c r="LU517" s="3"/>
      <c r="LV517" s="3"/>
      <c r="LW517" s="3"/>
      <c r="LX517" s="3"/>
      <c r="LY517" s="3"/>
      <c r="LZ517" s="3"/>
      <c r="MA517" s="3"/>
      <c r="MB517" s="3"/>
      <c r="MC517" s="3"/>
      <c r="MD517" s="3"/>
      <c r="ME517" s="3"/>
      <c r="MF517" s="3"/>
      <c r="MG517" s="3"/>
      <c r="MH517" s="3"/>
      <c r="MI517" s="3"/>
    </row>
    <row r="518" spans="1:347"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ID518" s="3"/>
      <c r="IE518" s="3"/>
      <c r="IF518" s="3"/>
      <c r="IG518" s="3"/>
      <c r="IH518" s="3"/>
      <c r="II518" s="3"/>
      <c r="IJ518" s="3"/>
      <c r="IK518" s="3"/>
      <c r="IL518" s="3"/>
      <c r="IM518" s="3"/>
      <c r="IN518" s="3"/>
      <c r="IO518" s="3"/>
      <c r="IP518" s="3"/>
      <c r="IQ518" s="3"/>
      <c r="IR518" s="3"/>
      <c r="IS518" s="3"/>
      <c r="IT518" s="3"/>
      <c r="IU518" s="3"/>
      <c r="IV518" s="3"/>
      <c r="IW518" s="3"/>
      <c r="IX518" s="3"/>
      <c r="IY518" s="3"/>
      <c r="IZ518" s="3"/>
      <c r="JA518" s="3"/>
      <c r="JB518" s="3"/>
      <c r="JC518" s="3"/>
      <c r="JD518" s="3"/>
      <c r="JE518" s="3"/>
      <c r="JF518" s="3"/>
      <c r="JG518" s="3"/>
      <c r="JH518" s="3"/>
      <c r="JI518" s="3"/>
      <c r="JJ518" s="3"/>
      <c r="JK518" s="3"/>
      <c r="JL518" s="3"/>
      <c r="JM518" s="3"/>
      <c r="JN518" s="3"/>
      <c r="JO518" s="3"/>
      <c r="JP518" s="3"/>
      <c r="JQ518" s="3"/>
      <c r="JR518" s="3"/>
      <c r="JS518" s="3"/>
      <c r="JT518" s="3"/>
      <c r="JU518" s="3"/>
      <c r="JV518" s="3"/>
      <c r="JW518" s="3"/>
      <c r="JX518" s="3"/>
      <c r="JY518" s="3"/>
      <c r="JZ518" s="3"/>
      <c r="KA518" s="3"/>
      <c r="KB518" s="3"/>
      <c r="KC518" s="3"/>
      <c r="KD518" s="3"/>
      <c r="KE518" s="3"/>
      <c r="KF518" s="3"/>
      <c r="KG518" s="3"/>
      <c r="KH518" s="3"/>
      <c r="KI518" s="3"/>
      <c r="KJ518" s="3"/>
      <c r="KK518" s="3"/>
      <c r="KL518" s="3"/>
      <c r="KM518" s="3"/>
      <c r="KN518" s="3"/>
      <c r="KO518" s="3"/>
      <c r="KP518" s="3"/>
      <c r="KQ518" s="3"/>
      <c r="KR518" s="3"/>
      <c r="KS518" s="3"/>
      <c r="KT518" s="3"/>
      <c r="KU518" s="3"/>
      <c r="KV518" s="3"/>
      <c r="KW518" s="3"/>
      <c r="KX518" s="3"/>
      <c r="KY518" s="3"/>
      <c r="KZ518" s="3"/>
      <c r="LA518" s="3"/>
      <c r="LB518" s="3"/>
      <c r="LC518" s="3"/>
      <c r="LD518" s="3"/>
      <c r="LE518" s="3"/>
      <c r="LF518" s="3"/>
      <c r="LG518" s="3"/>
      <c r="LH518" s="3"/>
      <c r="LI518" s="3"/>
      <c r="LJ518" s="3"/>
      <c r="LK518" s="3"/>
      <c r="LL518" s="3"/>
      <c r="LM518" s="3"/>
      <c r="LN518" s="3"/>
      <c r="LO518" s="3"/>
      <c r="LP518" s="3"/>
      <c r="LQ518" s="3"/>
      <c r="LR518" s="3"/>
      <c r="LS518" s="3"/>
      <c r="LT518" s="3"/>
      <c r="LU518" s="3"/>
      <c r="LV518" s="3"/>
      <c r="LW518" s="3"/>
      <c r="LX518" s="3"/>
      <c r="LY518" s="3"/>
      <c r="LZ518" s="3"/>
      <c r="MA518" s="3"/>
      <c r="MB518" s="3"/>
      <c r="MC518" s="3"/>
      <c r="MD518" s="3"/>
      <c r="ME518" s="3"/>
      <c r="MF518" s="3"/>
      <c r="MG518" s="3"/>
      <c r="MH518" s="3"/>
      <c r="MI518" s="3"/>
    </row>
    <row r="519" spans="1:347"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ID519" s="3"/>
      <c r="IE519" s="3"/>
      <c r="IF519" s="3"/>
      <c r="IG519" s="3"/>
      <c r="IH519" s="3"/>
      <c r="II519" s="3"/>
      <c r="IJ519" s="3"/>
      <c r="IK519" s="3"/>
      <c r="IL519" s="3"/>
      <c r="IM519" s="3"/>
      <c r="IN519" s="3"/>
      <c r="IO519" s="3"/>
      <c r="IP519" s="3"/>
      <c r="IQ519" s="3"/>
      <c r="IR519" s="3"/>
      <c r="IS519" s="3"/>
      <c r="IT519" s="3"/>
      <c r="IU519" s="3"/>
      <c r="IV519" s="3"/>
      <c r="IW519" s="3"/>
      <c r="IX519" s="3"/>
      <c r="IY519" s="3"/>
      <c r="IZ519" s="3"/>
      <c r="JA519" s="3"/>
      <c r="JB519" s="3"/>
      <c r="JC519" s="3"/>
      <c r="JD519" s="3"/>
      <c r="JE519" s="3"/>
      <c r="JF519" s="3"/>
      <c r="JG519" s="3"/>
      <c r="JH519" s="3"/>
      <c r="JI519" s="3"/>
      <c r="JJ519" s="3"/>
      <c r="JK519" s="3"/>
      <c r="JL519" s="3"/>
      <c r="JM519" s="3"/>
      <c r="JN519" s="3"/>
      <c r="JO519" s="3"/>
      <c r="JP519" s="3"/>
      <c r="JQ519" s="3"/>
      <c r="JR519" s="3"/>
      <c r="JS519" s="3"/>
      <c r="JT519" s="3"/>
      <c r="JU519" s="3"/>
      <c r="JV519" s="3"/>
      <c r="JW519" s="3"/>
      <c r="JX519" s="3"/>
      <c r="JY519" s="3"/>
      <c r="JZ519" s="3"/>
      <c r="KA519" s="3"/>
      <c r="KB519" s="3"/>
      <c r="KC519" s="3"/>
      <c r="KD519" s="3"/>
      <c r="KE519" s="3"/>
      <c r="KF519" s="3"/>
      <c r="KG519" s="3"/>
      <c r="KH519" s="3"/>
      <c r="KI519" s="3"/>
      <c r="KJ519" s="3"/>
      <c r="KK519" s="3"/>
      <c r="KL519" s="3"/>
      <c r="KM519" s="3"/>
      <c r="KN519" s="3"/>
      <c r="KO519" s="3"/>
      <c r="KP519" s="3"/>
      <c r="KQ519" s="3"/>
      <c r="KR519" s="3"/>
      <c r="KS519" s="3"/>
      <c r="KT519" s="3"/>
      <c r="KU519" s="3"/>
      <c r="KV519" s="3"/>
      <c r="KW519" s="3"/>
      <c r="KX519" s="3"/>
      <c r="KY519" s="3"/>
      <c r="KZ519" s="3"/>
      <c r="LA519" s="3"/>
      <c r="LB519" s="3"/>
      <c r="LC519" s="3"/>
      <c r="LD519" s="3"/>
      <c r="LE519" s="3"/>
      <c r="LF519" s="3"/>
      <c r="LG519" s="3"/>
      <c r="LH519" s="3"/>
      <c r="LI519" s="3"/>
      <c r="LJ519" s="3"/>
      <c r="LK519" s="3"/>
      <c r="LL519" s="3"/>
      <c r="LM519" s="3"/>
      <c r="LN519" s="3"/>
      <c r="LO519" s="3"/>
      <c r="LP519" s="3"/>
      <c r="LQ519" s="3"/>
      <c r="LR519" s="3"/>
      <c r="LS519" s="3"/>
      <c r="LT519" s="3"/>
      <c r="LU519" s="3"/>
      <c r="LV519" s="3"/>
      <c r="LW519" s="3"/>
      <c r="LX519" s="3"/>
      <c r="LY519" s="3"/>
      <c r="LZ519" s="3"/>
      <c r="MA519" s="3"/>
      <c r="MB519" s="3"/>
      <c r="MC519" s="3"/>
      <c r="MD519" s="3"/>
      <c r="ME519" s="3"/>
      <c r="MF519" s="3"/>
      <c r="MG519" s="3"/>
      <c r="MH519" s="3"/>
      <c r="MI519" s="3"/>
    </row>
    <row r="520" spans="1:347"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ID520" s="3"/>
      <c r="IE520" s="3"/>
      <c r="IF520" s="3"/>
      <c r="IG520" s="3"/>
      <c r="IH520" s="3"/>
      <c r="II520" s="3"/>
      <c r="IJ520" s="3"/>
      <c r="IK520" s="3"/>
      <c r="IL520" s="3"/>
      <c r="IM520" s="3"/>
      <c r="IN520" s="3"/>
      <c r="IO520" s="3"/>
      <c r="IP520" s="3"/>
      <c r="IQ520" s="3"/>
      <c r="IR520" s="3"/>
      <c r="IS520" s="3"/>
      <c r="IT520" s="3"/>
      <c r="IU520" s="3"/>
      <c r="IV520" s="3"/>
      <c r="IW520" s="3"/>
      <c r="IX520" s="3"/>
      <c r="IY520" s="3"/>
      <c r="IZ520" s="3"/>
      <c r="JA520" s="3"/>
      <c r="JB520" s="3"/>
      <c r="JC520" s="3"/>
      <c r="JD520" s="3"/>
      <c r="JE520" s="3"/>
      <c r="JF520" s="3"/>
      <c r="JG520" s="3"/>
      <c r="JH520" s="3"/>
      <c r="JI520" s="3"/>
      <c r="JJ520" s="3"/>
      <c r="JK520" s="3"/>
      <c r="JL520" s="3"/>
      <c r="JM520" s="3"/>
      <c r="JN520" s="3"/>
      <c r="JO520" s="3"/>
      <c r="JP520" s="3"/>
      <c r="JQ520" s="3"/>
      <c r="JR520" s="3"/>
      <c r="JS520" s="3"/>
      <c r="JT520" s="3"/>
      <c r="JU520" s="3"/>
      <c r="JV520" s="3"/>
      <c r="JW520" s="3"/>
      <c r="JX520" s="3"/>
      <c r="JY520" s="3"/>
      <c r="JZ520" s="3"/>
      <c r="KA520" s="3"/>
      <c r="KB520" s="3"/>
      <c r="KC520" s="3"/>
      <c r="KD520" s="3"/>
      <c r="KE520" s="3"/>
      <c r="KF520" s="3"/>
      <c r="KG520" s="3"/>
      <c r="KH520" s="3"/>
      <c r="KI520" s="3"/>
      <c r="KJ520" s="3"/>
      <c r="KK520" s="3"/>
      <c r="KL520" s="3"/>
      <c r="KM520" s="3"/>
      <c r="KN520" s="3"/>
      <c r="KO520" s="3"/>
      <c r="KP520" s="3"/>
      <c r="KQ520" s="3"/>
      <c r="KR520" s="3"/>
      <c r="KS520" s="3"/>
      <c r="KT520" s="3"/>
      <c r="KU520" s="3"/>
      <c r="KV520" s="3"/>
      <c r="KW520" s="3"/>
      <c r="KX520" s="3"/>
      <c r="KY520" s="3"/>
      <c r="KZ520" s="3"/>
      <c r="LA520" s="3"/>
      <c r="LB520" s="3"/>
      <c r="LC520" s="3"/>
      <c r="LD520" s="3"/>
      <c r="LE520" s="3"/>
      <c r="LF520" s="3"/>
      <c r="LG520" s="3"/>
      <c r="LH520" s="3"/>
      <c r="LI520" s="3"/>
      <c r="LJ520" s="3"/>
      <c r="LK520" s="3"/>
      <c r="LL520" s="3"/>
      <c r="LM520" s="3"/>
      <c r="LN520" s="3"/>
      <c r="LO520" s="3"/>
      <c r="LP520" s="3"/>
      <c r="LQ520" s="3"/>
      <c r="LR520" s="3"/>
      <c r="LS520" s="3"/>
      <c r="LT520" s="3"/>
      <c r="LU520" s="3"/>
      <c r="LV520" s="3"/>
      <c r="LW520" s="3"/>
      <c r="LX520" s="3"/>
      <c r="LY520" s="3"/>
      <c r="LZ520" s="3"/>
      <c r="MA520" s="3"/>
      <c r="MB520" s="3"/>
      <c r="MC520" s="3"/>
      <c r="MD520" s="3"/>
      <c r="ME520" s="3"/>
      <c r="MF520" s="3"/>
      <c r="MG520" s="3"/>
      <c r="MH520" s="3"/>
      <c r="MI520" s="3"/>
    </row>
    <row r="521" spans="1:347"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ID521" s="3"/>
      <c r="IE521" s="3"/>
      <c r="IF521" s="3"/>
      <c r="IG521" s="3"/>
      <c r="IH521" s="3"/>
      <c r="II521" s="3"/>
      <c r="IJ521" s="3"/>
      <c r="IK521" s="3"/>
      <c r="IL521" s="3"/>
      <c r="IM521" s="3"/>
      <c r="IN521" s="3"/>
      <c r="IO521" s="3"/>
      <c r="IP521" s="3"/>
      <c r="IQ521" s="3"/>
      <c r="IR521" s="3"/>
      <c r="IS521" s="3"/>
      <c r="IT521" s="3"/>
      <c r="IU521" s="3"/>
      <c r="IV521" s="3"/>
      <c r="IW521" s="3"/>
      <c r="IX521" s="3"/>
      <c r="IY521" s="3"/>
      <c r="IZ521" s="3"/>
      <c r="JA521" s="3"/>
      <c r="JB521" s="3"/>
      <c r="JC521" s="3"/>
      <c r="JD521" s="3"/>
      <c r="JE521" s="3"/>
      <c r="JF521" s="3"/>
      <c r="JG521" s="3"/>
      <c r="JH521" s="3"/>
      <c r="JI521" s="3"/>
      <c r="JJ521" s="3"/>
      <c r="JK521" s="3"/>
      <c r="JL521" s="3"/>
      <c r="JM521" s="3"/>
      <c r="JN521" s="3"/>
      <c r="JO521" s="3"/>
      <c r="JP521" s="3"/>
      <c r="JQ521" s="3"/>
      <c r="JR521" s="3"/>
      <c r="JS521" s="3"/>
      <c r="JT521" s="3"/>
      <c r="JU521" s="3"/>
      <c r="JV521" s="3"/>
      <c r="JW521" s="3"/>
      <c r="JX521" s="3"/>
      <c r="JY521" s="3"/>
      <c r="JZ521" s="3"/>
      <c r="KA521" s="3"/>
      <c r="KB521" s="3"/>
      <c r="KC521" s="3"/>
      <c r="KD521" s="3"/>
      <c r="KE521" s="3"/>
      <c r="KF521" s="3"/>
      <c r="KG521" s="3"/>
      <c r="KH521" s="3"/>
      <c r="KI521" s="3"/>
      <c r="KJ521" s="3"/>
      <c r="KK521" s="3"/>
      <c r="KL521" s="3"/>
      <c r="KM521" s="3"/>
      <c r="KN521" s="3"/>
      <c r="KO521" s="3"/>
      <c r="KP521" s="3"/>
      <c r="KQ521" s="3"/>
      <c r="KR521" s="3"/>
      <c r="KS521" s="3"/>
      <c r="KT521" s="3"/>
      <c r="KU521" s="3"/>
      <c r="KV521" s="3"/>
      <c r="KW521" s="3"/>
      <c r="KX521" s="3"/>
      <c r="KY521" s="3"/>
      <c r="KZ521" s="3"/>
      <c r="LA521" s="3"/>
      <c r="LB521" s="3"/>
      <c r="LC521" s="3"/>
      <c r="LD521" s="3"/>
      <c r="LE521" s="3"/>
      <c r="LF521" s="3"/>
      <c r="LG521" s="3"/>
      <c r="LH521" s="3"/>
      <c r="LI521" s="3"/>
      <c r="LJ521" s="3"/>
      <c r="LK521" s="3"/>
      <c r="LL521" s="3"/>
      <c r="LM521" s="3"/>
      <c r="LN521" s="3"/>
      <c r="LO521" s="3"/>
      <c r="LP521" s="3"/>
      <c r="LQ521" s="3"/>
      <c r="LR521" s="3"/>
      <c r="LS521" s="3"/>
      <c r="LT521" s="3"/>
      <c r="LU521" s="3"/>
      <c r="LV521" s="3"/>
      <c r="LW521" s="3"/>
      <c r="LX521" s="3"/>
      <c r="LY521" s="3"/>
      <c r="LZ521" s="3"/>
      <c r="MA521" s="3"/>
      <c r="MB521" s="3"/>
      <c r="MC521" s="3"/>
      <c r="MD521" s="3"/>
      <c r="ME521" s="3"/>
      <c r="MF521" s="3"/>
      <c r="MG521" s="3"/>
      <c r="MH521" s="3"/>
      <c r="MI521" s="3"/>
    </row>
    <row r="522" spans="1:347"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ID522" s="3"/>
      <c r="IE522" s="3"/>
      <c r="IF522" s="3"/>
      <c r="IG522" s="3"/>
      <c r="IH522" s="3"/>
      <c r="II522" s="3"/>
      <c r="IJ522" s="3"/>
      <c r="IK522" s="3"/>
      <c r="IL522" s="3"/>
      <c r="IM522" s="3"/>
      <c r="IN522" s="3"/>
      <c r="IO522" s="3"/>
      <c r="IP522" s="3"/>
      <c r="IQ522" s="3"/>
      <c r="IR522" s="3"/>
      <c r="IS522" s="3"/>
      <c r="IT522" s="3"/>
      <c r="IU522" s="3"/>
      <c r="IV522" s="3"/>
      <c r="IW522" s="3"/>
      <c r="IX522" s="3"/>
      <c r="IY522" s="3"/>
      <c r="IZ522" s="3"/>
      <c r="JA522" s="3"/>
      <c r="JB522" s="3"/>
      <c r="JC522" s="3"/>
      <c r="JD522" s="3"/>
      <c r="JE522" s="3"/>
      <c r="JF522" s="3"/>
      <c r="JG522" s="3"/>
      <c r="JH522" s="3"/>
      <c r="JI522" s="3"/>
      <c r="JJ522" s="3"/>
      <c r="JK522" s="3"/>
      <c r="JL522" s="3"/>
      <c r="JM522" s="3"/>
      <c r="JN522" s="3"/>
      <c r="JO522" s="3"/>
      <c r="JP522" s="3"/>
      <c r="JQ522" s="3"/>
      <c r="JR522" s="3"/>
      <c r="JS522" s="3"/>
      <c r="JT522" s="3"/>
      <c r="JU522" s="3"/>
      <c r="JV522" s="3"/>
      <c r="JW522" s="3"/>
      <c r="JX522" s="3"/>
      <c r="JY522" s="3"/>
      <c r="JZ522" s="3"/>
      <c r="KA522" s="3"/>
      <c r="KB522" s="3"/>
      <c r="KC522" s="3"/>
      <c r="KD522" s="3"/>
      <c r="KE522" s="3"/>
      <c r="KF522" s="3"/>
      <c r="KG522" s="3"/>
      <c r="KH522" s="3"/>
      <c r="KI522" s="3"/>
      <c r="KJ522" s="3"/>
      <c r="KK522" s="3"/>
      <c r="KL522" s="3"/>
      <c r="KM522" s="3"/>
      <c r="KN522" s="3"/>
      <c r="KO522" s="3"/>
      <c r="KP522" s="3"/>
      <c r="KQ522" s="3"/>
      <c r="KR522" s="3"/>
      <c r="KS522" s="3"/>
      <c r="KT522" s="3"/>
      <c r="KU522" s="3"/>
      <c r="KV522" s="3"/>
      <c r="KW522" s="3"/>
      <c r="KX522" s="3"/>
      <c r="KY522" s="3"/>
      <c r="KZ522" s="3"/>
      <c r="LA522" s="3"/>
      <c r="LB522" s="3"/>
      <c r="LC522" s="3"/>
      <c r="LD522" s="3"/>
      <c r="LE522" s="3"/>
      <c r="LF522" s="3"/>
      <c r="LG522" s="3"/>
      <c r="LH522" s="3"/>
      <c r="LI522" s="3"/>
      <c r="LJ522" s="3"/>
      <c r="LK522" s="3"/>
      <c r="LL522" s="3"/>
      <c r="LM522" s="3"/>
      <c r="LN522" s="3"/>
      <c r="LO522" s="3"/>
      <c r="LP522" s="3"/>
      <c r="LQ522" s="3"/>
      <c r="LR522" s="3"/>
      <c r="LS522" s="3"/>
      <c r="LT522" s="3"/>
      <c r="LU522" s="3"/>
      <c r="LV522" s="3"/>
      <c r="LW522" s="3"/>
      <c r="LX522" s="3"/>
      <c r="LY522" s="3"/>
      <c r="LZ522" s="3"/>
      <c r="MA522" s="3"/>
      <c r="MB522" s="3"/>
      <c r="MC522" s="3"/>
      <c r="MD522" s="3"/>
      <c r="ME522" s="3"/>
      <c r="MF522" s="3"/>
      <c r="MG522" s="3"/>
      <c r="MH522" s="3"/>
      <c r="MI522" s="3"/>
    </row>
    <row r="523" spans="1:347"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ID523" s="3"/>
      <c r="IE523" s="3"/>
      <c r="IF523" s="3"/>
      <c r="IG523" s="3"/>
      <c r="IH523" s="3"/>
      <c r="II523" s="3"/>
      <c r="IJ523" s="3"/>
      <c r="IK523" s="3"/>
      <c r="IL523" s="3"/>
      <c r="IM523" s="3"/>
      <c r="IN523" s="3"/>
      <c r="IO523" s="3"/>
      <c r="IP523" s="3"/>
      <c r="IQ523" s="3"/>
      <c r="IR523" s="3"/>
      <c r="IS523" s="3"/>
      <c r="IT523" s="3"/>
      <c r="IU523" s="3"/>
      <c r="IV523" s="3"/>
      <c r="IW523" s="3"/>
      <c r="IX523" s="3"/>
      <c r="IY523" s="3"/>
      <c r="IZ523" s="3"/>
      <c r="JA523" s="3"/>
      <c r="JB523" s="3"/>
      <c r="JC523" s="3"/>
      <c r="JD523" s="3"/>
      <c r="JE523" s="3"/>
      <c r="JF523" s="3"/>
      <c r="JG523" s="3"/>
      <c r="JH523" s="3"/>
      <c r="JI523" s="3"/>
      <c r="JJ523" s="3"/>
      <c r="JK523" s="3"/>
      <c r="JL523" s="3"/>
      <c r="JM523" s="3"/>
      <c r="JN523" s="3"/>
      <c r="JO523" s="3"/>
      <c r="JP523" s="3"/>
      <c r="JQ523" s="3"/>
      <c r="JR523" s="3"/>
      <c r="JS523" s="3"/>
      <c r="JT523" s="3"/>
      <c r="JU523" s="3"/>
      <c r="JV523" s="3"/>
      <c r="JW523" s="3"/>
      <c r="JX523" s="3"/>
      <c r="JY523" s="3"/>
      <c r="JZ523" s="3"/>
      <c r="KA523" s="3"/>
      <c r="KB523" s="3"/>
      <c r="KC523" s="3"/>
      <c r="KD523" s="3"/>
      <c r="KE523" s="3"/>
      <c r="KF523" s="3"/>
      <c r="KG523" s="3"/>
      <c r="KH523" s="3"/>
      <c r="KI523" s="3"/>
      <c r="KJ523" s="3"/>
      <c r="KK523" s="3"/>
      <c r="KL523" s="3"/>
      <c r="KM523" s="3"/>
      <c r="KN523" s="3"/>
      <c r="KO523" s="3"/>
      <c r="KP523" s="3"/>
      <c r="KQ523" s="3"/>
      <c r="KR523" s="3"/>
      <c r="KS523" s="3"/>
      <c r="KT523" s="3"/>
      <c r="KU523" s="3"/>
      <c r="KV523" s="3"/>
      <c r="KW523" s="3"/>
      <c r="KX523" s="3"/>
      <c r="KY523" s="3"/>
      <c r="KZ523" s="3"/>
      <c r="LA523" s="3"/>
      <c r="LB523" s="3"/>
      <c r="LC523" s="3"/>
      <c r="LD523" s="3"/>
      <c r="LE523" s="3"/>
      <c r="LF523" s="3"/>
      <c r="LG523" s="3"/>
      <c r="LH523" s="3"/>
      <c r="LI523" s="3"/>
      <c r="LJ523" s="3"/>
      <c r="LK523" s="3"/>
      <c r="LL523" s="3"/>
      <c r="LM523" s="3"/>
      <c r="LN523" s="3"/>
      <c r="LO523" s="3"/>
      <c r="LP523" s="3"/>
      <c r="LQ523" s="3"/>
      <c r="LR523" s="3"/>
      <c r="LS523" s="3"/>
      <c r="LT523" s="3"/>
      <c r="LU523" s="3"/>
      <c r="LV523" s="3"/>
      <c r="LW523" s="3"/>
      <c r="LX523" s="3"/>
      <c r="LY523" s="3"/>
      <c r="LZ523" s="3"/>
      <c r="MA523" s="3"/>
      <c r="MB523" s="3"/>
      <c r="MC523" s="3"/>
      <c r="MD523" s="3"/>
      <c r="ME523" s="3"/>
      <c r="MF523" s="3"/>
      <c r="MG523" s="3"/>
      <c r="MH523" s="3"/>
      <c r="MI523" s="3"/>
    </row>
    <row r="524" spans="1:347"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ID524" s="3"/>
      <c r="IE524" s="3"/>
      <c r="IF524" s="3"/>
      <c r="IG524" s="3"/>
      <c r="IH524" s="3"/>
      <c r="II524" s="3"/>
      <c r="IJ524" s="3"/>
      <c r="IK524" s="3"/>
      <c r="IL524" s="3"/>
      <c r="IM524" s="3"/>
      <c r="IN524" s="3"/>
      <c r="IO524" s="3"/>
      <c r="IP524" s="3"/>
      <c r="IQ524" s="3"/>
      <c r="IR524" s="3"/>
      <c r="IS524" s="3"/>
      <c r="IT524" s="3"/>
      <c r="IU524" s="3"/>
      <c r="IV524" s="3"/>
      <c r="IW524" s="3"/>
      <c r="IX524" s="3"/>
      <c r="IY524" s="3"/>
      <c r="IZ524" s="3"/>
      <c r="JA524" s="3"/>
      <c r="JB524" s="3"/>
      <c r="JC524" s="3"/>
      <c r="JD524" s="3"/>
      <c r="JE524" s="3"/>
      <c r="JF524" s="3"/>
      <c r="JG524" s="3"/>
      <c r="JH524" s="3"/>
      <c r="JI524" s="3"/>
      <c r="JJ524" s="3"/>
      <c r="JK524" s="3"/>
      <c r="JL524" s="3"/>
      <c r="JM524" s="3"/>
      <c r="JN524" s="3"/>
      <c r="JO524" s="3"/>
      <c r="JP524" s="3"/>
      <c r="JQ524" s="3"/>
      <c r="JR524" s="3"/>
      <c r="JS524" s="3"/>
      <c r="JT524" s="3"/>
      <c r="JU524" s="3"/>
      <c r="JV524" s="3"/>
      <c r="JW524" s="3"/>
      <c r="JX524" s="3"/>
      <c r="JY524" s="3"/>
      <c r="JZ524" s="3"/>
      <c r="KA524" s="3"/>
      <c r="KB524" s="3"/>
      <c r="KC524" s="3"/>
      <c r="KD524" s="3"/>
      <c r="KE524" s="3"/>
      <c r="KF524" s="3"/>
      <c r="KG524" s="3"/>
      <c r="KH524" s="3"/>
      <c r="KI524" s="3"/>
      <c r="KJ524" s="3"/>
      <c r="KK524" s="3"/>
      <c r="KL524" s="3"/>
      <c r="KM524" s="3"/>
      <c r="KN524" s="3"/>
      <c r="KO524" s="3"/>
      <c r="KP524" s="3"/>
      <c r="KQ524" s="3"/>
      <c r="KR524" s="3"/>
      <c r="KS524" s="3"/>
      <c r="KT524" s="3"/>
      <c r="KU524" s="3"/>
      <c r="KV524" s="3"/>
      <c r="KW524" s="3"/>
      <c r="KX524" s="3"/>
      <c r="KY524" s="3"/>
      <c r="KZ524" s="3"/>
      <c r="LA524" s="3"/>
      <c r="LB524" s="3"/>
      <c r="LC524" s="3"/>
      <c r="LD524" s="3"/>
      <c r="LE524" s="3"/>
      <c r="LF524" s="3"/>
      <c r="LG524" s="3"/>
      <c r="LH524" s="3"/>
      <c r="LI524" s="3"/>
      <c r="LJ524" s="3"/>
      <c r="LK524" s="3"/>
      <c r="LL524" s="3"/>
      <c r="LM524" s="3"/>
      <c r="LN524" s="3"/>
      <c r="LO524" s="3"/>
      <c r="LP524" s="3"/>
      <c r="LQ524" s="3"/>
      <c r="LR524" s="3"/>
      <c r="LS524" s="3"/>
      <c r="LT524" s="3"/>
      <c r="LU524" s="3"/>
      <c r="LV524" s="3"/>
      <c r="LW524" s="3"/>
      <c r="LX524" s="3"/>
      <c r="LY524" s="3"/>
      <c r="LZ524" s="3"/>
      <c r="MA524" s="3"/>
      <c r="MB524" s="3"/>
      <c r="MC524" s="3"/>
      <c r="MD524" s="3"/>
      <c r="ME524" s="3"/>
      <c r="MF524" s="3"/>
      <c r="MG524" s="3"/>
      <c r="MH524" s="3"/>
      <c r="MI524" s="3"/>
    </row>
    <row r="525" spans="1:347"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ID525" s="3"/>
      <c r="IE525" s="3"/>
      <c r="IF525" s="3"/>
      <c r="IG525" s="3"/>
      <c r="IH525" s="3"/>
      <c r="II525" s="3"/>
      <c r="IJ525" s="3"/>
      <c r="IK525" s="3"/>
      <c r="IL525" s="3"/>
      <c r="IM525" s="3"/>
      <c r="IN525" s="3"/>
      <c r="IO525" s="3"/>
      <c r="IP525" s="3"/>
      <c r="IQ525" s="3"/>
      <c r="IR525" s="3"/>
      <c r="IS525" s="3"/>
      <c r="IT525" s="3"/>
      <c r="IU525" s="3"/>
      <c r="IV525" s="3"/>
      <c r="IW525" s="3"/>
      <c r="IX525" s="3"/>
      <c r="IY525" s="3"/>
      <c r="IZ525" s="3"/>
      <c r="JA525" s="3"/>
      <c r="JB525" s="3"/>
      <c r="JC525" s="3"/>
      <c r="JD525" s="3"/>
      <c r="JE525" s="3"/>
      <c r="JF525" s="3"/>
      <c r="JG525" s="3"/>
      <c r="JH525" s="3"/>
      <c r="JI525" s="3"/>
      <c r="JJ525" s="3"/>
      <c r="JK525" s="3"/>
      <c r="JL525" s="3"/>
      <c r="JM525" s="3"/>
      <c r="JN525" s="3"/>
      <c r="JO525" s="3"/>
      <c r="JP525" s="3"/>
      <c r="JQ525" s="3"/>
      <c r="JR525" s="3"/>
      <c r="JS525" s="3"/>
      <c r="JT525" s="3"/>
      <c r="JU525" s="3"/>
      <c r="JV525" s="3"/>
      <c r="JW525" s="3"/>
      <c r="JX525" s="3"/>
      <c r="JY525" s="3"/>
      <c r="JZ525" s="3"/>
      <c r="KA525" s="3"/>
      <c r="KB525" s="3"/>
      <c r="KC525" s="3"/>
      <c r="KD525" s="3"/>
      <c r="KE525" s="3"/>
      <c r="KF525" s="3"/>
      <c r="KG525" s="3"/>
      <c r="KH525" s="3"/>
      <c r="KI525" s="3"/>
      <c r="KJ525" s="3"/>
      <c r="KK525" s="3"/>
      <c r="KL525" s="3"/>
      <c r="KM525" s="3"/>
      <c r="KN525" s="3"/>
      <c r="KO525" s="3"/>
      <c r="KP525" s="3"/>
      <c r="KQ525" s="3"/>
      <c r="KR525" s="3"/>
      <c r="KS525" s="3"/>
      <c r="KT525" s="3"/>
      <c r="KU525" s="3"/>
      <c r="KV525" s="3"/>
      <c r="KW525" s="3"/>
      <c r="KX525" s="3"/>
      <c r="KY525" s="3"/>
      <c r="KZ525" s="3"/>
      <c r="LA525" s="3"/>
      <c r="LB525" s="3"/>
      <c r="LC525" s="3"/>
      <c r="LD525" s="3"/>
      <c r="LE525" s="3"/>
      <c r="LF525" s="3"/>
      <c r="LG525" s="3"/>
      <c r="LH525" s="3"/>
      <c r="LI525" s="3"/>
      <c r="LJ525" s="3"/>
      <c r="LK525" s="3"/>
      <c r="LL525" s="3"/>
      <c r="LM525" s="3"/>
      <c r="LN525" s="3"/>
      <c r="LO525" s="3"/>
      <c r="LP525" s="3"/>
      <c r="LQ525" s="3"/>
      <c r="LR525" s="3"/>
      <c r="LS525" s="3"/>
      <c r="LT525" s="3"/>
      <c r="LU525" s="3"/>
      <c r="LV525" s="3"/>
      <c r="LW525" s="3"/>
      <c r="LX525" s="3"/>
      <c r="LY525" s="3"/>
      <c r="LZ525" s="3"/>
      <c r="MA525" s="3"/>
      <c r="MB525" s="3"/>
      <c r="MC525" s="3"/>
      <c r="MD525" s="3"/>
      <c r="ME525" s="3"/>
      <c r="MF525" s="3"/>
      <c r="MG525" s="3"/>
      <c r="MH525" s="3"/>
      <c r="MI525" s="3"/>
    </row>
    <row r="526" spans="1:347"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ID526" s="3"/>
      <c r="IE526" s="3"/>
      <c r="IF526" s="3"/>
      <c r="IG526" s="3"/>
      <c r="IH526" s="3"/>
      <c r="II526" s="3"/>
      <c r="IJ526" s="3"/>
      <c r="IK526" s="3"/>
      <c r="IL526" s="3"/>
      <c r="IM526" s="3"/>
      <c r="IN526" s="3"/>
      <c r="IO526" s="3"/>
      <c r="IP526" s="3"/>
      <c r="IQ526" s="3"/>
      <c r="IR526" s="3"/>
      <c r="IS526" s="3"/>
      <c r="IT526" s="3"/>
      <c r="IU526" s="3"/>
      <c r="IV526" s="3"/>
      <c r="IW526" s="3"/>
      <c r="IX526" s="3"/>
      <c r="IY526" s="3"/>
      <c r="IZ526" s="3"/>
      <c r="JA526" s="3"/>
      <c r="JB526" s="3"/>
      <c r="JC526" s="3"/>
      <c r="JD526" s="3"/>
      <c r="JE526" s="3"/>
      <c r="JF526" s="3"/>
      <c r="JG526" s="3"/>
      <c r="JH526" s="3"/>
      <c r="JI526" s="3"/>
      <c r="JJ526" s="3"/>
      <c r="JK526" s="3"/>
      <c r="JL526" s="3"/>
      <c r="JM526" s="3"/>
      <c r="JN526" s="3"/>
      <c r="JO526" s="3"/>
      <c r="JP526" s="3"/>
      <c r="JQ526" s="3"/>
      <c r="JR526" s="3"/>
      <c r="JS526" s="3"/>
      <c r="JT526" s="3"/>
      <c r="JU526" s="3"/>
      <c r="JV526" s="3"/>
      <c r="JW526" s="3"/>
      <c r="JX526" s="3"/>
      <c r="JY526" s="3"/>
      <c r="JZ526" s="3"/>
      <c r="KA526" s="3"/>
      <c r="KB526" s="3"/>
      <c r="KC526" s="3"/>
      <c r="KD526" s="3"/>
      <c r="KE526" s="3"/>
      <c r="KF526" s="3"/>
      <c r="KG526" s="3"/>
      <c r="KH526" s="3"/>
      <c r="KI526" s="3"/>
      <c r="KJ526" s="3"/>
      <c r="KK526" s="3"/>
      <c r="KL526" s="3"/>
      <c r="KM526" s="3"/>
      <c r="KN526" s="3"/>
      <c r="KO526" s="3"/>
      <c r="KP526" s="3"/>
      <c r="KQ526" s="3"/>
      <c r="KR526" s="3"/>
      <c r="KS526" s="3"/>
      <c r="KT526" s="3"/>
      <c r="KU526" s="3"/>
      <c r="KV526" s="3"/>
      <c r="KW526" s="3"/>
      <c r="KX526" s="3"/>
      <c r="KY526" s="3"/>
      <c r="KZ526" s="3"/>
      <c r="LA526" s="3"/>
      <c r="LB526" s="3"/>
      <c r="LC526" s="3"/>
      <c r="LD526" s="3"/>
      <c r="LE526" s="3"/>
      <c r="LF526" s="3"/>
      <c r="LG526" s="3"/>
      <c r="LH526" s="3"/>
      <c r="LI526" s="3"/>
      <c r="LJ526" s="3"/>
      <c r="LK526" s="3"/>
      <c r="LL526" s="3"/>
      <c r="LM526" s="3"/>
      <c r="LN526" s="3"/>
      <c r="LO526" s="3"/>
      <c r="LP526" s="3"/>
      <c r="LQ526" s="3"/>
      <c r="LR526" s="3"/>
      <c r="LS526" s="3"/>
      <c r="LT526" s="3"/>
      <c r="LU526" s="3"/>
      <c r="LV526" s="3"/>
      <c r="LW526" s="3"/>
      <c r="LX526" s="3"/>
      <c r="LY526" s="3"/>
      <c r="LZ526" s="3"/>
      <c r="MA526" s="3"/>
      <c r="MB526" s="3"/>
      <c r="MC526" s="3"/>
      <c r="MD526" s="3"/>
      <c r="ME526" s="3"/>
      <c r="MF526" s="3"/>
      <c r="MG526" s="3"/>
      <c r="MH526" s="3"/>
      <c r="MI526" s="3"/>
    </row>
    <row r="527" spans="1:347"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ID527" s="3"/>
      <c r="IE527" s="3"/>
      <c r="IF527" s="3"/>
      <c r="IG527" s="3"/>
      <c r="IH527" s="3"/>
      <c r="II527" s="3"/>
      <c r="IJ527" s="3"/>
      <c r="IK527" s="3"/>
      <c r="IL527" s="3"/>
      <c r="IM527" s="3"/>
      <c r="IN527" s="3"/>
      <c r="IO527" s="3"/>
      <c r="IP527" s="3"/>
      <c r="IQ527" s="3"/>
      <c r="IR527" s="3"/>
      <c r="IS527" s="3"/>
      <c r="IT527" s="3"/>
      <c r="IU527" s="3"/>
      <c r="IV527" s="3"/>
      <c r="IW527" s="3"/>
      <c r="IX527" s="3"/>
      <c r="IY527" s="3"/>
      <c r="IZ527" s="3"/>
      <c r="JA527" s="3"/>
      <c r="JB527" s="3"/>
      <c r="JC527" s="3"/>
      <c r="JD527" s="3"/>
      <c r="JE527" s="3"/>
      <c r="JF527" s="3"/>
      <c r="JG527" s="3"/>
      <c r="JH527" s="3"/>
      <c r="JI527" s="3"/>
      <c r="JJ527" s="3"/>
      <c r="JK527" s="3"/>
      <c r="JL527" s="3"/>
      <c r="JM527" s="3"/>
      <c r="JN527" s="3"/>
      <c r="JO527" s="3"/>
      <c r="JP527" s="3"/>
      <c r="JQ527" s="3"/>
      <c r="JR527" s="3"/>
      <c r="JS527" s="3"/>
      <c r="JT527" s="3"/>
      <c r="JU527" s="3"/>
      <c r="JV527" s="3"/>
      <c r="JW527" s="3"/>
      <c r="JX527" s="3"/>
      <c r="JY527" s="3"/>
      <c r="JZ527" s="3"/>
      <c r="KA527" s="3"/>
      <c r="KB527" s="3"/>
      <c r="KC527" s="3"/>
      <c r="KD527" s="3"/>
      <c r="KE527" s="3"/>
      <c r="KF527" s="3"/>
      <c r="KG527" s="3"/>
      <c r="KH527" s="3"/>
      <c r="KI527" s="3"/>
      <c r="KJ527" s="3"/>
      <c r="KK527" s="3"/>
      <c r="KL527" s="3"/>
      <c r="KM527" s="3"/>
      <c r="KN527" s="3"/>
      <c r="KO527" s="3"/>
      <c r="KP527" s="3"/>
      <c r="KQ527" s="3"/>
      <c r="KR527" s="3"/>
      <c r="KS527" s="3"/>
      <c r="KT527" s="3"/>
      <c r="KU527" s="3"/>
      <c r="KV527" s="3"/>
      <c r="KW527" s="3"/>
      <c r="KX527" s="3"/>
      <c r="KY527" s="3"/>
      <c r="KZ527" s="3"/>
      <c r="LA527" s="3"/>
      <c r="LB527" s="3"/>
      <c r="LC527" s="3"/>
      <c r="LD527" s="3"/>
      <c r="LE527" s="3"/>
      <c r="LF527" s="3"/>
      <c r="LG527" s="3"/>
      <c r="LH527" s="3"/>
      <c r="LI527" s="3"/>
      <c r="LJ527" s="3"/>
      <c r="LK527" s="3"/>
      <c r="LL527" s="3"/>
      <c r="LM527" s="3"/>
      <c r="LN527" s="3"/>
      <c r="LO527" s="3"/>
      <c r="LP527" s="3"/>
      <c r="LQ527" s="3"/>
      <c r="LR527" s="3"/>
      <c r="LS527" s="3"/>
      <c r="LT527" s="3"/>
      <c r="LU527" s="3"/>
      <c r="LV527" s="3"/>
      <c r="LW527" s="3"/>
      <c r="LX527" s="3"/>
      <c r="LY527" s="3"/>
      <c r="LZ527" s="3"/>
      <c r="MA527" s="3"/>
      <c r="MB527" s="3"/>
      <c r="MC527" s="3"/>
      <c r="MD527" s="3"/>
      <c r="ME527" s="3"/>
      <c r="MF527" s="3"/>
      <c r="MG527" s="3"/>
      <c r="MH527" s="3"/>
      <c r="MI527" s="3"/>
    </row>
    <row r="528" spans="1:347"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ID528" s="3"/>
      <c r="IE528" s="3"/>
      <c r="IF528" s="3"/>
      <c r="IG528" s="3"/>
      <c r="IH528" s="3"/>
      <c r="II528" s="3"/>
      <c r="IJ528" s="3"/>
      <c r="IK528" s="3"/>
      <c r="IL528" s="3"/>
      <c r="IM528" s="3"/>
      <c r="IN528" s="3"/>
      <c r="IO528" s="3"/>
      <c r="IP528" s="3"/>
      <c r="IQ528" s="3"/>
      <c r="IR528" s="3"/>
      <c r="IS528" s="3"/>
      <c r="IT528" s="3"/>
      <c r="IU528" s="3"/>
      <c r="IV528" s="3"/>
      <c r="IW528" s="3"/>
      <c r="IX528" s="3"/>
      <c r="IY528" s="3"/>
      <c r="IZ528" s="3"/>
      <c r="JA528" s="3"/>
      <c r="JB528" s="3"/>
      <c r="JC528" s="3"/>
      <c r="JD528" s="3"/>
      <c r="JE528" s="3"/>
      <c r="JF528" s="3"/>
      <c r="JG528" s="3"/>
      <c r="JH528" s="3"/>
      <c r="JI528" s="3"/>
      <c r="JJ528" s="3"/>
      <c r="JK528" s="3"/>
      <c r="JL528" s="3"/>
      <c r="JM528" s="3"/>
      <c r="JN528" s="3"/>
      <c r="JO528" s="3"/>
      <c r="JP528" s="3"/>
      <c r="JQ528" s="3"/>
      <c r="JR528" s="3"/>
      <c r="JS528" s="3"/>
      <c r="JT528" s="3"/>
      <c r="JU528" s="3"/>
      <c r="JV528" s="3"/>
      <c r="JW528" s="3"/>
      <c r="JX528" s="3"/>
      <c r="JY528" s="3"/>
      <c r="JZ528" s="3"/>
      <c r="KA528" s="3"/>
      <c r="KB528" s="3"/>
      <c r="KC528" s="3"/>
      <c r="KD528" s="3"/>
      <c r="KE528" s="3"/>
      <c r="KF528" s="3"/>
      <c r="KG528" s="3"/>
      <c r="KH528" s="3"/>
      <c r="KI528" s="3"/>
      <c r="KJ528" s="3"/>
      <c r="KK528" s="3"/>
      <c r="KL528" s="3"/>
      <c r="KM528" s="3"/>
      <c r="KN528" s="3"/>
      <c r="KO528" s="3"/>
      <c r="KP528" s="3"/>
      <c r="KQ528" s="3"/>
      <c r="KR528" s="3"/>
      <c r="KS528" s="3"/>
      <c r="KT528" s="3"/>
      <c r="KU528" s="3"/>
      <c r="KV528" s="3"/>
      <c r="KW528" s="3"/>
      <c r="KX528" s="3"/>
      <c r="KY528" s="3"/>
      <c r="KZ528" s="3"/>
      <c r="LA528" s="3"/>
      <c r="LB528" s="3"/>
      <c r="LC528" s="3"/>
      <c r="LD528" s="3"/>
      <c r="LE528" s="3"/>
      <c r="LF528" s="3"/>
      <c r="LG528" s="3"/>
      <c r="LH528" s="3"/>
      <c r="LI528" s="3"/>
      <c r="LJ528" s="3"/>
      <c r="LK528" s="3"/>
      <c r="LL528" s="3"/>
      <c r="LM528" s="3"/>
      <c r="LN528" s="3"/>
      <c r="LO528" s="3"/>
      <c r="LP528" s="3"/>
      <c r="LQ528" s="3"/>
      <c r="LR528" s="3"/>
      <c r="LS528" s="3"/>
      <c r="LT528" s="3"/>
      <c r="LU528" s="3"/>
      <c r="LV528" s="3"/>
      <c r="LW528" s="3"/>
      <c r="LX528" s="3"/>
      <c r="LY528" s="3"/>
      <c r="LZ528" s="3"/>
      <c r="MA528" s="3"/>
      <c r="MB528" s="3"/>
      <c r="MC528" s="3"/>
      <c r="MD528" s="3"/>
      <c r="ME528" s="3"/>
      <c r="MF528" s="3"/>
      <c r="MG528" s="3"/>
      <c r="MH528" s="3"/>
      <c r="MI528" s="3"/>
    </row>
    <row r="529" spans="1:347"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ID529" s="3"/>
      <c r="IE529" s="3"/>
      <c r="IF529" s="3"/>
      <c r="IG529" s="3"/>
      <c r="IH529" s="3"/>
      <c r="II529" s="3"/>
      <c r="IJ529" s="3"/>
      <c r="IK529" s="3"/>
      <c r="IL529" s="3"/>
      <c r="IM529" s="3"/>
      <c r="IN529" s="3"/>
      <c r="IO529" s="3"/>
      <c r="IP529" s="3"/>
      <c r="IQ529" s="3"/>
      <c r="IR529" s="3"/>
      <c r="IS529" s="3"/>
      <c r="IT529" s="3"/>
      <c r="IU529" s="3"/>
      <c r="IV529" s="3"/>
      <c r="IW529" s="3"/>
      <c r="IX529" s="3"/>
      <c r="IY529" s="3"/>
      <c r="IZ529" s="3"/>
      <c r="JA529" s="3"/>
      <c r="JB529" s="3"/>
      <c r="JC529" s="3"/>
      <c r="JD529" s="3"/>
      <c r="JE529" s="3"/>
      <c r="JF529" s="3"/>
      <c r="JG529" s="3"/>
      <c r="JH529" s="3"/>
      <c r="JI529" s="3"/>
      <c r="JJ529" s="3"/>
      <c r="JK529" s="3"/>
      <c r="JL529" s="3"/>
      <c r="JM529" s="3"/>
      <c r="JN529" s="3"/>
      <c r="JO529" s="3"/>
      <c r="JP529" s="3"/>
      <c r="JQ529" s="3"/>
      <c r="JR529" s="3"/>
      <c r="JS529" s="3"/>
      <c r="JT529" s="3"/>
      <c r="JU529" s="3"/>
      <c r="JV529" s="3"/>
      <c r="JW529" s="3"/>
      <c r="JX529" s="3"/>
      <c r="JY529" s="3"/>
      <c r="JZ529" s="3"/>
      <c r="KA529" s="3"/>
      <c r="KB529" s="3"/>
      <c r="KC529" s="3"/>
      <c r="KD529" s="3"/>
      <c r="KE529" s="3"/>
      <c r="KF529" s="3"/>
      <c r="KG529" s="3"/>
      <c r="KH529" s="3"/>
      <c r="KI529" s="3"/>
      <c r="KJ529" s="3"/>
      <c r="KK529" s="3"/>
      <c r="KL529" s="3"/>
      <c r="KM529" s="3"/>
      <c r="KN529" s="3"/>
      <c r="KO529" s="3"/>
      <c r="KP529" s="3"/>
      <c r="KQ529" s="3"/>
      <c r="KR529" s="3"/>
      <c r="KS529" s="3"/>
      <c r="KT529" s="3"/>
      <c r="KU529" s="3"/>
      <c r="KV529" s="3"/>
      <c r="KW529" s="3"/>
      <c r="KX529" s="3"/>
      <c r="KY529" s="3"/>
      <c r="KZ529" s="3"/>
      <c r="LA529" s="3"/>
      <c r="LB529" s="3"/>
      <c r="LC529" s="3"/>
      <c r="LD529" s="3"/>
      <c r="LE529" s="3"/>
      <c r="LF529" s="3"/>
      <c r="LG529" s="3"/>
      <c r="LH529" s="3"/>
      <c r="LI529" s="3"/>
      <c r="LJ529" s="3"/>
      <c r="LK529" s="3"/>
      <c r="LL529" s="3"/>
      <c r="LM529" s="3"/>
      <c r="LN529" s="3"/>
      <c r="LO529" s="3"/>
      <c r="LP529" s="3"/>
      <c r="LQ529" s="3"/>
      <c r="LR529" s="3"/>
      <c r="LS529" s="3"/>
      <c r="LT529" s="3"/>
      <c r="LU529" s="3"/>
      <c r="LV529" s="3"/>
      <c r="LW529" s="3"/>
      <c r="LX529" s="3"/>
      <c r="LY529" s="3"/>
      <c r="LZ529" s="3"/>
      <c r="MA529" s="3"/>
      <c r="MB529" s="3"/>
      <c r="MC529" s="3"/>
      <c r="MD529" s="3"/>
      <c r="ME529" s="3"/>
      <c r="MF529" s="3"/>
      <c r="MG529" s="3"/>
      <c r="MH529" s="3"/>
      <c r="MI529" s="3"/>
    </row>
    <row r="530" spans="1:347"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ID530" s="3"/>
      <c r="IE530" s="3"/>
      <c r="IF530" s="3"/>
      <c r="IG530" s="3"/>
      <c r="IH530" s="3"/>
      <c r="II530" s="3"/>
      <c r="IJ530" s="3"/>
      <c r="IK530" s="3"/>
      <c r="IL530" s="3"/>
      <c r="IM530" s="3"/>
      <c r="IN530" s="3"/>
      <c r="IO530" s="3"/>
      <c r="IP530" s="3"/>
      <c r="IQ530" s="3"/>
      <c r="IR530" s="3"/>
      <c r="IS530" s="3"/>
      <c r="IT530" s="3"/>
      <c r="IU530" s="3"/>
      <c r="IV530" s="3"/>
      <c r="IW530" s="3"/>
      <c r="IX530" s="3"/>
      <c r="IY530" s="3"/>
      <c r="IZ530" s="3"/>
      <c r="JA530" s="3"/>
      <c r="JB530" s="3"/>
      <c r="JC530" s="3"/>
      <c r="JD530" s="3"/>
      <c r="JE530" s="3"/>
      <c r="JF530" s="3"/>
      <c r="JG530" s="3"/>
      <c r="JH530" s="3"/>
      <c r="JI530" s="3"/>
      <c r="JJ530" s="3"/>
      <c r="JK530" s="3"/>
      <c r="JL530" s="3"/>
      <c r="JM530" s="3"/>
      <c r="JN530" s="3"/>
      <c r="JO530" s="3"/>
      <c r="JP530" s="3"/>
      <c r="JQ530" s="3"/>
      <c r="JR530" s="3"/>
      <c r="JS530" s="3"/>
      <c r="JT530" s="3"/>
      <c r="JU530" s="3"/>
      <c r="JV530" s="3"/>
      <c r="JW530" s="3"/>
      <c r="JX530" s="3"/>
      <c r="JY530" s="3"/>
      <c r="JZ530" s="3"/>
      <c r="KA530" s="3"/>
      <c r="KB530" s="3"/>
      <c r="KC530" s="3"/>
      <c r="KD530" s="3"/>
      <c r="KE530" s="3"/>
      <c r="KF530" s="3"/>
      <c r="KG530" s="3"/>
      <c r="KH530" s="3"/>
      <c r="KI530" s="3"/>
      <c r="KJ530" s="3"/>
      <c r="KK530" s="3"/>
      <c r="KL530" s="3"/>
      <c r="KM530" s="3"/>
      <c r="KN530" s="3"/>
      <c r="KO530" s="3"/>
      <c r="KP530" s="3"/>
      <c r="KQ530" s="3"/>
      <c r="KR530" s="3"/>
      <c r="KS530" s="3"/>
      <c r="KT530" s="3"/>
      <c r="KU530" s="3"/>
      <c r="KV530" s="3"/>
      <c r="KW530" s="3"/>
      <c r="KX530" s="3"/>
      <c r="KY530" s="3"/>
      <c r="KZ530" s="3"/>
      <c r="LA530" s="3"/>
      <c r="LB530" s="3"/>
      <c r="LC530" s="3"/>
      <c r="LD530" s="3"/>
      <c r="LE530" s="3"/>
      <c r="LF530" s="3"/>
      <c r="LG530" s="3"/>
      <c r="LH530" s="3"/>
      <c r="LI530" s="3"/>
      <c r="LJ530" s="3"/>
      <c r="LK530" s="3"/>
      <c r="LL530" s="3"/>
      <c r="LM530" s="3"/>
      <c r="LN530" s="3"/>
      <c r="LO530" s="3"/>
      <c r="LP530" s="3"/>
      <c r="LQ530" s="3"/>
      <c r="LR530" s="3"/>
      <c r="LS530" s="3"/>
      <c r="LT530" s="3"/>
      <c r="LU530" s="3"/>
      <c r="LV530" s="3"/>
      <c r="LW530" s="3"/>
      <c r="LX530" s="3"/>
      <c r="LY530" s="3"/>
      <c r="LZ530" s="3"/>
      <c r="MA530" s="3"/>
      <c r="MB530" s="3"/>
      <c r="MC530" s="3"/>
      <c r="MD530" s="3"/>
      <c r="ME530" s="3"/>
      <c r="MF530" s="3"/>
      <c r="MG530" s="3"/>
      <c r="MH530" s="3"/>
      <c r="MI530" s="3"/>
    </row>
    <row r="531" spans="1:347"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ID531" s="3"/>
      <c r="IE531" s="3"/>
      <c r="IF531" s="3"/>
      <c r="IG531" s="3"/>
      <c r="IH531" s="3"/>
      <c r="II531" s="3"/>
      <c r="IJ531" s="3"/>
      <c r="IK531" s="3"/>
      <c r="IL531" s="3"/>
      <c r="IM531" s="3"/>
      <c r="IN531" s="3"/>
      <c r="IO531" s="3"/>
      <c r="IP531" s="3"/>
      <c r="IQ531" s="3"/>
      <c r="IR531" s="3"/>
      <c r="IS531" s="3"/>
      <c r="IT531" s="3"/>
      <c r="IU531" s="3"/>
      <c r="IV531" s="3"/>
      <c r="IW531" s="3"/>
      <c r="IX531" s="3"/>
      <c r="IY531" s="3"/>
      <c r="IZ531" s="3"/>
      <c r="JA531" s="3"/>
      <c r="JB531" s="3"/>
      <c r="JC531" s="3"/>
      <c r="JD531" s="3"/>
      <c r="JE531" s="3"/>
      <c r="JF531" s="3"/>
      <c r="JG531" s="3"/>
      <c r="JH531" s="3"/>
      <c r="JI531" s="3"/>
      <c r="JJ531" s="3"/>
      <c r="JK531" s="3"/>
      <c r="JL531" s="3"/>
      <c r="JM531" s="3"/>
      <c r="JN531" s="3"/>
      <c r="JO531" s="3"/>
      <c r="JP531" s="3"/>
      <c r="JQ531" s="3"/>
      <c r="JR531" s="3"/>
      <c r="JS531" s="3"/>
      <c r="JT531" s="3"/>
      <c r="JU531" s="3"/>
      <c r="JV531" s="3"/>
      <c r="JW531" s="3"/>
      <c r="JX531" s="3"/>
      <c r="JY531" s="3"/>
      <c r="JZ531" s="3"/>
      <c r="KA531" s="3"/>
      <c r="KB531" s="3"/>
      <c r="KC531" s="3"/>
      <c r="KD531" s="3"/>
      <c r="KE531" s="3"/>
      <c r="KF531" s="3"/>
      <c r="KG531" s="3"/>
      <c r="KH531" s="3"/>
      <c r="KI531" s="3"/>
      <c r="KJ531" s="3"/>
      <c r="KK531" s="3"/>
      <c r="KL531" s="3"/>
      <c r="KM531" s="3"/>
      <c r="KN531" s="3"/>
      <c r="KO531" s="3"/>
      <c r="KP531" s="3"/>
      <c r="KQ531" s="3"/>
      <c r="KR531" s="3"/>
      <c r="KS531" s="3"/>
      <c r="KT531" s="3"/>
      <c r="KU531" s="3"/>
      <c r="KV531" s="3"/>
      <c r="KW531" s="3"/>
      <c r="KX531" s="3"/>
      <c r="KY531" s="3"/>
      <c r="KZ531" s="3"/>
      <c r="LA531" s="3"/>
      <c r="LB531" s="3"/>
      <c r="LC531" s="3"/>
      <c r="LD531" s="3"/>
      <c r="LE531" s="3"/>
      <c r="LF531" s="3"/>
      <c r="LG531" s="3"/>
      <c r="LH531" s="3"/>
      <c r="LI531" s="3"/>
      <c r="LJ531" s="3"/>
      <c r="LK531" s="3"/>
      <c r="LL531" s="3"/>
      <c r="LM531" s="3"/>
      <c r="LN531" s="3"/>
      <c r="LO531" s="3"/>
      <c r="LP531" s="3"/>
      <c r="LQ531" s="3"/>
      <c r="LR531" s="3"/>
      <c r="LS531" s="3"/>
      <c r="LT531" s="3"/>
      <c r="LU531" s="3"/>
      <c r="LV531" s="3"/>
      <c r="LW531" s="3"/>
      <c r="LX531" s="3"/>
      <c r="LY531" s="3"/>
      <c r="LZ531" s="3"/>
      <c r="MA531" s="3"/>
      <c r="MB531" s="3"/>
      <c r="MC531" s="3"/>
      <c r="MD531" s="3"/>
      <c r="ME531" s="3"/>
      <c r="MF531" s="3"/>
      <c r="MG531" s="3"/>
      <c r="MH531" s="3"/>
      <c r="MI531" s="3"/>
    </row>
    <row r="532" spans="1:347"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ID532" s="3"/>
      <c r="IE532" s="3"/>
      <c r="IF532" s="3"/>
      <c r="IG532" s="3"/>
      <c r="IH532" s="3"/>
      <c r="II532" s="3"/>
      <c r="IJ532" s="3"/>
      <c r="IK532" s="3"/>
      <c r="IL532" s="3"/>
      <c r="IM532" s="3"/>
      <c r="IN532" s="3"/>
      <c r="IO532" s="3"/>
      <c r="IP532" s="3"/>
      <c r="IQ532" s="3"/>
      <c r="IR532" s="3"/>
      <c r="IS532" s="3"/>
      <c r="IT532" s="3"/>
      <c r="IU532" s="3"/>
      <c r="IV532" s="3"/>
      <c r="IW532" s="3"/>
      <c r="IX532" s="3"/>
      <c r="IY532" s="3"/>
      <c r="IZ532" s="3"/>
      <c r="JA532" s="3"/>
      <c r="JB532" s="3"/>
      <c r="JC532" s="3"/>
      <c r="JD532" s="3"/>
      <c r="JE532" s="3"/>
      <c r="JF532" s="3"/>
      <c r="JG532" s="3"/>
      <c r="JH532" s="3"/>
      <c r="JI532" s="3"/>
      <c r="JJ532" s="3"/>
      <c r="JK532" s="3"/>
      <c r="JL532" s="3"/>
      <c r="JM532" s="3"/>
      <c r="JN532" s="3"/>
      <c r="JO532" s="3"/>
      <c r="JP532" s="3"/>
      <c r="JQ532" s="3"/>
      <c r="JR532" s="3"/>
      <c r="JS532" s="3"/>
      <c r="JT532" s="3"/>
      <c r="JU532" s="3"/>
      <c r="JV532" s="3"/>
      <c r="JW532" s="3"/>
      <c r="JX532" s="3"/>
      <c r="JY532" s="3"/>
      <c r="JZ532" s="3"/>
      <c r="KA532" s="3"/>
      <c r="KB532" s="3"/>
      <c r="KC532" s="3"/>
      <c r="KD532" s="3"/>
      <c r="KE532" s="3"/>
      <c r="KF532" s="3"/>
      <c r="KG532" s="3"/>
      <c r="KH532" s="3"/>
      <c r="KI532" s="3"/>
      <c r="KJ532" s="3"/>
      <c r="KK532" s="3"/>
      <c r="KL532" s="3"/>
      <c r="KM532" s="3"/>
      <c r="KN532" s="3"/>
      <c r="KO532" s="3"/>
      <c r="KP532" s="3"/>
      <c r="KQ532" s="3"/>
      <c r="KR532" s="3"/>
      <c r="KS532" s="3"/>
      <c r="KT532" s="3"/>
      <c r="KU532" s="3"/>
      <c r="KV532" s="3"/>
      <c r="KW532" s="3"/>
      <c r="KX532" s="3"/>
      <c r="KY532" s="3"/>
      <c r="KZ532" s="3"/>
      <c r="LA532" s="3"/>
      <c r="LB532" s="3"/>
      <c r="LC532" s="3"/>
      <c r="LD532" s="3"/>
      <c r="LE532" s="3"/>
      <c r="LF532" s="3"/>
      <c r="LG532" s="3"/>
      <c r="LH532" s="3"/>
      <c r="LI532" s="3"/>
      <c r="LJ532" s="3"/>
      <c r="LK532" s="3"/>
      <c r="LL532" s="3"/>
      <c r="LM532" s="3"/>
      <c r="LN532" s="3"/>
      <c r="LO532" s="3"/>
      <c r="LP532" s="3"/>
      <c r="LQ532" s="3"/>
      <c r="LR532" s="3"/>
      <c r="LS532" s="3"/>
      <c r="LT532" s="3"/>
      <c r="LU532" s="3"/>
      <c r="LV532" s="3"/>
      <c r="LW532" s="3"/>
      <c r="LX532" s="3"/>
      <c r="LY532" s="3"/>
      <c r="LZ532" s="3"/>
      <c r="MA532" s="3"/>
      <c r="MB532" s="3"/>
      <c r="MC532" s="3"/>
      <c r="MD532" s="3"/>
      <c r="ME532" s="3"/>
      <c r="MF532" s="3"/>
      <c r="MG532" s="3"/>
      <c r="MH532" s="3"/>
      <c r="MI532" s="3"/>
    </row>
    <row r="533" spans="1:347"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ID533" s="3"/>
      <c r="IE533" s="3"/>
      <c r="IF533" s="3"/>
      <c r="IG533" s="3"/>
      <c r="IH533" s="3"/>
      <c r="II533" s="3"/>
      <c r="IJ533" s="3"/>
      <c r="IK533" s="3"/>
      <c r="IL533" s="3"/>
      <c r="IM533" s="3"/>
      <c r="IN533" s="3"/>
      <c r="IO533" s="3"/>
      <c r="IP533" s="3"/>
      <c r="IQ533" s="3"/>
      <c r="IR533" s="3"/>
      <c r="IS533" s="3"/>
      <c r="IT533" s="3"/>
      <c r="IU533" s="3"/>
      <c r="IV533" s="3"/>
      <c r="IW533" s="3"/>
      <c r="IX533" s="3"/>
      <c r="IY533" s="3"/>
      <c r="IZ533" s="3"/>
      <c r="JA533" s="3"/>
      <c r="JB533" s="3"/>
      <c r="JC533" s="3"/>
      <c r="JD533" s="3"/>
      <c r="JE533" s="3"/>
      <c r="JF533" s="3"/>
      <c r="JG533" s="3"/>
      <c r="JH533" s="3"/>
      <c r="JI533" s="3"/>
      <c r="JJ533" s="3"/>
      <c r="JK533" s="3"/>
      <c r="JL533" s="3"/>
      <c r="JM533" s="3"/>
      <c r="JN533" s="3"/>
      <c r="JO533" s="3"/>
      <c r="JP533" s="3"/>
      <c r="JQ533" s="3"/>
      <c r="JR533" s="3"/>
      <c r="JS533" s="3"/>
      <c r="JT533" s="3"/>
      <c r="JU533" s="3"/>
      <c r="JV533" s="3"/>
      <c r="JW533" s="3"/>
      <c r="JX533" s="3"/>
      <c r="JY533" s="3"/>
      <c r="JZ533" s="3"/>
      <c r="KA533" s="3"/>
      <c r="KB533" s="3"/>
      <c r="KC533" s="3"/>
      <c r="KD533" s="3"/>
      <c r="KE533" s="3"/>
      <c r="KF533" s="3"/>
      <c r="KG533" s="3"/>
      <c r="KH533" s="3"/>
      <c r="KI533" s="3"/>
      <c r="KJ533" s="3"/>
      <c r="KK533" s="3"/>
      <c r="KL533" s="3"/>
      <c r="KM533" s="3"/>
      <c r="KN533" s="3"/>
      <c r="KO533" s="3"/>
      <c r="KP533" s="3"/>
      <c r="KQ533" s="3"/>
      <c r="KR533" s="3"/>
      <c r="KS533" s="3"/>
      <c r="KT533" s="3"/>
      <c r="KU533" s="3"/>
      <c r="KV533" s="3"/>
      <c r="KW533" s="3"/>
      <c r="KX533" s="3"/>
      <c r="KY533" s="3"/>
      <c r="KZ533" s="3"/>
      <c r="LA533" s="3"/>
      <c r="LB533" s="3"/>
      <c r="LC533" s="3"/>
      <c r="LD533" s="3"/>
      <c r="LE533" s="3"/>
      <c r="LF533" s="3"/>
      <c r="LG533" s="3"/>
      <c r="LH533" s="3"/>
      <c r="LI533" s="3"/>
      <c r="LJ533" s="3"/>
      <c r="LK533" s="3"/>
      <c r="LL533" s="3"/>
      <c r="LM533" s="3"/>
      <c r="LN533" s="3"/>
      <c r="LO533" s="3"/>
      <c r="LP533" s="3"/>
      <c r="LQ533" s="3"/>
      <c r="LR533" s="3"/>
      <c r="LS533" s="3"/>
      <c r="LT533" s="3"/>
      <c r="LU533" s="3"/>
      <c r="LV533" s="3"/>
      <c r="LW533" s="3"/>
      <c r="LX533" s="3"/>
      <c r="LY533" s="3"/>
      <c r="LZ533" s="3"/>
      <c r="MA533" s="3"/>
      <c r="MB533" s="3"/>
      <c r="MC533" s="3"/>
      <c r="MD533" s="3"/>
      <c r="ME533" s="3"/>
      <c r="MF533" s="3"/>
      <c r="MG533" s="3"/>
      <c r="MH533" s="3"/>
      <c r="MI533" s="3"/>
    </row>
    <row r="534" spans="1:347"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ID534" s="3"/>
      <c r="IE534" s="3"/>
      <c r="IF534" s="3"/>
      <c r="IG534" s="3"/>
      <c r="IH534" s="3"/>
      <c r="II534" s="3"/>
      <c r="IJ534" s="3"/>
      <c r="IK534" s="3"/>
      <c r="IL534" s="3"/>
      <c r="IM534" s="3"/>
      <c r="IN534" s="3"/>
      <c r="IO534" s="3"/>
      <c r="IP534" s="3"/>
      <c r="IQ534" s="3"/>
      <c r="IR534" s="3"/>
      <c r="IS534" s="3"/>
      <c r="IT534" s="3"/>
      <c r="IU534" s="3"/>
      <c r="IV534" s="3"/>
      <c r="IW534" s="3"/>
      <c r="IX534" s="3"/>
      <c r="IY534" s="3"/>
      <c r="IZ534" s="3"/>
      <c r="JA534" s="3"/>
      <c r="JB534" s="3"/>
      <c r="JC534" s="3"/>
      <c r="JD534" s="3"/>
      <c r="JE534" s="3"/>
      <c r="JF534" s="3"/>
      <c r="JG534" s="3"/>
      <c r="JH534" s="3"/>
      <c r="JI534" s="3"/>
      <c r="JJ534" s="3"/>
      <c r="JK534" s="3"/>
      <c r="JL534" s="3"/>
      <c r="JM534" s="3"/>
      <c r="JN534" s="3"/>
      <c r="JO534" s="3"/>
      <c r="JP534" s="3"/>
      <c r="JQ534" s="3"/>
      <c r="JR534" s="3"/>
      <c r="JS534" s="3"/>
      <c r="JT534" s="3"/>
      <c r="JU534" s="3"/>
      <c r="JV534" s="3"/>
      <c r="JW534" s="3"/>
      <c r="JX534" s="3"/>
      <c r="JY534" s="3"/>
      <c r="JZ534" s="3"/>
      <c r="KA534" s="3"/>
      <c r="KB534" s="3"/>
      <c r="KC534" s="3"/>
      <c r="KD534" s="3"/>
      <c r="KE534" s="3"/>
      <c r="KF534" s="3"/>
      <c r="KG534" s="3"/>
      <c r="KH534" s="3"/>
      <c r="KI534" s="3"/>
      <c r="KJ534" s="3"/>
      <c r="KK534" s="3"/>
      <c r="KL534" s="3"/>
      <c r="KM534" s="3"/>
      <c r="KN534" s="3"/>
      <c r="KO534" s="3"/>
      <c r="KP534" s="3"/>
      <c r="KQ534" s="3"/>
      <c r="KR534" s="3"/>
      <c r="KS534" s="3"/>
      <c r="KT534" s="3"/>
      <c r="KU534" s="3"/>
      <c r="KV534" s="3"/>
      <c r="KW534" s="3"/>
      <c r="KX534" s="3"/>
      <c r="KY534" s="3"/>
      <c r="KZ534" s="3"/>
      <c r="LA534" s="3"/>
      <c r="LB534" s="3"/>
      <c r="LC534" s="3"/>
      <c r="LD534" s="3"/>
      <c r="LE534" s="3"/>
      <c r="LF534" s="3"/>
      <c r="LG534" s="3"/>
      <c r="LH534" s="3"/>
      <c r="LI534" s="3"/>
      <c r="LJ534" s="3"/>
      <c r="LK534" s="3"/>
      <c r="LL534" s="3"/>
      <c r="LM534" s="3"/>
      <c r="LN534" s="3"/>
      <c r="LO534" s="3"/>
      <c r="LP534" s="3"/>
      <c r="LQ534" s="3"/>
      <c r="LR534" s="3"/>
      <c r="LS534" s="3"/>
      <c r="LT534" s="3"/>
      <c r="LU534" s="3"/>
      <c r="LV534" s="3"/>
      <c r="LW534" s="3"/>
      <c r="LX534" s="3"/>
      <c r="LY534" s="3"/>
      <c r="LZ534" s="3"/>
      <c r="MA534" s="3"/>
      <c r="MB534" s="3"/>
      <c r="MC534" s="3"/>
      <c r="MD534" s="3"/>
      <c r="ME534" s="3"/>
      <c r="MF534" s="3"/>
      <c r="MG534" s="3"/>
      <c r="MH534" s="3"/>
      <c r="MI534" s="3"/>
    </row>
    <row r="535" spans="1:347"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ID535" s="3"/>
      <c r="IE535" s="3"/>
      <c r="IF535" s="3"/>
      <c r="IG535" s="3"/>
      <c r="IH535" s="3"/>
      <c r="II535" s="3"/>
      <c r="IJ535" s="3"/>
      <c r="IK535" s="3"/>
      <c r="IL535" s="3"/>
      <c r="IM535" s="3"/>
      <c r="IN535" s="3"/>
      <c r="IO535" s="3"/>
      <c r="IP535" s="3"/>
      <c r="IQ535" s="3"/>
      <c r="IR535" s="3"/>
      <c r="IS535" s="3"/>
      <c r="IT535" s="3"/>
      <c r="IU535" s="3"/>
      <c r="IV535" s="3"/>
      <c r="IW535" s="3"/>
      <c r="IX535" s="3"/>
      <c r="IY535" s="3"/>
      <c r="IZ535" s="3"/>
      <c r="JA535" s="3"/>
      <c r="JB535" s="3"/>
      <c r="JC535" s="3"/>
      <c r="JD535" s="3"/>
      <c r="JE535" s="3"/>
      <c r="JF535" s="3"/>
      <c r="JG535" s="3"/>
      <c r="JH535" s="3"/>
      <c r="JI535" s="3"/>
      <c r="JJ535" s="3"/>
      <c r="JK535" s="3"/>
      <c r="JL535" s="3"/>
      <c r="JM535" s="3"/>
      <c r="JN535" s="3"/>
      <c r="JO535" s="3"/>
      <c r="JP535" s="3"/>
      <c r="JQ535" s="3"/>
      <c r="JR535" s="3"/>
      <c r="JS535" s="3"/>
      <c r="JT535" s="3"/>
      <c r="JU535" s="3"/>
      <c r="JV535" s="3"/>
      <c r="JW535" s="3"/>
      <c r="JX535" s="3"/>
      <c r="JY535" s="3"/>
      <c r="JZ535" s="3"/>
      <c r="KA535" s="3"/>
      <c r="KB535" s="3"/>
      <c r="KC535" s="3"/>
      <c r="KD535" s="3"/>
      <c r="KE535" s="3"/>
      <c r="KF535" s="3"/>
      <c r="KG535" s="3"/>
      <c r="KH535" s="3"/>
      <c r="KI535" s="3"/>
      <c r="KJ535" s="3"/>
      <c r="KK535" s="3"/>
      <c r="KL535" s="3"/>
      <c r="KM535" s="3"/>
      <c r="KN535" s="3"/>
      <c r="KO535" s="3"/>
      <c r="KP535" s="3"/>
      <c r="KQ535" s="3"/>
      <c r="KR535" s="3"/>
      <c r="KS535" s="3"/>
      <c r="KT535" s="3"/>
      <c r="KU535" s="3"/>
      <c r="KV535" s="3"/>
      <c r="KW535" s="3"/>
      <c r="KX535" s="3"/>
      <c r="KY535" s="3"/>
      <c r="KZ535" s="3"/>
      <c r="LA535" s="3"/>
      <c r="LB535" s="3"/>
      <c r="LC535" s="3"/>
      <c r="LD535" s="3"/>
      <c r="LE535" s="3"/>
      <c r="LF535" s="3"/>
      <c r="LG535" s="3"/>
      <c r="LH535" s="3"/>
      <c r="LI535" s="3"/>
      <c r="LJ535" s="3"/>
      <c r="LK535" s="3"/>
      <c r="LL535" s="3"/>
      <c r="LM535" s="3"/>
      <c r="LN535" s="3"/>
      <c r="LO535" s="3"/>
      <c r="LP535" s="3"/>
      <c r="LQ535" s="3"/>
      <c r="LR535" s="3"/>
      <c r="LS535" s="3"/>
      <c r="LT535" s="3"/>
      <c r="LU535" s="3"/>
      <c r="LV535" s="3"/>
      <c r="LW535" s="3"/>
      <c r="LX535" s="3"/>
      <c r="LY535" s="3"/>
      <c r="LZ535" s="3"/>
      <c r="MA535" s="3"/>
      <c r="MB535" s="3"/>
      <c r="MC535" s="3"/>
      <c r="MD535" s="3"/>
      <c r="ME535" s="3"/>
      <c r="MF535" s="3"/>
      <c r="MG535" s="3"/>
      <c r="MH535" s="3"/>
      <c r="MI535" s="3"/>
    </row>
    <row r="536" spans="1:347"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ID536" s="3"/>
      <c r="IE536" s="3"/>
      <c r="IF536" s="3"/>
      <c r="IG536" s="3"/>
      <c r="IH536" s="3"/>
      <c r="II536" s="3"/>
      <c r="IJ536" s="3"/>
      <c r="IK536" s="3"/>
      <c r="IL536" s="3"/>
      <c r="IM536" s="3"/>
      <c r="IN536" s="3"/>
      <c r="IO536" s="3"/>
      <c r="IP536" s="3"/>
      <c r="IQ536" s="3"/>
      <c r="IR536" s="3"/>
      <c r="IS536" s="3"/>
      <c r="IT536" s="3"/>
      <c r="IU536" s="3"/>
      <c r="IV536" s="3"/>
      <c r="IW536" s="3"/>
      <c r="IX536" s="3"/>
      <c r="IY536" s="3"/>
      <c r="IZ536" s="3"/>
      <c r="JA536" s="3"/>
      <c r="JB536" s="3"/>
      <c r="JC536" s="3"/>
      <c r="JD536" s="3"/>
      <c r="JE536" s="3"/>
      <c r="JF536" s="3"/>
      <c r="JG536" s="3"/>
      <c r="JH536" s="3"/>
      <c r="JI536" s="3"/>
      <c r="JJ536" s="3"/>
      <c r="JK536" s="3"/>
      <c r="JL536" s="3"/>
      <c r="JM536" s="3"/>
      <c r="JN536" s="3"/>
      <c r="JO536" s="3"/>
      <c r="JP536" s="3"/>
      <c r="JQ536" s="3"/>
      <c r="JR536" s="3"/>
      <c r="JS536" s="3"/>
      <c r="JT536" s="3"/>
      <c r="JU536" s="3"/>
      <c r="JV536" s="3"/>
      <c r="JW536" s="3"/>
      <c r="JX536" s="3"/>
      <c r="JY536" s="3"/>
      <c r="JZ536" s="3"/>
      <c r="KA536" s="3"/>
      <c r="KB536" s="3"/>
      <c r="KC536" s="3"/>
      <c r="KD536" s="3"/>
      <c r="KE536" s="3"/>
      <c r="KF536" s="3"/>
      <c r="KG536" s="3"/>
      <c r="KH536" s="3"/>
      <c r="KI536" s="3"/>
      <c r="KJ536" s="3"/>
      <c r="KK536" s="3"/>
      <c r="KL536" s="3"/>
      <c r="KM536" s="3"/>
      <c r="KN536" s="3"/>
      <c r="KO536" s="3"/>
      <c r="KP536" s="3"/>
      <c r="KQ536" s="3"/>
      <c r="KR536" s="3"/>
      <c r="KS536" s="3"/>
      <c r="KT536" s="3"/>
      <c r="KU536" s="3"/>
      <c r="KV536" s="3"/>
      <c r="KW536" s="3"/>
      <c r="KX536" s="3"/>
      <c r="KY536" s="3"/>
      <c r="KZ536" s="3"/>
      <c r="LA536" s="3"/>
      <c r="LB536" s="3"/>
      <c r="LC536" s="3"/>
      <c r="LD536" s="3"/>
      <c r="LE536" s="3"/>
      <c r="LF536" s="3"/>
      <c r="LG536" s="3"/>
      <c r="LH536" s="3"/>
      <c r="LI536" s="3"/>
      <c r="LJ536" s="3"/>
      <c r="LK536" s="3"/>
      <c r="LL536" s="3"/>
      <c r="LM536" s="3"/>
      <c r="LN536" s="3"/>
      <c r="LO536" s="3"/>
      <c r="LP536" s="3"/>
      <c r="LQ536" s="3"/>
      <c r="LR536" s="3"/>
      <c r="LS536" s="3"/>
      <c r="LT536" s="3"/>
      <c r="LU536" s="3"/>
      <c r="LV536" s="3"/>
      <c r="LW536" s="3"/>
      <c r="LX536" s="3"/>
      <c r="LY536" s="3"/>
      <c r="LZ536" s="3"/>
      <c r="MA536" s="3"/>
      <c r="MB536" s="3"/>
      <c r="MC536" s="3"/>
      <c r="MD536" s="3"/>
      <c r="ME536" s="3"/>
      <c r="MF536" s="3"/>
      <c r="MG536" s="3"/>
      <c r="MH536" s="3"/>
      <c r="MI536" s="3"/>
    </row>
    <row r="537" spans="1:347"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ID537" s="3"/>
      <c r="IE537" s="3"/>
      <c r="IF537" s="3"/>
      <c r="IG537" s="3"/>
      <c r="IH537" s="3"/>
      <c r="II537" s="3"/>
      <c r="IJ537" s="3"/>
      <c r="IK537" s="3"/>
      <c r="IL537" s="3"/>
      <c r="IM537" s="3"/>
      <c r="IN537" s="3"/>
      <c r="IO537" s="3"/>
      <c r="IP537" s="3"/>
      <c r="IQ537" s="3"/>
      <c r="IR537" s="3"/>
      <c r="IS537" s="3"/>
      <c r="IT537" s="3"/>
      <c r="IU537" s="3"/>
      <c r="IV537" s="3"/>
      <c r="IW537" s="3"/>
      <c r="IX537" s="3"/>
      <c r="IY537" s="3"/>
      <c r="IZ537" s="3"/>
      <c r="JA537" s="3"/>
      <c r="JB537" s="3"/>
      <c r="JC537" s="3"/>
      <c r="JD537" s="3"/>
      <c r="JE537" s="3"/>
      <c r="JF537" s="3"/>
      <c r="JG537" s="3"/>
      <c r="JH537" s="3"/>
      <c r="JI537" s="3"/>
      <c r="JJ537" s="3"/>
      <c r="JK537" s="3"/>
      <c r="JL537" s="3"/>
      <c r="JM537" s="3"/>
      <c r="JN537" s="3"/>
      <c r="JO537" s="3"/>
      <c r="JP537" s="3"/>
      <c r="JQ537" s="3"/>
      <c r="JR537" s="3"/>
      <c r="JS537" s="3"/>
      <c r="JT537" s="3"/>
      <c r="JU537" s="3"/>
      <c r="JV537" s="3"/>
      <c r="JW537" s="3"/>
      <c r="JX537" s="3"/>
      <c r="JY537" s="3"/>
      <c r="JZ537" s="3"/>
      <c r="KA537" s="3"/>
      <c r="KB537" s="3"/>
      <c r="KC537" s="3"/>
      <c r="KD537" s="3"/>
      <c r="KE537" s="3"/>
      <c r="KF537" s="3"/>
      <c r="KG537" s="3"/>
      <c r="KH537" s="3"/>
      <c r="KI537" s="3"/>
      <c r="KJ537" s="3"/>
      <c r="KK537" s="3"/>
      <c r="KL537" s="3"/>
      <c r="KM537" s="3"/>
      <c r="KN537" s="3"/>
      <c r="KO537" s="3"/>
      <c r="KP537" s="3"/>
      <c r="KQ537" s="3"/>
      <c r="KR537" s="3"/>
      <c r="KS537" s="3"/>
      <c r="KT537" s="3"/>
      <c r="KU537" s="3"/>
      <c r="KV537" s="3"/>
      <c r="KW537" s="3"/>
      <c r="KX537" s="3"/>
      <c r="KY537" s="3"/>
      <c r="KZ537" s="3"/>
      <c r="LA537" s="3"/>
      <c r="LB537" s="3"/>
      <c r="LC537" s="3"/>
      <c r="LD537" s="3"/>
      <c r="LE537" s="3"/>
      <c r="LF537" s="3"/>
      <c r="LG537" s="3"/>
      <c r="LH537" s="3"/>
      <c r="LI537" s="3"/>
      <c r="LJ537" s="3"/>
      <c r="LK537" s="3"/>
      <c r="LL537" s="3"/>
      <c r="LM537" s="3"/>
      <c r="LN537" s="3"/>
      <c r="LO537" s="3"/>
      <c r="LP537" s="3"/>
      <c r="LQ537" s="3"/>
      <c r="LR537" s="3"/>
      <c r="LS537" s="3"/>
      <c r="LT537" s="3"/>
      <c r="LU537" s="3"/>
      <c r="LV537" s="3"/>
      <c r="LW537" s="3"/>
      <c r="LX537" s="3"/>
      <c r="LY537" s="3"/>
      <c r="LZ537" s="3"/>
      <c r="MA537" s="3"/>
      <c r="MB537" s="3"/>
      <c r="MC537" s="3"/>
      <c r="MD537" s="3"/>
      <c r="ME537" s="3"/>
      <c r="MF537" s="3"/>
      <c r="MG537" s="3"/>
      <c r="MH537" s="3"/>
      <c r="MI537" s="3"/>
    </row>
    <row r="538" spans="1:347"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ID538" s="3"/>
      <c r="IE538" s="3"/>
      <c r="IF538" s="3"/>
      <c r="IG538" s="3"/>
      <c r="IH538" s="3"/>
      <c r="II538" s="3"/>
      <c r="IJ538" s="3"/>
      <c r="IK538" s="3"/>
      <c r="IL538" s="3"/>
      <c r="IM538" s="3"/>
      <c r="IN538" s="3"/>
      <c r="IO538" s="3"/>
      <c r="IP538" s="3"/>
      <c r="IQ538" s="3"/>
      <c r="IR538" s="3"/>
      <c r="IS538" s="3"/>
      <c r="IT538" s="3"/>
      <c r="IU538" s="3"/>
      <c r="IV538" s="3"/>
      <c r="IW538" s="3"/>
      <c r="IX538" s="3"/>
      <c r="IY538" s="3"/>
      <c r="IZ538" s="3"/>
      <c r="JA538" s="3"/>
      <c r="JB538" s="3"/>
      <c r="JC538" s="3"/>
      <c r="JD538" s="3"/>
      <c r="JE538" s="3"/>
      <c r="JF538" s="3"/>
      <c r="JG538" s="3"/>
      <c r="JH538" s="3"/>
      <c r="JI538" s="3"/>
      <c r="JJ538" s="3"/>
      <c r="JK538" s="3"/>
      <c r="JL538" s="3"/>
      <c r="JM538" s="3"/>
      <c r="JN538" s="3"/>
      <c r="JO538" s="3"/>
      <c r="JP538" s="3"/>
      <c r="JQ538" s="3"/>
      <c r="JR538" s="3"/>
      <c r="JS538" s="3"/>
      <c r="JT538" s="3"/>
      <c r="JU538" s="3"/>
      <c r="JV538" s="3"/>
      <c r="JW538" s="3"/>
      <c r="JX538" s="3"/>
      <c r="JY538" s="3"/>
      <c r="JZ538" s="3"/>
      <c r="KA538" s="3"/>
      <c r="KB538" s="3"/>
      <c r="KC538" s="3"/>
      <c r="KD538" s="3"/>
      <c r="KE538" s="3"/>
      <c r="KF538" s="3"/>
      <c r="KG538" s="3"/>
      <c r="KH538" s="3"/>
      <c r="KI538" s="3"/>
      <c r="KJ538" s="3"/>
      <c r="KK538" s="3"/>
      <c r="KL538" s="3"/>
      <c r="KM538" s="3"/>
      <c r="KN538" s="3"/>
      <c r="KO538" s="3"/>
      <c r="KP538" s="3"/>
      <c r="KQ538" s="3"/>
      <c r="KR538" s="3"/>
      <c r="KS538" s="3"/>
      <c r="KT538" s="3"/>
      <c r="KU538" s="3"/>
      <c r="KV538" s="3"/>
      <c r="KW538" s="3"/>
      <c r="KX538" s="3"/>
      <c r="KY538" s="3"/>
      <c r="KZ538" s="3"/>
      <c r="LA538" s="3"/>
      <c r="LB538" s="3"/>
      <c r="LC538" s="3"/>
      <c r="LD538" s="3"/>
      <c r="LE538" s="3"/>
      <c r="LF538" s="3"/>
      <c r="LG538" s="3"/>
      <c r="LH538" s="3"/>
      <c r="LI538" s="3"/>
      <c r="LJ538" s="3"/>
      <c r="LK538" s="3"/>
      <c r="LL538" s="3"/>
      <c r="LM538" s="3"/>
      <c r="LN538" s="3"/>
      <c r="LO538" s="3"/>
      <c r="LP538" s="3"/>
      <c r="LQ538" s="3"/>
      <c r="LR538" s="3"/>
      <c r="LS538" s="3"/>
      <c r="LT538" s="3"/>
      <c r="LU538" s="3"/>
      <c r="LV538" s="3"/>
      <c r="LW538" s="3"/>
      <c r="LX538" s="3"/>
      <c r="LY538" s="3"/>
      <c r="LZ538" s="3"/>
      <c r="MA538" s="3"/>
      <c r="MB538" s="3"/>
      <c r="MC538" s="3"/>
      <c r="MD538" s="3"/>
      <c r="ME538" s="3"/>
      <c r="MF538" s="3"/>
      <c r="MG538" s="3"/>
      <c r="MH538" s="3"/>
      <c r="MI538" s="3"/>
    </row>
    <row r="539" spans="1:347"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ID539" s="3"/>
      <c r="IE539" s="3"/>
      <c r="IF539" s="3"/>
      <c r="IG539" s="3"/>
      <c r="IH539" s="3"/>
      <c r="II539" s="3"/>
      <c r="IJ539" s="3"/>
      <c r="IK539" s="3"/>
      <c r="IL539" s="3"/>
      <c r="IM539" s="3"/>
      <c r="IN539" s="3"/>
      <c r="IO539" s="3"/>
      <c r="IP539" s="3"/>
      <c r="IQ539" s="3"/>
      <c r="IR539" s="3"/>
      <c r="IS539" s="3"/>
      <c r="IT539" s="3"/>
      <c r="IU539" s="3"/>
      <c r="IV539" s="3"/>
      <c r="IW539" s="3"/>
      <c r="IX539" s="3"/>
      <c r="IY539" s="3"/>
      <c r="IZ539" s="3"/>
      <c r="JA539" s="3"/>
      <c r="JB539" s="3"/>
      <c r="JC539" s="3"/>
      <c r="JD539" s="3"/>
      <c r="JE539" s="3"/>
      <c r="JF539" s="3"/>
      <c r="JG539" s="3"/>
      <c r="JH539" s="3"/>
      <c r="JI539" s="3"/>
      <c r="JJ539" s="3"/>
      <c r="JK539" s="3"/>
      <c r="JL539" s="3"/>
      <c r="JM539" s="3"/>
      <c r="JN539" s="3"/>
      <c r="JO539" s="3"/>
      <c r="JP539" s="3"/>
      <c r="JQ539" s="3"/>
      <c r="JR539" s="3"/>
      <c r="JS539" s="3"/>
      <c r="JT539" s="3"/>
      <c r="JU539" s="3"/>
      <c r="JV539" s="3"/>
      <c r="JW539" s="3"/>
      <c r="JX539" s="3"/>
      <c r="JY539" s="3"/>
      <c r="JZ539" s="3"/>
      <c r="KA539" s="3"/>
      <c r="KB539" s="3"/>
      <c r="KC539" s="3"/>
      <c r="KD539" s="3"/>
      <c r="KE539" s="3"/>
      <c r="KF539" s="3"/>
      <c r="KG539" s="3"/>
      <c r="KH539" s="3"/>
      <c r="KI539" s="3"/>
      <c r="KJ539" s="3"/>
      <c r="KK539" s="3"/>
      <c r="KL539" s="3"/>
      <c r="KM539" s="3"/>
      <c r="KN539" s="3"/>
      <c r="KO539" s="3"/>
      <c r="KP539" s="3"/>
      <c r="KQ539" s="3"/>
      <c r="KR539" s="3"/>
      <c r="KS539" s="3"/>
      <c r="KT539" s="3"/>
      <c r="KU539" s="3"/>
      <c r="KV539" s="3"/>
      <c r="KW539" s="3"/>
      <c r="KX539" s="3"/>
      <c r="KY539" s="3"/>
      <c r="KZ539" s="3"/>
      <c r="LA539" s="3"/>
      <c r="LB539" s="3"/>
      <c r="LC539" s="3"/>
      <c r="LD539" s="3"/>
      <c r="LE539" s="3"/>
      <c r="LF539" s="3"/>
      <c r="LG539" s="3"/>
      <c r="LH539" s="3"/>
      <c r="LI539" s="3"/>
      <c r="LJ539" s="3"/>
      <c r="LK539" s="3"/>
      <c r="LL539" s="3"/>
      <c r="LM539" s="3"/>
      <c r="LN539" s="3"/>
      <c r="LO539" s="3"/>
      <c r="LP539" s="3"/>
      <c r="LQ539" s="3"/>
      <c r="LR539" s="3"/>
      <c r="LS539" s="3"/>
      <c r="LT539" s="3"/>
      <c r="LU539" s="3"/>
      <c r="LV539" s="3"/>
      <c r="LW539" s="3"/>
      <c r="LX539" s="3"/>
      <c r="LY539" s="3"/>
      <c r="LZ539" s="3"/>
      <c r="MA539" s="3"/>
      <c r="MB539" s="3"/>
      <c r="MC539" s="3"/>
      <c r="MD539" s="3"/>
      <c r="ME539" s="3"/>
      <c r="MF539" s="3"/>
      <c r="MG539" s="3"/>
      <c r="MH539" s="3"/>
      <c r="MI539" s="3"/>
    </row>
    <row r="540" spans="1:347"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ID540" s="3"/>
      <c r="IE540" s="3"/>
      <c r="IF540" s="3"/>
      <c r="IG540" s="3"/>
      <c r="IH540" s="3"/>
      <c r="II540" s="3"/>
      <c r="IJ540" s="3"/>
      <c r="IK540" s="3"/>
      <c r="IL540" s="3"/>
      <c r="IM540" s="3"/>
      <c r="IN540" s="3"/>
      <c r="IO540" s="3"/>
      <c r="IP540" s="3"/>
      <c r="IQ540" s="3"/>
      <c r="IR540" s="3"/>
      <c r="IS540" s="3"/>
      <c r="IT540" s="3"/>
      <c r="IU540" s="3"/>
      <c r="IV540" s="3"/>
      <c r="IW540" s="3"/>
      <c r="IX540" s="3"/>
      <c r="IY540" s="3"/>
      <c r="IZ540" s="3"/>
      <c r="JA540" s="3"/>
      <c r="JB540" s="3"/>
      <c r="JC540" s="3"/>
      <c r="JD540" s="3"/>
      <c r="JE540" s="3"/>
      <c r="JF540" s="3"/>
      <c r="JG540" s="3"/>
      <c r="JH540" s="3"/>
      <c r="JI540" s="3"/>
      <c r="JJ540" s="3"/>
      <c r="JK540" s="3"/>
      <c r="JL540" s="3"/>
      <c r="JM540" s="3"/>
      <c r="JN540" s="3"/>
      <c r="JO540" s="3"/>
      <c r="JP540" s="3"/>
      <c r="JQ540" s="3"/>
      <c r="JR540" s="3"/>
      <c r="JS540" s="3"/>
      <c r="JT540" s="3"/>
      <c r="JU540" s="3"/>
      <c r="JV540" s="3"/>
      <c r="JW540" s="3"/>
      <c r="JX540" s="3"/>
      <c r="JY540" s="3"/>
      <c r="JZ540" s="3"/>
      <c r="KA540" s="3"/>
      <c r="KB540" s="3"/>
      <c r="KC540" s="3"/>
      <c r="KD540" s="3"/>
      <c r="KE540" s="3"/>
      <c r="KF540" s="3"/>
      <c r="KG540" s="3"/>
      <c r="KH540" s="3"/>
      <c r="KI540" s="3"/>
      <c r="KJ540" s="3"/>
      <c r="KK540" s="3"/>
      <c r="KL540" s="3"/>
      <c r="KM540" s="3"/>
      <c r="KN540" s="3"/>
      <c r="KO540" s="3"/>
      <c r="KP540" s="3"/>
      <c r="KQ540" s="3"/>
      <c r="KR540" s="3"/>
      <c r="KS540" s="3"/>
      <c r="KT540" s="3"/>
      <c r="KU540" s="3"/>
      <c r="KV540" s="3"/>
      <c r="KW540" s="3"/>
      <c r="KX540" s="3"/>
      <c r="KY540" s="3"/>
      <c r="KZ540" s="3"/>
      <c r="LA540" s="3"/>
      <c r="LB540" s="3"/>
      <c r="LC540" s="3"/>
      <c r="LD540" s="3"/>
      <c r="LE540" s="3"/>
      <c r="LF540" s="3"/>
      <c r="LG540" s="3"/>
      <c r="LH540" s="3"/>
      <c r="LI540" s="3"/>
      <c r="LJ540" s="3"/>
      <c r="LK540" s="3"/>
      <c r="LL540" s="3"/>
      <c r="LM540" s="3"/>
      <c r="LN540" s="3"/>
      <c r="LO540" s="3"/>
      <c r="LP540" s="3"/>
      <c r="LQ540" s="3"/>
      <c r="LR540" s="3"/>
      <c r="LS540" s="3"/>
      <c r="LT540" s="3"/>
      <c r="LU540" s="3"/>
      <c r="LV540" s="3"/>
      <c r="LW540" s="3"/>
      <c r="LX540" s="3"/>
      <c r="LY540" s="3"/>
      <c r="LZ540" s="3"/>
      <c r="MA540" s="3"/>
      <c r="MB540" s="3"/>
      <c r="MC540" s="3"/>
      <c r="MD540" s="3"/>
      <c r="ME540" s="3"/>
      <c r="MF540" s="3"/>
      <c r="MG540" s="3"/>
      <c r="MH540" s="3"/>
      <c r="MI540" s="3"/>
    </row>
    <row r="541" spans="1:347"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ID541" s="3"/>
      <c r="IE541" s="3"/>
      <c r="IF541" s="3"/>
      <c r="IG541" s="3"/>
      <c r="IH541" s="3"/>
      <c r="II541" s="3"/>
      <c r="IJ541" s="3"/>
      <c r="IK541" s="3"/>
      <c r="IL541" s="3"/>
      <c r="IM541" s="3"/>
      <c r="IN541" s="3"/>
      <c r="IO541" s="3"/>
      <c r="IP541" s="3"/>
      <c r="IQ541" s="3"/>
      <c r="IR541" s="3"/>
      <c r="IS541" s="3"/>
      <c r="IT541" s="3"/>
      <c r="IU541" s="3"/>
      <c r="IV541" s="3"/>
      <c r="IW541" s="3"/>
      <c r="IX541" s="3"/>
      <c r="IY541" s="3"/>
      <c r="IZ541" s="3"/>
      <c r="JA541" s="3"/>
      <c r="JB541" s="3"/>
      <c r="JC541" s="3"/>
      <c r="JD541" s="3"/>
      <c r="JE541" s="3"/>
      <c r="JF541" s="3"/>
      <c r="JG541" s="3"/>
      <c r="JH541" s="3"/>
      <c r="JI541" s="3"/>
      <c r="JJ541" s="3"/>
      <c r="JK541" s="3"/>
      <c r="JL541" s="3"/>
      <c r="JM541" s="3"/>
      <c r="JN541" s="3"/>
      <c r="JO541" s="3"/>
      <c r="JP541" s="3"/>
      <c r="JQ541" s="3"/>
      <c r="JR541" s="3"/>
      <c r="JS541" s="3"/>
      <c r="JT541" s="3"/>
      <c r="JU541" s="3"/>
      <c r="JV541" s="3"/>
      <c r="JW541" s="3"/>
      <c r="JX541" s="3"/>
      <c r="JY541" s="3"/>
      <c r="JZ541" s="3"/>
      <c r="KA541" s="3"/>
      <c r="KB541" s="3"/>
      <c r="KC541" s="3"/>
      <c r="KD541" s="3"/>
      <c r="KE541" s="3"/>
      <c r="KF541" s="3"/>
      <c r="KG541" s="3"/>
      <c r="KH541" s="3"/>
      <c r="KI541" s="3"/>
      <c r="KJ541" s="3"/>
      <c r="KK541" s="3"/>
      <c r="KL541" s="3"/>
      <c r="KM541" s="3"/>
      <c r="KN541" s="3"/>
      <c r="KO541" s="3"/>
      <c r="KP541" s="3"/>
      <c r="KQ541" s="3"/>
      <c r="KR541" s="3"/>
      <c r="KS541" s="3"/>
      <c r="KT541" s="3"/>
      <c r="KU541" s="3"/>
      <c r="KV541" s="3"/>
      <c r="KW541" s="3"/>
      <c r="KX541" s="3"/>
      <c r="KY541" s="3"/>
      <c r="KZ541" s="3"/>
      <c r="LA541" s="3"/>
      <c r="LB541" s="3"/>
      <c r="LC541" s="3"/>
      <c r="LD541" s="3"/>
      <c r="LE541" s="3"/>
      <c r="LF541" s="3"/>
      <c r="LG541" s="3"/>
      <c r="LH541" s="3"/>
      <c r="LI541" s="3"/>
      <c r="LJ541" s="3"/>
      <c r="LK541" s="3"/>
      <c r="LL541" s="3"/>
      <c r="LM541" s="3"/>
      <c r="LN541" s="3"/>
      <c r="LO541" s="3"/>
      <c r="LP541" s="3"/>
      <c r="LQ541" s="3"/>
      <c r="LR541" s="3"/>
      <c r="LS541" s="3"/>
      <c r="LT541" s="3"/>
      <c r="LU541" s="3"/>
      <c r="LV541" s="3"/>
      <c r="LW541" s="3"/>
      <c r="LX541" s="3"/>
      <c r="LY541" s="3"/>
      <c r="LZ541" s="3"/>
      <c r="MA541" s="3"/>
      <c r="MB541" s="3"/>
      <c r="MC541" s="3"/>
      <c r="MD541" s="3"/>
      <c r="ME541" s="3"/>
      <c r="MF541" s="3"/>
      <c r="MG541" s="3"/>
      <c r="MH541" s="3"/>
      <c r="MI541" s="3"/>
    </row>
    <row r="542" spans="1:347"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ID542" s="3"/>
      <c r="IE542" s="3"/>
      <c r="IF542" s="3"/>
      <c r="IG542" s="3"/>
      <c r="IH542" s="3"/>
      <c r="II542" s="3"/>
      <c r="IJ542" s="3"/>
      <c r="IK542" s="3"/>
      <c r="IL542" s="3"/>
      <c r="IM542" s="3"/>
      <c r="IN542" s="3"/>
      <c r="IO542" s="3"/>
      <c r="IP542" s="3"/>
      <c r="IQ542" s="3"/>
      <c r="IR542" s="3"/>
      <c r="IS542" s="3"/>
      <c r="IT542" s="3"/>
      <c r="IU542" s="3"/>
      <c r="IV542" s="3"/>
      <c r="IW542" s="3"/>
      <c r="IX542" s="3"/>
      <c r="IY542" s="3"/>
      <c r="IZ542" s="3"/>
      <c r="JA542" s="3"/>
      <c r="JB542" s="3"/>
      <c r="JC542" s="3"/>
      <c r="JD542" s="3"/>
      <c r="JE542" s="3"/>
      <c r="JF542" s="3"/>
      <c r="JG542" s="3"/>
      <c r="JH542" s="3"/>
      <c r="JI542" s="3"/>
      <c r="JJ542" s="3"/>
      <c r="JK542" s="3"/>
      <c r="JL542" s="3"/>
      <c r="JM542" s="3"/>
      <c r="JN542" s="3"/>
      <c r="JO542" s="3"/>
      <c r="JP542" s="3"/>
      <c r="JQ542" s="3"/>
      <c r="JR542" s="3"/>
      <c r="JS542" s="3"/>
      <c r="JT542" s="3"/>
      <c r="JU542" s="3"/>
      <c r="JV542" s="3"/>
      <c r="JW542" s="3"/>
      <c r="JX542" s="3"/>
      <c r="JY542" s="3"/>
      <c r="JZ542" s="3"/>
      <c r="KA542" s="3"/>
      <c r="KB542" s="3"/>
      <c r="KC542" s="3"/>
      <c r="KD542" s="3"/>
      <c r="KE542" s="3"/>
      <c r="KF542" s="3"/>
      <c r="KG542" s="3"/>
      <c r="KH542" s="3"/>
      <c r="KI542" s="3"/>
      <c r="KJ542" s="3"/>
      <c r="KK542" s="3"/>
      <c r="KL542" s="3"/>
      <c r="KM542" s="3"/>
      <c r="KN542" s="3"/>
      <c r="KO542" s="3"/>
      <c r="KP542" s="3"/>
      <c r="KQ542" s="3"/>
      <c r="KR542" s="3"/>
      <c r="KS542" s="3"/>
      <c r="KT542" s="3"/>
      <c r="KU542" s="3"/>
      <c r="KV542" s="3"/>
      <c r="KW542" s="3"/>
      <c r="KX542" s="3"/>
      <c r="KY542" s="3"/>
      <c r="KZ542" s="3"/>
      <c r="LA542" s="3"/>
      <c r="LB542" s="3"/>
      <c r="LC542" s="3"/>
      <c r="LD542" s="3"/>
      <c r="LE542" s="3"/>
      <c r="LF542" s="3"/>
      <c r="LG542" s="3"/>
      <c r="LH542" s="3"/>
      <c r="LI542" s="3"/>
      <c r="LJ542" s="3"/>
      <c r="LK542" s="3"/>
      <c r="LL542" s="3"/>
      <c r="LM542" s="3"/>
      <c r="LN542" s="3"/>
      <c r="LO542" s="3"/>
      <c r="LP542" s="3"/>
      <c r="LQ542" s="3"/>
      <c r="LR542" s="3"/>
      <c r="LS542" s="3"/>
      <c r="LT542" s="3"/>
      <c r="LU542" s="3"/>
      <c r="LV542" s="3"/>
      <c r="LW542" s="3"/>
      <c r="LX542" s="3"/>
      <c r="LY542" s="3"/>
      <c r="LZ542" s="3"/>
      <c r="MA542" s="3"/>
      <c r="MB542" s="3"/>
      <c r="MC542" s="3"/>
      <c r="MD542" s="3"/>
      <c r="ME542" s="3"/>
      <c r="MF542" s="3"/>
      <c r="MG542" s="3"/>
      <c r="MH542" s="3"/>
      <c r="MI542" s="3"/>
    </row>
    <row r="543" spans="1:347"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ID543" s="3"/>
      <c r="IE543" s="3"/>
      <c r="IF543" s="3"/>
      <c r="IG543" s="3"/>
      <c r="IH543" s="3"/>
      <c r="II543" s="3"/>
      <c r="IJ543" s="3"/>
      <c r="IK543" s="3"/>
      <c r="IL543" s="3"/>
      <c r="IM543" s="3"/>
      <c r="IN543" s="3"/>
      <c r="IO543" s="3"/>
      <c r="IP543" s="3"/>
      <c r="IQ543" s="3"/>
      <c r="IR543" s="3"/>
      <c r="IS543" s="3"/>
      <c r="IT543" s="3"/>
      <c r="IU543" s="3"/>
      <c r="IV543" s="3"/>
      <c r="IW543" s="3"/>
      <c r="IX543" s="3"/>
      <c r="IY543" s="3"/>
      <c r="IZ543" s="3"/>
      <c r="JA543" s="3"/>
      <c r="JB543" s="3"/>
      <c r="JC543" s="3"/>
      <c r="JD543" s="3"/>
      <c r="JE543" s="3"/>
      <c r="JF543" s="3"/>
      <c r="JG543" s="3"/>
      <c r="JH543" s="3"/>
      <c r="JI543" s="3"/>
      <c r="JJ543" s="3"/>
      <c r="JK543" s="3"/>
      <c r="JL543" s="3"/>
      <c r="JM543" s="3"/>
      <c r="JN543" s="3"/>
      <c r="JO543" s="3"/>
      <c r="JP543" s="3"/>
      <c r="JQ543" s="3"/>
      <c r="JR543" s="3"/>
      <c r="JS543" s="3"/>
      <c r="JT543" s="3"/>
      <c r="JU543" s="3"/>
      <c r="JV543" s="3"/>
      <c r="JW543" s="3"/>
      <c r="JX543" s="3"/>
      <c r="JY543" s="3"/>
      <c r="JZ543" s="3"/>
      <c r="KA543" s="3"/>
      <c r="KB543" s="3"/>
      <c r="KC543" s="3"/>
      <c r="KD543" s="3"/>
      <c r="KE543" s="3"/>
      <c r="KF543" s="3"/>
      <c r="KG543" s="3"/>
      <c r="KH543" s="3"/>
      <c r="KI543" s="3"/>
      <c r="KJ543" s="3"/>
      <c r="KK543" s="3"/>
      <c r="KL543" s="3"/>
      <c r="KM543" s="3"/>
      <c r="KN543" s="3"/>
      <c r="KO543" s="3"/>
      <c r="KP543" s="3"/>
      <c r="KQ543" s="3"/>
      <c r="KR543" s="3"/>
      <c r="KS543" s="3"/>
      <c r="KT543" s="3"/>
      <c r="KU543" s="3"/>
      <c r="KV543" s="3"/>
      <c r="KW543" s="3"/>
      <c r="KX543" s="3"/>
      <c r="KY543" s="3"/>
      <c r="KZ543" s="3"/>
      <c r="LA543" s="3"/>
      <c r="LB543" s="3"/>
      <c r="LC543" s="3"/>
      <c r="LD543" s="3"/>
      <c r="LE543" s="3"/>
      <c r="LF543" s="3"/>
      <c r="LG543" s="3"/>
      <c r="LH543" s="3"/>
      <c r="LI543" s="3"/>
      <c r="LJ543" s="3"/>
      <c r="LK543" s="3"/>
      <c r="LL543" s="3"/>
      <c r="LM543" s="3"/>
      <c r="LN543" s="3"/>
      <c r="LO543" s="3"/>
      <c r="LP543" s="3"/>
      <c r="LQ543" s="3"/>
      <c r="LR543" s="3"/>
      <c r="LS543" s="3"/>
      <c r="LT543" s="3"/>
      <c r="LU543" s="3"/>
      <c r="LV543" s="3"/>
      <c r="LW543" s="3"/>
      <c r="LX543" s="3"/>
      <c r="LY543" s="3"/>
      <c r="LZ543" s="3"/>
      <c r="MA543" s="3"/>
      <c r="MB543" s="3"/>
      <c r="MC543" s="3"/>
      <c r="MD543" s="3"/>
      <c r="ME543" s="3"/>
      <c r="MF543" s="3"/>
      <c r="MG543" s="3"/>
      <c r="MH543" s="3"/>
      <c r="MI543" s="3"/>
    </row>
    <row r="544" spans="1:347"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ID544" s="3"/>
      <c r="IE544" s="3"/>
      <c r="IF544" s="3"/>
      <c r="IG544" s="3"/>
      <c r="IH544" s="3"/>
      <c r="II544" s="3"/>
      <c r="IJ544" s="3"/>
      <c r="IK544" s="3"/>
      <c r="IL544" s="3"/>
      <c r="IM544" s="3"/>
      <c r="IN544" s="3"/>
      <c r="IO544" s="3"/>
      <c r="IP544" s="3"/>
      <c r="IQ544" s="3"/>
      <c r="IR544" s="3"/>
      <c r="IS544" s="3"/>
      <c r="IT544" s="3"/>
      <c r="IU544" s="3"/>
      <c r="IV544" s="3"/>
      <c r="IW544" s="3"/>
      <c r="IX544" s="3"/>
      <c r="IY544" s="3"/>
      <c r="IZ544" s="3"/>
      <c r="JA544" s="3"/>
      <c r="JB544" s="3"/>
      <c r="JC544" s="3"/>
      <c r="JD544" s="3"/>
      <c r="JE544" s="3"/>
      <c r="JF544" s="3"/>
      <c r="JG544" s="3"/>
      <c r="JH544" s="3"/>
      <c r="JI544" s="3"/>
      <c r="JJ544" s="3"/>
      <c r="JK544" s="3"/>
      <c r="JL544" s="3"/>
      <c r="JM544" s="3"/>
      <c r="JN544" s="3"/>
      <c r="JO544" s="3"/>
      <c r="JP544" s="3"/>
      <c r="JQ544" s="3"/>
      <c r="JR544" s="3"/>
      <c r="JS544" s="3"/>
      <c r="JT544" s="3"/>
      <c r="JU544" s="3"/>
      <c r="JV544" s="3"/>
      <c r="JW544" s="3"/>
      <c r="JX544" s="3"/>
      <c r="JY544" s="3"/>
      <c r="JZ544" s="3"/>
      <c r="KA544" s="3"/>
      <c r="KB544" s="3"/>
      <c r="KC544" s="3"/>
      <c r="KD544" s="3"/>
      <c r="KE544" s="3"/>
      <c r="KF544" s="3"/>
      <c r="KG544" s="3"/>
      <c r="KH544" s="3"/>
      <c r="KI544" s="3"/>
      <c r="KJ544" s="3"/>
      <c r="KK544" s="3"/>
      <c r="KL544" s="3"/>
      <c r="KM544" s="3"/>
      <c r="KN544" s="3"/>
      <c r="KO544" s="3"/>
      <c r="KP544" s="3"/>
      <c r="KQ544" s="3"/>
      <c r="KR544" s="3"/>
      <c r="KS544" s="3"/>
      <c r="KT544" s="3"/>
      <c r="KU544" s="3"/>
      <c r="KV544" s="3"/>
      <c r="KW544" s="3"/>
      <c r="KX544" s="3"/>
      <c r="KY544" s="3"/>
      <c r="KZ544" s="3"/>
      <c r="LA544" s="3"/>
      <c r="LB544" s="3"/>
      <c r="LC544" s="3"/>
      <c r="LD544" s="3"/>
      <c r="LE544" s="3"/>
      <c r="LF544" s="3"/>
      <c r="LG544" s="3"/>
      <c r="LH544" s="3"/>
      <c r="LI544" s="3"/>
      <c r="LJ544" s="3"/>
      <c r="LK544" s="3"/>
      <c r="LL544" s="3"/>
      <c r="LM544" s="3"/>
      <c r="LN544" s="3"/>
      <c r="LO544" s="3"/>
      <c r="LP544" s="3"/>
      <c r="LQ544" s="3"/>
      <c r="LR544" s="3"/>
      <c r="LS544" s="3"/>
      <c r="LT544" s="3"/>
      <c r="LU544" s="3"/>
      <c r="LV544" s="3"/>
      <c r="LW544" s="3"/>
      <c r="LX544" s="3"/>
      <c r="LY544" s="3"/>
      <c r="LZ544" s="3"/>
      <c r="MA544" s="3"/>
      <c r="MB544" s="3"/>
      <c r="MC544" s="3"/>
      <c r="MD544" s="3"/>
      <c r="ME544" s="3"/>
      <c r="MF544" s="3"/>
      <c r="MG544" s="3"/>
      <c r="MH544" s="3"/>
      <c r="MI544" s="3"/>
    </row>
    <row r="545" spans="1:347"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ID545" s="3"/>
      <c r="IE545" s="3"/>
      <c r="IF545" s="3"/>
      <c r="IG545" s="3"/>
      <c r="IH545" s="3"/>
      <c r="II545" s="3"/>
      <c r="IJ545" s="3"/>
      <c r="IK545" s="3"/>
      <c r="IL545" s="3"/>
      <c r="IM545" s="3"/>
      <c r="IN545" s="3"/>
      <c r="IO545" s="3"/>
      <c r="IP545" s="3"/>
      <c r="IQ545" s="3"/>
      <c r="IR545" s="3"/>
      <c r="IS545" s="3"/>
      <c r="IT545" s="3"/>
      <c r="IU545" s="3"/>
      <c r="IV545" s="3"/>
      <c r="IW545" s="3"/>
      <c r="IX545" s="3"/>
      <c r="IY545" s="3"/>
      <c r="IZ545" s="3"/>
      <c r="JA545" s="3"/>
      <c r="JB545" s="3"/>
      <c r="JC545" s="3"/>
      <c r="JD545" s="3"/>
      <c r="JE545" s="3"/>
      <c r="JF545" s="3"/>
      <c r="JG545" s="3"/>
      <c r="JH545" s="3"/>
      <c r="JI545" s="3"/>
      <c r="JJ545" s="3"/>
      <c r="JK545" s="3"/>
      <c r="JL545" s="3"/>
      <c r="JM545" s="3"/>
      <c r="JN545" s="3"/>
      <c r="JO545" s="3"/>
      <c r="JP545" s="3"/>
      <c r="JQ545" s="3"/>
      <c r="JR545" s="3"/>
      <c r="JS545" s="3"/>
      <c r="JT545" s="3"/>
      <c r="JU545" s="3"/>
      <c r="JV545" s="3"/>
      <c r="JW545" s="3"/>
      <c r="JX545" s="3"/>
      <c r="JY545" s="3"/>
      <c r="JZ545" s="3"/>
      <c r="KA545" s="3"/>
      <c r="KB545" s="3"/>
      <c r="KC545" s="3"/>
      <c r="KD545" s="3"/>
      <c r="KE545" s="3"/>
      <c r="KF545" s="3"/>
      <c r="KG545" s="3"/>
      <c r="KH545" s="3"/>
      <c r="KI545" s="3"/>
      <c r="KJ545" s="3"/>
      <c r="KK545" s="3"/>
      <c r="KL545" s="3"/>
      <c r="KM545" s="3"/>
      <c r="KN545" s="3"/>
      <c r="KO545" s="3"/>
      <c r="KP545" s="3"/>
      <c r="KQ545" s="3"/>
      <c r="KR545" s="3"/>
      <c r="KS545" s="3"/>
      <c r="KT545" s="3"/>
      <c r="KU545" s="3"/>
      <c r="KV545" s="3"/>
      <c r="KW545" s="3"/>
      <c r="KX545" s="3"/>
      <c r="KY545" s="3"/>
      <c r="KZ545" s="3"/>
      <c r="LA545" s="3"/>
      <c r="LB545" s="3"/>
      <c r="LC545" s="3"/>
      <c r="LD545" s="3"/>
      <c r="LE545" s="3"/>
      <c r="LF545" s="3"/>
      <c r="LG545" s="3"/>
      <c r="LH545" s="3"/>
      <c r="LI545" s="3"/>
      <c r="LJ545" s="3"/>
      <c r="LK545" s="3"/>
      <c r="LL545" s="3"/>
      <c r="LM545" s="3"/>
      <c r="LN545" s="3"/>
      <c r="LO545" s="3"/>
      <c r="LP545" s="3"/>
      <c r="LQ545" s="3"/>
      <c r="LR545" s="3"/>
      <c r="LS545" s="3"/>
      <c r="LT545" s="3"/>
      <c r="LU545" s="3"/>
      <c r="LV545" s="3"/>
      <c r="LW545" s="3"/>
      <c r="LX545" s="3"/>
      <c r="LY545" s="3"/>
      <c r="LZ545" s="3"/>
      <c r="MA545" s="3"/>
      <c r="MB545" s="3"/>
      <c r="MC545" s="3"/>
      <c r="MD545" s="3"/>
      <c r="ME545" s="3"/>
      <c r="MF545" s="3"/>
      <c r="MG545" s="3"/>
      <c r="MH545" s="3"/>
      <c r="MI545" s="3"/>
    </row>
    <row r="546" spans="1:347"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ID546" s="3"/>
      <c r="IE546" s="3"/>
      <c r="IF546" s="3"/>
      <c r="IG546" s="3"/>
      <c r="IH546" s="3"/>
      <c r="II546" s="3"/>
      <c r="IJ546" s="3"/>
      <c r="IK546" s="3"/>
      <c r="IL546" s="3"/>
      <c r="IM546" s="3"/>
      <c r="IN546" s="3"/>
      <c r="IO546" s="3"/>
      <c r="IP546" s="3"/>
      <c r="IQ546" s="3"/>
      <c r="IR546" s="3"/>
      <c r="IS546" s="3"/>
      <c r="IT546" s="3"/>
      <c r="IU546" s="3"/>
      <c r="IV546" s="3"/>
      <c r="IW546" s="3"/>
      <c r="IX546" s="3"/>
      <c r="IY546" s="3"/>
      <c r="IZ546" s="3"/>
      <c r="JA546" s="3"/>
      <c r="JB546" s="3"/>
      <c r="JC546" s="3"/>
      <c r="JD546" s="3"/>
      <c r="JE546" s="3"/>
      <c r="JF546" s="3"/>
      <c r="JG546" s="3"/>
      <c r="JH546" s="3"/>
      <c r="JI546" s="3"/>
      <c r="JJ546" s="3"/>
      <c r="JK546" s="3"/>
      <c r="JL546" s="3"/>
      <c r="JM546" s="3"/>
      <c r="JN546" s="3"/>
      <c r="JO546" s="3"/>
      <c r="JP546" s="3"/>
      <c r="JQ546" s="3"/>
      <c r="JR546" s="3"/>
      <c r="JS546" s="3"/>
      <c r="JT546" s="3"/>
      <c r="JU546" s="3"/>
      <c r="JV546" s="3"/>
      <c r="JW546" s="3"/>
      <c r="JX546" s="3"/>
      <c r="JY546" s="3"/>
      <c r="JZ546" s="3"/>
      <c r="KA546" s="3"/>
      <c r="KB546" s="3"/>
      <c r="KC546" s="3"/>
      <c r="KD546" s="3"/>
      <c r="KE546" s="3"/>
      <c r="KF546" s="3"/>
      <c r="KG546" s="3"/>
      <c r="KH546" s="3"/>
      <c r="KI546" s="3"/>
      <c r="KJ546" s="3"/>
      <c r="KK546" s="3"/>
      <c r="KL546" s="3"/>
      <c r="KM546" s="3"/>
      <c r="KN546" s="3"/>
      <c r="KO546" s="3"/>
      <c r="KP546" s="3"/>
      <c r="KQ546" s="3"/>
      <c r="KR546" s="3"/>
      <c r="KS546" s="3"/>
      <c r="KT546" s="3"/>
      <c r="KU546" s="3"/>
      <c r="KV546" s="3"/>
      <c r="KW546" s="3"/>
      <c r="KX546" s="3"/>
      <c r="KY546" s="3"/>
      <c r="KZ546" s="3"/>
      <c r="LA546" s="3"/>
      <c r="LB546" s="3"/>
      <c r="LC546" s="3"/>
      <c r="LD546" s="3"/>
      <c r="LE546" s="3"/>
      <c r="LF546" s="3"/>
      <c r="LG546" s="3"/>
      <c r="LH546" s="3"/>
      <c r="LI546" s="3"/>
      <c r="LJ546" s="3"/>
      <c r="LK546" s="3"/>
      <c r="LL546" s="3"/>
      <c r="LM546" s="3"/>
      <c r="LN546" s="3"/>
      <c r="LO546" s="3"/>
      <c r="LP546" s="3"/>
      <c r="LQ546" s="3"/>
      <c r="LR546" s="3"/>
      <c r="LS546" s="3"/>
      <c r="LT546" s="3"/>
      <c r="LU546" s="3"/>
      <c r="LV546" s="3"/>
      <c r="LW546" s="3"/>
      <c r="LX546" s="3"/>
      <c r="LY546" s="3"/>
      <c r="LZ546" s="3"/>
      <c r="MA546" s="3"/>
      <c r="MB546" s="3"/>
      <c r="MC546" s="3"/>
      <c r="MD546" s="3"/>
      <c r="ME546" s="3"/>
      <c r="MF546" s="3"/>
      <c r="MG546" s="3"/>
      <c r="MH546" s="3"/>
      <c r="MI546" s="3"/>
    </row>
    <row r="547" spans="1:347"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ID547" s="3"/>
      <c r="IE547" s="3"/>
      <c r="IF547" s="3"/>
      <c r="IG547" s="3"/>
      <c r="IH547" s="3"/>
      <c r="II547" s="3"/>
      <c r="IJ547" s="3"/>
      <c r="IK547" s="3"/>
      <c r="IL547" s="3"/>
      <c r="IM547" s="3"/>
      <c r="IN547" s="3"/>
      <c r="IO547" s="3"/>
      <c r="IP547" s="3"/>
      <c r="IQ547" s="3"/>
      <c r="IR547" s="3"/>
      <c r="IS547" s="3"/>
      <c r="IT547" s="3"/>
      <c r="IU547" s="3"/>
      <c r="IV547" s="3"/>
      <c r="IW547" s="3"/>
      <c r="IX547" s="3"/>
      <c r="IY547" s="3"/>
      <c r="IZ547" s="3"/>
      <c r="JA547" s="3"/>
      <c r="JB547" s="3"/>
      <c r="JC547" s="3"/>
      <c r="JD547" s="3"/>
      <c r="JE547" s="3"/>
      <c r="JF547" s="3"/>
      <c r="JG547" s="3"/>
      <c r="JH547" s="3"/>
      <c r="JI547" s="3"/>
      <c r="JJ547" s="3"/>
      <c r="JK547" s="3"/>
      <c r="JL547" s="3"/>
      <c r="JM547" s="3"/>
      <c r="JN547" s="3"/>
      <c r="JO547" s="3"/>
      <c r="JP547" s="3"/>
      <c r="JQ547" s="3"/>
      <c r="JR547" s="3"/>
      <c r="JS547" s="3"/>
      <c r="JT547" s="3"/>
      <c r="JU547" s="3"/>
      <c r="JV547" s="3"/>
      <c r="JW547" s="3"/>
      <c r="JX547" s="3"/>
      <c r="JY547" s="3"/>
      <c r="JZ547" s="3"/>
      <c r="KA547" s="3"/>
      <c r="KB547" s="3"/>
      <c r="KC547" s="3"/>
      <c r="KD547" s="3"/>
      <c r="KE547" s="3"/>
      <c r="KF547" s="3"/>
      <c r="KG547" s="3"/>
      <c r="KH547" s="3"/>
      <c r="KI547" s="3"/>
      <c r="KJ547" s="3"/>
      <c r="KK547" s="3"/>
      <c r="KL547" s="3"/>
      <c r="KM547" s="3"/>
      <c r="KN547" s="3"/>
      <c r="KO547" s="3"/>
      <c r="KP547" s="3"/>
      <c r="KQ547" s="3"/>
      <c r="KR547" s="3"/>
      <c r="KS547" s="3"/>
      <c r="KT547" s="3"/>
      <c r="KU547" s="3"/>
      <c r="KV547" s="3"/>
      <c r="KW547" s="3"/>
      <c r="KX547" s="3"/>
      <c r="KY547" s="3"/>
      <c r="KZ547" s="3"/>
      <c r="LA547" s="3"/>
      <c r="LB547" s="3"/>
      <c r="LC547" s="3"/>
      <c r="LD547" s="3"/>
      <c r="LE547" s="3"/>
      <c r="LF547" s="3"/>
      <c r="LG547" s="3"/>
      <c r="LH547" s="3"/>
      <c r="LI547" s="3"/>
      <c r="LJ547" s="3"/>
      <c r="LK547" s="3"/>
      <c r="LL547" s="3"/>
      <c r="LM547" s="3"/>
      <c r="LN547" s="3"/>
      <c r="LO547" s="3"/>
      <c r="LP547" s="3"/>
      <c r="LQ547" s="3"/>
      <c r="LR547" s="3"/>
      <c r="LS547" s="3"/>
      <c r="LT547" s="3"/>
      <c r="LU547" s="3"/>
      <c r="LV547" s="3"/>
      <c r="LW547" s="3"/>
      <c r="LX547" s="3"/>
      <c r="LY547" s="3"/>
      <c r="LZ547" s="3"/>
      <c r="MA547" s="3"/>
      <c r="MB547" s="3"/>
      <c r="MC547" s="3"/>
      <c r="MD547" s="3"/>
      <c r="ME547" s="3"/>
      <c r="MF547" s="3"/>
      <c r="MG547" s="3"/>
      <c r="MH547" s="3"/>
      <c r="MI547" s="3"/>
    </row>
    <row r="548" spans="1:347"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ID548" s="3"/>
      <c r="IE548" s="3"/>
      <c r="IF548" s="3"/>
      <c r="IG548" s="3"/>
      <c r="IH548" s="3"/>
      <c r="II548" s="3"/>
      <c r="IJ548" s="3"/>
      <c r="IK548" s="3"/>
      <c r="IL548" s="3"/>
      <c r="IM548" s="3"/>
      <c r="IN548" s="3"/>
      <c r="IO548" s="3"/>
      <c r="IP548" s="3"/>
      <c r="IQ548" s="3"/>
      <c r="IR548" s="3"/>
      <c r="IS548" s="3"/>
      <c r="IT548" s="3"/>
      <c r="IU548" s="3"/>
      <c r="IV548" s="3"/>
      <c r="IW548" s="3"/>
      <c r="IX548" s="3"/>
      <c r="IY548" s="3"/>
      <c r="IZ548" s="3"/>
      <c r="JA548" s="3"/>
      <c r="JB548" s="3"/>
      <c r="JC548" s="3"/>
      <c r="JD548" s="3"/>
      <c r="JE548" s="3"/>
      <c r="JF548" s="3"/>
      <c r="JG548" s="3"/>
      <c r="JH548" s="3"/>
      <c r="JI548" s="3"/>
      <c r="JJ548" s="3"/>
      <c r="JK548" s="3"/>
      <c r="JL548" s="3"/>
      <c r="JM548" s="3"/>
      <c r="JN548" s="3"/>
      <c r="JO548" s="3"/>
      <c r="JP548" s="3"/>
      <c r="JQ548" s="3"/>
      <c r="JR548" s="3"/>
      <c r="JS548" s="3"/>
      <c r="JT548" s="3"/>
      <c r="JU548" s="3"/>
      <c r="JV548" s="3"/>
      <c r="JW548" s="3"/>
      <c r="JX548" s="3"/>
      <c r="JY548" s="3"/>
      <c r="JZ548" s="3"/>
      <c r="KA548" s="3"/>
      <c r="KB548" s="3"/>
      <c r="KC548" s="3"/>
      <c r="KD548" s="3"/>
      <c r="KE548" s="3"/>
      <c r="KF548" s="3"/>
      <c r="KG548" s="3"/>
      <c r="KH548" s="3"/>
      <c r="KI548" s="3"/>
      <c r="KJ548" s="3"/>
      <c r="KK548" s="3"/>
      <c r="KL548" s="3"/>
      <c r="KM548" s="3"/>
      <c r="KN548" s="3"/>
      <c r="KO548" s="3"/>
      <c r="KP548" s="3"/>
      <c r="KQ548" s="3"/>
      <c r="KR548" s="3"/>
      <c r="KS548" s="3"/>
      <c r="KT548" s="3"/>
      <c r="KU548" s="3"/>
      <c r="KV548" s="3"/>
      <c r="KW548" s="3"/>
      <c r="KX548" s="3"/>
      <c r="KY548" s="3"/>
      <c r="KZ548" s="3"/>
      <c r="LA548" s="3"/>
      <c r="LB548" s="3"/>
      <c r="LC548" s="3"/>
      <c r="LD548" s="3"/>
      <c r="LE548" s="3"/>
      <c r="LF548" s="3"/>
      <c r="LG548" s="3"/>
      <c r="LH548" s="3"/>
      <c r="LI548" s="3"/>
      <c r="LJ548" s="3"/>
      <c r="LK548" s="3"/>
      <c r="LL548" s="3"/>
      <c r="LM548" s="3"/>
      <c r="LN548" s="3"/>
      <c r="LO548" s="3"/>
      <c r="LP548" s="3"/>
      <c r="LQ548" s="3"/>
      <c r="LR548" s="3"/>
      <c r="LS548" s="3"/>
      <c r="LT548" s="3"/>
      <c r="LU548" s="3"/>
      <c r="LV548" s="3"/>
      <c r="LW548" s="3"/>
      <c r="LX548" s="3"/>
      <c r="LY548" s="3"/>
      <c r="LZ548" s="3"/>
      <c r="MA548" s="3"/>
      <c r="MB548" s="3"/>
      <c r="MC548" s="3"/>
      <c r="MD548" s="3"/>
      <c r="ME548" s="3"/>
      <c r="MF548" s="3"/>
      <c r="MG548" s="3"/>
      <c r="MH548" s="3"/>
      <c r="MI548" s="3"/>
    </row>
    <row r="549" spans="1:347"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ID549" s="3"/>
      <c r="IE549" s="3"/>
      <c r="IF549" s="3"/>
      <c r="IG549" s="3"/>
      <c r="IH549" s="3"/>
      <c r="II549" s="3"/>
      <c r="IJ549" s="3"/>
      <c r="IK549" s="3"/>
      <c r="IL549" s="3"/>
      <c r="IM549" s="3"/>
      <c r="IN549" s="3"/>
      <c r="IO549" s="3"/>
      <c r="IP549" s="3"/>
      <c r="IQ549" s="3"/>
      <c r="IR549" s="3"/>
      <c r="IS549" s="3"/>
      <c r="IT549" s="3"/>
      <c r="IU549" s="3"/>
      <c r="IV549" s="3"/>
      <c r="IW549" s="3"/>
      <c r="IX549" s="3"/>
      <c r="IY549" s="3"/>
      <c r="IZ549" s="3"/>
      <c r="JA549" s="3"/>
      <c r="JB549" s="3"/>
      <c r="JC549" s="3"/>
      <c r="JD549" s="3"/>
      <c r="JE549" s="3"/>
      <c r="JF549" s="3"/>
      <c r="JG549" s="3"/>
      <c r="JH549" s="3"/>
      <c r="JI549" s="3"/>
      <c r="JJ549" s="3"/>
      <c r="JK549" s="3"/>
      <c r="JL549" s="3"/>
      <c r="JM549" s="3"/>
      <c r="JN549" s="3"/>
      <c r="JO549" s="3"/>
      <c r="JP549" s="3"/>
      <c r="JQ549" s="3"/>
      <c r="JR549" s="3"/>
      <c r="JS549" s="3"/>
      <c r="JT549" s="3"/>
      <c r="JU549" s="3"/>
      <c r="JV549" s="3"/>
      <c r="JW549" s="3"/>
      <c r="JX549" s="3"/>
      <c r="JY549" s="3"/>
      <c r="JZ549" s="3"/>
      <c r="KA549" s="3"/>
      <c r="KB549" s="3"/>
      <c r="KC549" s="3"/>
      <c r="KD549" s="3"/>
      <c r="KE549" s="3"/>
      <c r="KF549" s="3"/>
      <c r="KG549" s="3"/>
      <c r="KH549" s="3"/>
      <c r="KI549" s="3"/>
      <c r="KJ549" s="3"/>
      <c r="KK549" s="3"/>
      <c r="KL549" s="3"/>
      <c r="KM549" s="3"/>
      <c r="KN549" s="3"/>
      <c r="KO549" s="3"/>
      <c r="KP549" s="3"/>
      <c r="KQ549" s="3"/>
      <c r="KR549" s="3"/>
      <c r="KS549" s="3"/>
      <c r="KT549" s="3"/>
      <c r="KU549" s="3"/>
      <c r="KV549" s="3"/>
      <c r="KW549" s="3"/>
      <c r="KX549" s="3"/>
      <c r="KY549" s="3"/>
      <c r="KZ549" s="3"/>
      <c r="LA549" s="3"/>
      <c r="LB549" s="3"/>
      <c r="LC549" s="3"/>
      <c r="LD549" s="3"/>
      <c r="LE549" s="3"/>
      <c r="LF549" s="3"/>
      <c r="LG549" s="3"/>
      <c r="LH549" s="3"/>
      <c r="LI549" s="3"/>
      <c r="LJ549" s="3"/>
      <c r="LK549" s="3"/>
      <c r="LL549" s="3"/>
      <c r="LM549" s="3"/>
      <c r="LN549" s="3"/>
      <c r="LO549" s="3"/>
      <c r="LP549" s="3"/>
      <c r="LQ549" s="3"/>
      <c r="LR549" s="3"/>
      <c r="LS549" s="3"/>
      <c r="LT549" s="3"/>
      <c r="LU549" s="3"/>
      <c r="LV549" s="3"/>
      <c r="LW549" s="3"/>
      <c r="LX549" s="3"/>
      <c r="LY549" s="3"/>
      <c r="LZ549" s="3"/>
      <c r="MA549" s="3"/>
      <c r="MB549" s="3"/>
      <c r="MC549" s="3"/>
      <c r="MD549" s="3"/>
      <c r="ME549" s="3"/>
      <c r="MF549" s="3"/>
      <c r="MG549" s="3"/>
      <c r="MH549" s="3"/>
      <c r="MI549" s="3"/>
    </row>
    <row r="550" spans="1:347"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ID550" s="3"/>
      <c r="IE550" s="3"/>
      <c r="IF550" s="3"/>
      <c r="IG550" s="3"/>
      <c r="IH550" s="3"/>
      <c r="II550" s="3"/>
      <c r="IJ550" s="3"/>
      <c r="IK550" s="3"/>
      <c r="IL550" s="3"/>
      <c r="IM550" s="3"/>
      <c r="IN550" s="3"/>
      <c r="IO550" s="3"/>
      <c r="IP550" s="3"/>
      <c r="IQ550" s="3"/>
      <c r="IR550" s="3"/>
      <c r="IS550" s="3"/>
      <c r="IT550" s="3"/>
      <c r="IU550" s="3"/>
      <c r="IV550" s="3"/>
      <c r="IW550" s="3"/>
      <c r="IX550" s="3"/>
      <c r="IY550" s="3"/>
      <c r="IZ550" s="3"/>
      <c r="JA550" s="3"/>
      <c r="JB550" s="3"/>
      <c r="JC550" s="3"/>
      <c r="JD550" s="3"/>
      <c r="JE550" s="3"/>
      <c r="JF550" s="3"/>
      <c r="JG550" s="3"/>
      <c r="JH550" s="3"/>
      <c r="JI550" s="3"/>
      <c r="JJ550" s="3"/>
      <c r="JK550" s="3"/>
      <c r="JL550" s="3"/>
      <c r="JM550" s="3"/>
      <c r="JN550" s="3"/>
      <c r="JO550" s="3"/>
      <c r="JP550" s="3"/>
      <c r="JQ550" s="3"/>
      <c r="JR550" s="3"/>
      <c r="JS550" s="3"/>
      <c r="JT550" s="3"/>
      <c r="JU550" s="3"/>
      <c r="JV550" s="3"/>
      <c r="JW550" s="3"/>
      <c r="JX550" s="3"/>
      <c r="JY550" s="3"/>
      <c r="JZ550" s="3"/>
      <c r="KA550" s="3"/>
      <c r="KB550" s="3"/>
      <c r="KC550" s="3"/>
      <c r="KD550" s="3"/>
      <c r="KE550" s="3"/>
      <c r="KF550" s="3"/>
      <c r="KG550" s="3"/>
      <c r="KH550" s="3"/>
      <c r="KI550" s="3"/>
      <c r="KJ550" s="3"/>
      <c r="KK550" s="3"/>
      <c r="KL550" s="3"/>
      <c r="KM550" s="3"/>
      <c r="KN550" s="3"/>
      <c r="KO550" s="3"/>
      <c r="KP550" s="3"/>
      <c r="KQ550" s="3"/>
      <c r="KR550" s="3"/>
      <c r="KS550" s="3"/>
      <c r="KT550" s="3"/>
      <c r="KU550" s="3"/>
      <c r="KV550" s="3"/>
      <c r="KW550" s="3"/>
      <c r="KX550" s="3"/>
      <c r="KY550" s="3"/>
      <c r="KZ550" s="3"/>
      <c r="LA550" s="3"/>
      <c r="LB550" s="3"/>
      <c r="LC550" s="3"/>
      <c r="LD550" s="3"/>
      <c r="LE550" s="3"/>
      <c r="LF550" s="3"/>
      <c r="LG550" s="3"/>
      <c r="LH550" s="3"/>
      <c r="LI550" s="3"/>
      <c r="LJ550" s="3"/>
      <c r="LK550" s="3"/>
      <c r="LL550" s="3"/>
      <c r="LM550" s="3"/>
      <c r="LN550" s="3"/>
      <c r="LO550" s="3"/>
      <c r="LP550" s="3"/>
      <c r="LQ550" s="3"/>
      <c r="LR550" s="3"/>
      <c r="LS550" s="3"/>
      <c r="LT550" s="3"/>
      <c r="LU550" s="3"/>
      <c r="LV550" s="3"/>
      <c r="LW550" s="3"/>
      <c r="LX550" s="3"/>
      <c r="LY550" s="3"/>
      <c r="LZ550" s="3"/>
      <c r="MA550" s="3"/>
      <c r="MB550" s="3"/>
      <c r="MC550" s="3"/>
      <c r="MD550" s="3"/>
      <c r="ME550" s="3"/>
      <c r="MF550" s="3"/>
      <c r="MG550" s="3"/>
      <c r="MH550" s="3"/>
      <c r="MI550" s="3"/>
    </row>
    <row r="551" spans="1:347"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ID551" s="3"/>
      <c r="IE551" s="3"/>
      <c r="IF551" s="3"/>
      <c r="IG551" s="3"/>
      <c r="IH551" s="3"/>
      <c r="II551" s="3"/>
      <c r="IJ551" s="3"/>
      <c r="IK551" s="3"/>
      <c r="IL551" s="3"/>
      <c r="IM551" s="3"/>
      <c r="IN551" s="3"/>
      <c r="IO551" s="3"/>
      <c r="IP551" s="3"/>
      <c r="IQ551" s="3"/>
      <c r="IR551" s="3"/>
      <c r="IS551" s="3"/>
      <c r="IT551" s="3"/>
      <c r="IU551" s="3"/>
      <c r="IV551" s="3"/>
      <c r="IW551" s="3"/>
      <c r="IX551" s="3"/>
      <c r="IY551" s="3"/>
      <c r="IZ551" s="3"/>
      <c r="JA551" s="3"/>
      <c r="JB551" s="3"/>
      <c r="JC551" s="3"/>
      <c r="JD551" s="3"/>
      <c r="JE551" s="3"/>
      <c r="JF551" s="3"/>
      <c r="JG551" s="3"/>
      <c r="JH551" s="3"/>
      <c r="JI551" s="3"/>
      <c r="JJ551" s="3"/>
      <c r="JK551" s="3"/>
      <c r="JL551" s="3"/>
      <c r="JM551" s="3"/>
      <c r="JN551" s="3"/>
      <c r="JO551" s="3"/>
      <c r="JP551" s="3"/>
      <c r="JQ551" s="3"/>
      <c r="JR551" s="3"/>
      <c r="JS551" s="3"/>
      <c r="JT551" s="3"/>
      <c r="JU551" s="3"/>
      <c r="JV551" s="3"/>
      <c r="JW551" s="3"/>
      <c r="JX551" s="3"/>
      <c r="JY551" s="3"/>
      <c r="JZ551" s="3"/>
      <c r="KA551" s="3"/>
      <c r="KB551" s="3"/>
      <c r="KC551" s="3"/>
      <c r="KD551" s="3"/>
      <c r="KE551" s="3"/>
      <c r="KF551" s="3"/>
      <c r="KG551" s="3"/>
      <c r="KH551" s="3"/>
      <c r="KI551" s="3"/>
      <c r="KJ551" s="3"/>
      <c r="KK551" s="3"/>
      <c r="KL551" s="3"/>
      <c r="KM551" s="3"/>
      <c r="KN551" s="3"/>
      <c r="KO551" s="3"/>
      <c r="KP551" s="3"/>
      <c r="KQ551" s="3"/>
      <c r="KR551" s="3"/>
      <c r="KS551" s="3"/>
      <c r="KT551" s="3"/>
      <c r="KU551" s="3"/>
      <c r="KV551" s="3"/>
      <c r="KW551" s="3"/>
      <c r="KX551" s="3"/>
      <c r="KY551" s="3"/>
      <c r="KZ551" s="3"/>
      <c r="LA551" s="3"/>
      <c r="LB551" s="3"/>
      <c r="LC551" s="3"/>
      <c r="LD551" s="3"/>
      <c r="LE551" s="3"/>
      <c r="LF551" s="3"/>
      <c r="LG551" s="3"/>
      <c r="LH551" s="3"/>
      <c r="LI551" s="3"/>
      <c r="LJ551" s="3"/>
      <c r="LK551" s="3"/>
      <c r="LL551" s="3"/>
      <c r="LM551" s="3"/>
      <c r="LN551" s="3"/>
      <c r="LO551" s="3"/>
      <c r="LP551" s="3"/>
      <c r="LQ551" s="3"/>
      <c r="LR551" s="3"/>
      <c r="LS551" s="3"/>
      <c r="LT551" s="3"/>
      <c r="LU551" s="3"/>
      <c r="LV551" s="3"/>
      <c r="LW551" s="3"/>
      <c r="LX551" s="3"/>
      <c r="LY551" s="3"/>
      <c r="LZ551" s="3"/>
      <c r="MA551" s="3"/>
      <c r="MB551" s="3"/>
      <c r="MC551" s="3"/>
      <c r="MD551" s="3"/>
      <c r="ME551" s="3"/>
      <c r="MF551" s="3"/>
      <c r="MG551" s="3"/>
      <c r="MH551" s="3"/>
      <c r="MI551" s="3"/>
    </row>
    <row r="552" spans="1:347"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ID552" s="3"/>
      <c r="IE552" s="3"/>
      <c r="IF552" s="3"/>
      <c r="IG552" s="3"/>
      <c r="IH552" s="3"/>
      <c r="II552" s="3"/>
      <c r="IJ552" s="3"/>
      <c r="IK552" s="3"/>
      <c r="IL552" s="3"/>
      <c r="IM552" s="3"/>
      <c r="IN552" s="3"/>
      <c r="IO552" s="3"/>
      <c r="IP552" s="3"/>
      <c r="IQ552" s="3"/>
      <c r="IR552" s="3"/>
      <c r="IS552" s="3"/>
      <c r="IT552" s="3"/>
      <c r="IU552" s="3"/>
      <c r="IV552" s="3"/>
      <c r="IW552" s="3"/>
      <c r="IX552" s="3"/>
      <c r="IY552" s="3"/>
      <c r="IZ552" s="3"/>
      <c r="JA552" s="3"/>
      <c r="JB552" s="3"/>
      <c r="JC552" s="3"/>
      <c r="JD552" s="3"/>
      <c r="JE552" s="3"/>
      <c r="JF552" s="3"/>
      <c r="JG552" s="3"/>
      <c r="JH552" s="3"/>
      <c r="JI552" s="3"/>
      <c r="JJ552" s="3"/>
      <c r="JK552" s="3"/>
      <c r="JL552" s="3"/>
      <c r="JM552" s="3"/>
      <c r="JN552" s="3"/>
      <c r="JO552" s="3"/>
      <c r="JP552" s="3"/>
      <c r="JQ552" s="3"/>
      <c r="JR552" s="3"/>
      <c r="JS552" s="3"/>
      <c r="JT552" s="3"/>
      <c r="JU552" s="3"/>
      <c r="JV552" s="3"/>
      <c r="JW552" s="3"/>
      <c r="JX552" s="3"/>
      <c r="JY552" s="3"/>
      <c r="JZ552" s="3"/>
      <c r="KA552" s="3"/>
      <c r="KB552" s="3"/>
      <c r="KC552" s="3"/>
      <c r="KD552" s="3"/>
      <c r="KE552" s="3"/>
      <c r="KF552" s="3"/>
      <c r="KG552" s="3"/>
      <c r="KH552" s="3"/>
      <c r="KI552" s="3"/>
      <c r="KJ552" s="3"/>
      <c r="KK552" s="3"/>
      <c r="KL552" s="3"/>
      <c r="KM552" s="3"/>
      <c r="KN552" s="3"/>
      <c r="KO552" s="3"/>
      <c r="KP552" s="3"/>
      <c r="KQ552" s="3"/>
      <c r="KR552" s="3"/>
      <c r="KS552" s="3"/>
      <c r="KT552" s="3"/>
      <c r="KU552" s="3"/>
      <c r="KV552" s="3"/>
      <c r="KW552" s="3"/>
      <c r="KX552" s="3"/>
      <c r="KY552" s="3"/>
      <c r="KZ552" s="3"/>
      <c r="LA552" s="3"/>
      <c r="LB552" s="3"/>
      <c r="LC552" s="3"/>
      <c r="LD552" s="3"/>
      <c r="LE552" s="3"/>
      <c r="LF552" s="3"/>
      <c r="LG552" s="3"/>
      <c r="LH552" s="3"/>
      <c r="LI552" s="3"/>
      <c r="LJ552" s="3"/>
      <c r="LK552" s="3"/>
      <c r="LL552" s="3"/>
      <c r="LM552" s="3"/>
      <c r="LN552" s="3"/>
      <c r="LO552" s="3"/>
      <c r="LP552" s="3"/>
      <c r="LQ552" s="3"/>
      <c r="LR552" s="3"/>
      <c r="LS552" s="3"/>
      <c r="LT552" s="3"/>
      <c r="LU552" s="3"/>
      <c r="LV552" s="3"/>
      <c r="LW552" s="3"/>
      <c r="LX552" s="3"/>
      <c r="LY552" s="3"/>
      <c r="LZ552" s="3"/>
      <c r="MA552" s="3"/>
      <c r="MB552" s="3"/>
      <c r="MC552" s="3"/>
      <c r="MD552" s="3"/>
      <c r="ME552" s="3"/>
      <c r="MF552" s="3"/>
      <c r="MG552" s="3"/>
      <c r="MH552" s="3"/>
      <c r="MI552" s="3"/>
    </row>
    <row r="553" spans="1:347"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ID553" s="3"/>
      <c r="IE553" s="3"/>
      <c r="IF553" s="3"/>
      <c r="IG553" s="3"/>
      <c r="IH553" s="3"/>
      <c r="II553" s="3"/>
      <c r="IJ553" s="3"/>
      <c r="IK553" s="3"/>
      <c r="IL553" s="3"/>
      <c r="IM553" s="3"/>
      <c r="IN553" s="3"/>
      <c r="IO553" s="3"/>
      <c r="IP553" s="3"/>
      <c r="IQ553" s="3"/>
      <c r="IR553" s="3"/>
      <c r="IS553" s="3"/>
      <c r="IT553" s="3"/>
      <c r="IU553" s="3"/>
      <c r="IV553" s="3"/>
      <c r="IW553" s="3"/>
      <c r="IX553" s="3"/>
      <c r="IY553" s="3"/>
      <c r="IZ553" s="3"/>
      <c r="JA553" s="3"/>
      <c r="JB553" s="3"/>
      <c r="JC553" s="3"/>
      <c r="JD553" s="3"/>
      <c r="JE553" s="3"/>
      <c r="JF553" s="3"/>
      <c r="JG553" s="3"/>
      <c r="JH553" s="3"/>
      <c r="JI553" s="3"/>
      <c r="JJ553" s="3"/>
      <c r="JK553" s="3"/>
      <c r="JL553" s="3"/>
      <c r="JM553" s="3"/>
      <c r="JN553" s="3"/>
      <c r="JO553" s="3"/>
      <c r="JP553" s="3"/>
      <c r="JQ553" s="3"/>
      <c r="JR553" s="3"/>
      <c r="JS553" s="3"/>
      <c r="JT553" s="3"/>
      <c r="JU553" s="3"/>
      <c r="JV553" s="3"/>
      <c r="JW553" s="3"/>
      <c r="JX553" s="3"/>
      <c r="JY553" s="3"/>
      <c r="JZ553" s="3"/>
      <c r="KA553" s="3"/>
      <c r="KB553" s="3"/>
      <c r="KC553" s="3"/>
      <c r="KD553" s="3"/>
      <c r="KE553" s="3"/>
      <c r="KF553" s="3"/>
      <c r="KG553" s="3"/>
      <c r="KH553" s="3"/>
      <c r="KI553" s="3"/>
      <c r="KJ553" s="3"/>
      <c r="KK553" s="3"/>
      <c r="KL553" s="3"/>
      <c r="KM553" s="3"/>
      <c r="KN553" s="3"/>
      <c r="KO553" s="3"/>
      <c r="KP553" s="3"/>
      <c r="KQ553" s="3"/>
      <c r="KR553" s="3"/>
      <c r="KS553" s="3"/>
      <c r="KT553" s="3"/>
      <c r="KU553" s="3"/>
      <c r="KV553" s="3"/>
      <c r="KW553" s="3"/>
      <c r="KX553" s="3"/>
      <c r="KY553" s="3"/>
      <c r="KZ553" s="3"/>
      <c r="LA553" s="3"/>
      <c r="LB553" s="3"/>
      <c r="LC553" s="3"/>
      <c r="LD553" s="3"/>
      <c r="LE553" s="3"/>
      <c r="LF553" s="3"/>
      <c r="LG553" s="3"/>
      <c r="LH553" s="3"/>
      <c r="LI553" s="3"/>
      <c r="LJ553" s="3"/>
      <c r="LK553" s="3"/>
      <c r="LL553" s="3"/>
      <c r="LM553" s="3"/>
      <c r="LN553" s="3"/>
      <c r="LO553" s="3"/>
      <c r="LP553" s="3"/>
      <c r="LQ553" s="3"/>
      <c r="LR553" s="3"/>
      <c r="LS553" s="3"/>
      <c r="LT553" s="3"/>
      <c r="LU553" s="3"/>
      <c r="LV553" s="3"/>
      <c r="LW553" s="3"/>
      <c r="LX553" s="3"/>
      <c r="LY553" s="3"/>
      <c r="LZ553" s="3"/>
      <c r="MA553" s="3"/>
      <c r="MB553" s="3"/>
      <c r="MC553" s="3"/>
      <c r="MD553" s="3"/>
      <c r="ME553" s="3"/>
      <c r="MF553" s="3"/>
      <c r="MG553" s="3"/>
      <c r="MH553" s="3"/>
      <c r="MI553" s="3"/>
    </row>
    <row r="554" spans="1:347"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ID554" s="3"/>
      <c r="IE554" s="3"/>
      <c r="IF554" s="3"/>
      <c r="IG554" s="3"/>
      <c r="IH554" s="3"/>
      <c r="II554" s="3"/>
      <c r="IJ554" s="3"/>
      <c r="IK554" s="3"/>
      <c r="IL554" s="3"/>
      <c r="IM554" s="3"/>
      <c r="IN554" s="3"/>
      <c r="IO554" s="3"/>
      <c r="IP554" s="3"/>
      <c r="IQ554" s="3"/>
      <c r="IR554" s="3"/>
      <c r="IS554" s="3"/>
      <c r="IT554" s="3"/>
      <c r="IU554" s="3"/>
      <c r="IV554" s="3"/>
      <c r="IW554" s="3"/>
      <c r="IX554" s="3"/>
      <c r="IY554" s="3"/>
      <c r="IZ554" s="3"/>
      <c r="JA554" s="3"/>
      <c r="JB554" s="3"/>
      <c r="JC554" s="3"/>
      <c r="JD554" s="3"/>
      <c r="JE554" s="3"/>
      <c r="JF554" s="3"/>
      <c r="JG554" s="3"/>
      <c r="JH554" s="3"/>
      <c r="JI554" s="3"/>
      <c r="JJ554" s="3"/>
      <c r="JK554" s="3"/>
      <c r="JL554" s="3"/>
      <c r="JM554" s="3"/>
      <c r="JN554" s="3"/>
      <c r="JO554" s="3"/>
      <c r="JP554" s="3"/>
      <c r="JQ554" s="3"/>
      <c r="JR554" s="3"/>
      <c r="JS554" s="3"/>
      <c r="JT554" s="3"/>
      <c r="JU554" s="3"/>
      <c r="JV554" s="3"/>
      <c r="JW554" s="3"/>
      <c r="JX554" s="3"/>
      <c r="JY554" s="3"/>
      <c r="JZ554" s="3"/>
      <c r="KA554" s="3"/>
      <c r="KB554" s="3"/>
      <c r="KC554" s="3"/>
      <c r="KD554" s="3"/>
      <c r="KE554" s="3"/>
      <c r="KF554" s="3"/>
      <c r="KG554" s="3"/>
      <c r="KH554" s="3"/>
      <c r="KI554" s="3"/>
      <c r="KJ554" s="3"/>
      <c r="KK554" s="3"/>
      <c r="KL554" s="3"/>
      <c r="KM554" s="3"/>
      <c r="KN554" s="3"/>
      <c r="KO554" s="3"/>
      <c r="KP554" s="3"/>
      <c r="KQ554" s="3"/>
      <c r="KR554" s="3"/>
      <c r="KS554" s="3"/>
      <c r="KT554" s="3"/>
      <c r="KU554" s="3"/>
      <c r="KV554" s="3"/>
      <c r="KW554" s="3"/>
      <c r="KX554" s="3"/>
      <c r="KY554" s="3"/>
      <c r="KZ554" s="3"/>
      <c r="LA554" s="3"/>
      <c r="LB554" s="3"/>
      <c r="LC554" s="3"/>
      <c r="LD554" s="3"/>
      <c r="LE554" s="3"/>
      <c r="LF554" s="3"/>
      <c r="LG554" s="3"/>
      <c r="LH554" s="3"/>
      <c r="LI554" s="3"/>
      <c r="LJ554" s="3"/>
      <c r="LK554" s="3"/>
      <c r="LL554" s="3"/>
      <c r="LM554" s="3"/>
      <c r="LN554" s="3"/>
      <c r="LO554" s="3"/>
      <c r="LP554" s="3"/>
      <c r="LQ554" s="3"/>
      <c r="LR554" s="3"/>
      <c r="LS554" s="3"/>
      <c r="LT554" s="3"/>
      <c r="LU554" s="3"/>
      <c r="LV554" s="3"/>
      <c r="LW554" s="3"/>
      <c r="LX554" s="3"/>
      <c r="LY554" s="3"/>
      <c r="LZ554" s="3"/>
      <c r="MA554" s="3"/>
      <c r="MB554" s="3"/>
      <c r="MC554" s="3"/>
      <c r="MD554" s="3"/>
      <c r="ME554" s="3"/>
      <c r="MF554" s="3"/>
      <c r="MG554" s="3"/>
      <c r="MH554" s="3"/>
      <c r="MI554" s="3"/>
    </row>
    <row r="555" spans="1:347"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ID555" s="3"/>
      <c r="IE555" s="3"/>
      <c r="IF555" s="3"/>
      <c r="IG555" s="3"/>
      <c r="IH555" s="3"/>
      <c r="II555" s="3"/>
      <c r="IJ555" s="3"/>
      <c r="IK555" s="3"/>
      <c r="IL555" s="3"/>
      <c r="IM555" s="3"/>
      <c r="IN555" s="3"/>
      <c r="IO555" s="3"/>
      <c r="IP555" s="3"/>
      <c r="IQ555" s="3"/>
      <c r="IR555" s="3"/>
      <c r="IS555" s="3"/>
      <c r="IT555" s="3"/>
      <c r="IU555" s="3"/>
      <c r="IV555" s="3"/>
      <c r="IW555" s="3"/>
      <c r="IX555" s="3"/>
      <c r="IY555" s="3"/>
      <c r="IZ555" s="3"/>
      <c r="JA555" s="3"/>
      <c r="JB555" s="3"/>
      <c r="JC555" s="3"/>
      <c r="JD555" s="3"/>
      <c r="JE555" s="3"/>
      <c r="JF555" s="3"/>
      <c r="JG555" s="3"/>
      <c r="JH555" s="3"/>
      <c r="JI555" s="3"/>
      <c r="JJ555" s="3"/>
      <c r="JK555" s="3"/>
      <c r="JL555" s="3"/>
      <c r="JM555" s="3"/>
      <c r="JN555" s="3"/>
      <c r="JO555" s="3"/>
      <c r="JP555" s="3"/>
      <c r="JQ555" s="3"/>
      <c r="JR555" s="3"/>
      <c r="JS555" s="3"/>
      <c r="JT555" s="3"/>
      <c r="JU555" s="3"/>
      <c r="JV555" s="3"/>
      <c r="JW555" s="3"/>
      <c r="JX555" s="3"/>
      <c r="JY555" s="3"/>
      <c r="JZ555" s="3"/>
      <c r="KA555" s="3"/>
      <c r="KB555" s="3"/>
      <c r="KC555" s="3"/>
      <c r="KD555" s="3"/>
      <c r="KE555" s="3"/>
      <c r="KF555" s="3"/>
      <c r="KG555" s="3"/>
      <c r="KH555" s="3"/>
      <c r="KI555" s="3"/>
      <c r="KJ555" s="3"/>
      <c r="KK555" s="3"/>
      <c r="KL555" s="3"/>
      <c r="KM555" s="3"/>
      <c r="KN555" s="3"/>
      <c r="KO555" s="3"/>
      <c r="KP555" s="3"/>
      <c r="KQ555" s="3"/>
      <c r="KR555" s="3"/>
      <c r="KS555" s="3"/>
      <c r="KT555" s="3"/>
      <c r="KU555" s="3"/>
      <c r="KV555" s="3"/>
      <c r="KW555" s="3"/>
      <c r="KX555" s="3"/>
      <c r="KY555" s="3"/>
      <c r="KZ555" s="3"/>
      <c r="LA555" s="3"/>
      <c r="LB555" s="3"/>
      <c r="LC555" s="3"/>
      <c r="LD555" s="3"/>
      <c r="LE555" s="3"/>
      <c r="LF555" s="3"/>
      <c r="LG555" s="3"/>
      <c r="LH555" s="3"/>
      <c r="LI555" s="3"/>
      <c r="LJ555" s="3"/>
      <c r="LK555" s="3"/>
      <c r="LL555" s="3"/>
      <c r="LM555" s="3"/>
      <c r="LN555" s="3"/>
      <c r="LO555" s="3"/>
      <c r="LP555" s="3"/>
      <c r="LQ555" s="3"/>
      <c r="LR555" s="3"/>
      <c r="LS555" s="3"/>
      <c r="LT555" s="3"/>
      <c r="LU555" s="3"/>
      <c r="LV555" s="3"/>
      <c r="LW555" s="3"/>
      <c r="LX555" s="3"/>
      <c r="LY555" s="3"/>
      <c r="LZ555" s="3"/>
      <c r="MA555" s="3"/>
      <c r="MB555" s="3"/>
      <c r="MC555" s="3"/>
      <c r="MD555" s="3"/>
      <c r="ME555" s="3"/>
      <c r="MF555" s="3"/>
      <c r="MG555" s="3"/>
      <c r="MH555" s="3"/>
      <c r="MI555" s="3"/>
    </row>
    <row r="556" spans="1:347"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ID556" s="3"/>
      <c r="IE556" s="3"/>
      <c r="IF556" s="3"/>
      <c r="IG556" s="3"/>
      <c r="IH556" s="3"/>
      <c r="II556" s="3"/>
      <c r="IJ556" s="3"/>
      <c r="IK556" s="3"/>
      <c r="IL556" s="3"/>
      <c r="IM556" s="3"/>
      <c r="IN556" s="3"/>
      <c r="IO556" s="3"/>
      <c r="IP556" s="3"/>
      <c r="IQ556" s="3"/>
      <c r="IR556" s="3"/>
      <c r="IS556" s="3"/>
      <c r="IT556" s="3"/>
      <c r="IU556" s="3"/>
      <c r="IV556" s="3"/>
      <c r="IW556" s="3"/>
      <c r="IX556" s="3"/>
      <c r="IY556" s="3"/>
      <c r="IZ556" s="3"/>
      <c r="JA556" s="3"/>
      <c r="JB556" s="3"/>
      <c r="JC556" s="3"/>
      <c r="JD556" s="3"/>
      <c r="JE556" s="3"/>
      <c r="JF556" s="3"/>
      <c r="JG556" s="3"/>
      <c r="JH556" s="3"/>
      <c r="JI556" s="3"/>
      <c r="JJ556" s="3"/>
      <c r="JK556" s="3"/>
      <c r="JL556" s="3"/>
      <c r="JM556" s="3"/>
      <c r="JN556" s="3"/>
      <c r="JO556" s="3"/>
      <c r="JP556" s="3"/>
      <c r="JQ556" s="3"/>
      <c r="JR556" s="3"/>
      <c r="JS556" s="3"/>
      <c r="JT556" s="3"/>
      <c r="JU556" s="3"/>
      <c r="JV556" s="3"/>
      <c r="JW556" s="3"/>
      <c r="JX556" s="3"/>
      <c r="JY556" s="3"/>
      <c r="JZ556" s="3"/>
      <c r="KA556" s="3"/>
      <c r="KB556" s="3"/>
      <c r="KC556" s="3"/>
      <c r="KD556" s="3"/>
      <c r="KE556" s="3"/>
      <c r="KF556" s="3"/>
      <c r="KG556" s="3"/>
      <c r="KH556" s="3"/>
      <c r="KI556" s="3"/>
      <c r="KJ556" s="3"/>
      <c r="KK556" s="3"/>
      <c r="KL556" s="3"/>
      <c r="KM556" s="3"/>
      <c r="KN556" s="3"/>
      <c r="KO556" s="3"/>
      <c r="KP556" s="3"/>
      <c r="KQ556" s="3"/>
      <c r="KR556" s="3"/>
      <c r="KS556" s="3"/>
      <c r="KT556" s="3"/>
      <c r="KU556" s="3"/>
      <c r="KV556" s="3"/>
      <c r="KW556" s="3"/>
      <c r="KX556" s="3"/>
      <c r="KY556" s="3"/>
      <c r="KZ556" s="3"/>
      <c r="LA556" s="3"/>
      <c r="LB556" s="3"/>
      <c r="LC556" s="3"/>
      <c r="LD556" s="3"/>
      <c r="LE556" s="3"/>
      <c r="LF556" s="3"/>
      <c r="LG556" s="3"/>
      <c r="LH556" s="3"/>
      <c r="LI556" s="3"/>
      <c r="LJ556" s="3"/>
      <c r="LK556" s="3"/>
      <c r="LL556" s="3"/>
      <c r="LM556" s="3"/>
      <c r="LN556" s="3"/>
      <c r="LO556" s="3"/>
      <c r="LP556" s="3"/>
      <c r="LQ556" s="3"/>
      <c r="LR556" s="3"/>
      <c r="LS556" s="3"/>
      <c r="LT556" s="3"/>
      <c r="LU556" s="3"/>
      <c r="LV556" s="3"/>
      <c r="LW556" s="3"/>
      <c r="LX556" s="3"/>
      <c r="LY556" s="3"/>
      <c r="LZ556" s="3"/>
      <c r="MA556" s="3"/>
      <c r="MB556" s="3"/>
      <c r="MC556" s="3"/>
      <c r="MD556" s="3"/>
      <c r="ME556" s="3"/>
      <c r="MF556" s="3"/>
      <c r="MG556" s="3"/>
      <c r="MH556" s="3"/>
      <c r="MI556" s="3"/>
    </row>
    <row r="557" spans="1:347"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ID557" s="3"/>
      <c r="IE557" s="3"/>
      <c r="IF557" s="3"/>
      <c r="IG557" s="3"/>
      <c r="IH557" s="3"/>
      <c r="II557" s="3"/>
      <c r="IJ557" s="3"/>
      <c r="IK557" s="3"/>
      <c r="IL557" s="3"/>
      <c r="IM557" s="3"/>
      <c r="IN557" s="3"/>
      <c r="IO557" s="3"/>
      <c r="IP557" s="3"/>
      <c r="IQ557" s="3"/>
      <c r="IR557" s="3"/>
      <c r="IS557" s="3"/>
      <c r="IT557" s="3"/>
      <c r="IU557" s="3"/>
      <c r="IV557" s="3"/>
      <c r="IW557" s="3"/>
      <c r="IX557" s="3"/>
      <c r="IY557" s="3"/>
      <c r="IZ557" s="3"/>
      <c r="JA557" s="3"/>
      <c r="JB557" s="3"/>
      <c r="JC557" s="3"/>
      <c r="JD557" s="3"/>
      <c r="JE557" s="3"/>
      <c r="JF557" s="3"/>
      <c r="JG557" s="3"/>
      <c r="JH557" s="3"/>
      <c r="JI557" s="3"/>
      <c r="JJ557" s="3"/>
      <c r="JK557" s="3"/>
      <c r="JL557" s="3"/>
      <c r="JM557" s="3"/>
      <c r="JN557" s="3"/>
      <c r="JO557" s="3"/>
      <c r="JP557" s="3"/>
      <c r="JQ557" s="3"/>
      <c r="JR557" s="3"/>
      <c r="JS557" s="3"/>
      <c r="JT557" s="3"/>
      <c r="JU557" s="3"/>
      <c r="JV557" s="3"/>
      <c r="JW557" s="3"/>
      <c r="JX557" s="3"/>
      <c r="JY557" s="3"/>
      <c r="JZ557" s="3"/>
      <c r="KA557" s="3"/>
      <c r="KB557" s="3"/>
      <c r="KC557" s="3"/>
      <c r="KD557" s="3"/>
      <c r="KE557" s="3"/>
      <c r="KF557" s="3"/>
      <c r="KG557" s="3"/>
      <c r="KH557" s="3"/>
      <c r="KI557" s="3"/>
      <c r="KJ557" s="3"/>
      <c r="KK557" s="3"/>
      <c r="KL557" s="3"/>
      <c r="KM557" s="3"/>
      <c r="KN557" s="3"/>
      <c r="KO557" s="3"/>
      <c r="KP557" s="3"/>
      <c r="KQ557" s="3"/>
      <c r="KR557" s="3"/>
      <c r="KS557" s="3"/>
      <c r="KT557" s="3"/>
      <c r="KU557" s="3"/>
      <c r="KV557" s="3"/>
      <c r="KW557" s="3"/>
      <c r="KX557" s="3"/>
      <c r="KY557" s="3"/>
      <c r="KZ557" s="3"/>
      <c r="LA557" s="3"/>
      <c r="LB557" s="3"/>
      <c r="LC557" s="3"/>
      <c r="LD557" s="3"/>
      <c r="LE557" s="3"/>
      <c r="LF557" s="3"/>
      <c r="LG557" s="3"/>
      <c r="LH557" s="3"/>
      <c r="LI557" s="3"/>
      <c r="LJ557" s="3"/>
      <c r="LK557" s="3"/>
      <c r="LL557" s="3"/>
      <c r="LM557" s="3"/>
      <c r="LN557" s="3"/>
      <c r="LO557" s="3"/>
      <c r="LP557" s="3"/>
      <c r="LQ557" s="3"/>
      <c r="LR557" s="3"/>
      <c r="LS557" s="3"/>
      <c r="LT557" s="3"/>
      <c r="LU557" s="3"/>
      <c r="LV557" s="3"/>
      <c r="LW557" s="3"/>
      <c r="LX557" s="3"/>
      <c r="LY557" s="3"/>
      <c r="LZ557" s="3"/>
      <c r="MA557" s="3"/>
      <c r="MB557" s="3"/>
      <c r="MC557" s="3"/>
      <c r="MD557" s="3"/>
      <c r="ME557" s="3"/>
      <c r="MF557" s="3"/>
      <c r="MG557" s="3"/>
      <c r="MH557" s="3"/>
      <c r="MI557" s="3"/>
    </row>
    <row r="558" spans="1:347"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ID558" s="3"/>
      <c r="IE558" s="3"/>
      <c r="IF558" s="3"/>
      <c r="IG558" s="3"/>
      <c r="IH558" s="3"/>
      <c r="II558" s="3"/>
      <c r="IJ558" s="3"/>
      <c r="IK558" s="3"/>
      <c r="IL558" s="3"/>
      <c r="IM558" s="3"/>
      <c r="IN558" s="3"/>
      <c r="IO558" s="3"/>
      <c r="IP558" s="3"/>
      <c r="IQ558" s="3"/>
      <c r="IR558" s="3"/>
      <c r="IS558" s="3"/>
      <c r="IT558" s="3"/>
      <c r="IU558" s="3"/>
      <c r="IV558" s="3"/>
      <c r="IW558" s="3"/>
      <c r="IX558" s="3"/>
      <c r="IY558" s="3"/>
      <c r="IZ558" s="3"/>
      <c r="JA558" s="3"/>
      <c r="JB558" s="3"/>
      <c r="JC558" s="3"/>
      <c r="JD558" s="3"/>
      <c r="JE558" s="3"/>
      <c r="JF558" s="3"/>
      <c r="JG558" s="3"/>
      <c r="JH558" s="3"/>
      <c r="JI558" s="3"/>
      <c r="JJ558" s="3"/>
      <c r="JK558" s="3"/>
      <c r="JL558" s="3"/>
      <c r="JM558" s="3"/>
      <c r="JN558" s="3"/>
      <c r="JO558" s="3"/>
      <c r="JP558" s="3"/>
      <c r="JQ558" s="3"/>
      <c r="JR558" s="3"/>
      <c r="JS558" s="3"/>
      <c r="JT558" s="3"/>
      <c r="JU558" s="3"/>
      <c r="JV558" s="3"/>
      <c r="JW558" s="3"/>
      <c r="JX558" s="3"/>
      <c r="JY558" s="3"/>
      <c r="JZ558" s="3"/>
      <c r="KA558" s="3"/>
      <c r="KB558" s="3"/>
      <c r="KC558" s="3"/>
      <c r="KD558" s="3"/>
      <c r="KE558" s="3"/>
      <c r="KF558" s="3"/>
      <c r="KG558" s="3"/>
      <c r="KH558" s="3"/>
      <c r="KI558" s="3"/>
      <c r="KJ558" s="3"/>
      <c r="KK558" s="3"/>
      <c r="KL558" s="3"/>
      <c r="KM558" s="3"/>
      <c r="KN558" s="3"/>
      <c r="KO558" s="3"/>
      <c r="KP558" s="3"/>
      <c r="KQ558" s="3"/>
      <c r="KR558" s="3"/>
      <c r="KS558" s="3"/>
      <c r="KT558" s="3"/>
      <c r="KU558" s="3"/>
      <c r="KV558" s="3"/>
      <c r="KW558" s="3"/>
      <c r="KX558" s="3"/>
      <c r="KY558" s="3"/>
      <c r="KZ558" s="3"/>
      <c r="LA558" s="3"/>
      <c r="LB558" s="3"/>
      <c r="LC558" s="3"/>
      <c r="LD558" s="3"/>
      <c r="LE558" s="3"/>
      <c r="LF558" s="3"/>
      <c r="LG558" s="3"/>
      <c r="LH558" s="3"/>
      <c r="LI558" s="3"/>
      <c r="LJ558" s="3"/>
      <c r="LK558" s="3"/>
      <c r="LL558" s="3"/>
      <c r="LM558" s="3"/>
      <c r="LN558" s="3"/>
      <c r="LO558" s="3"/>
      <c r="LP558" s="3"/>
      <c r="LQ558" s="3"/>
      <c r="LR558" s="3"/>
      <c r="LS558" s="3"/>
      <c r="LT558" s="3"/>
      <c r="LU558" s="3"/>
      <c r="LV558" s="3"/>
      <c r="LW558" s="3"/>
      <c r="LX558" s="3"/>
      <c r="LY558" s="3"/>
      <c r="LZ558" s="3"/>
      <c r="MA558" s="3"/>
      <c r="MB558" s="3"/>
      <c r="MC558" s="3"/>
      <c r="MD558" s="3"/>
      <c r="ME558" s="3"/>
      <c r="MF558" s="3"/>
      <c r="MG558" s="3"/>
      <c r="MH558" s="3"/>
      <c r="MI558" s="3"/>
    </row>
    <row r="559" spans="1:347"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ID559" s="3"/>
      <c r="IE559" s="3"/>
      <c r="IF559" s="3"/>
      <c r="IG559" s="3"/>
      <c r="IH559" s="3"/>
      <c r="II559" s="3"/>
      <c r="IJ559" s="3"/>
      <c r="IK559" s="3"/>
      <c r="IL559" s="3"/>
      <c r="IM559" s="3"/>
      <c r="IN559" s="3"/>
      <c r="IO559" s="3"/>
      <c r="IP559" s="3"/>
      <c r="IQ559" s="3"/>
      <c r="IR559" s="3"/>
      <c r="IS559" s="3"/>
      <c r="IT559" s="3"/>
      <c r="IU559" s="3"/>
      <c r="IV559" s="3"/>
      <c r="IW559" s="3"/>
      <c r="IX559" s="3"/>
      <c r="IY559" s="3"/>
      <c r="IZ559" s="3"/>
      <c r="JA559" s="3"/>
      <c r="JB559" s="3"/>
      <c r="JC559" s="3"/>
      <c r="JD559" s="3"/>
      <c r="JE559" s="3"/>
      <c r="JF559" s="3"/>
      <c r="JG559" s="3"/>
      <c r="JH559" s="3"/>
      <c r="JI559" s="3"/>
      <c r="JJ559" s="3"/>
      <c r="JK559" s="3"/>
      <c r="JL559" s="3"/>
      <c r="JM559" s="3"/>
      <c r="JN559" s="3"/>
      <c r="JO559" s="3"/>
      <c r="JP559" s="3"/>
      <c r="JQ559" s="3"/>
      <c r="JR559" s="3"/>
      <c r="JS559" s="3"/>
      <c r="JT559" s="3"/>
      <c r="JU559" s="3"/>
      <c r="JV559" s="3"/>
      <c r="JW559" s="3"/>
      <c r="JX559" s="3"/>
      <c r="JY559" s="3"/>
      <c r="JZ559" s="3"/>
      <c r="KA559" s="3"/>
      <c r="KB559" s="3"/>
      <c r="KC559" s="3"/>
      <c r="KD559" s="3"/>
      <c r="KE559" s="3"/>
      <c r="KF559" s="3"/>
      <c r="KG559" s="3"/>
      <c r="KH559" s="3"/>
      <c r="KI559" s="3"/>
      <c r="KJ559" s="3"/>
      <c r="KK559" s="3"/>
      <c r="KL559" s="3"/>
      <c r="KM559" s="3"/>
      <c r="KN559" s="3"/>
      <c r="KO559" s="3"/>
      <c r="KP559" s="3"/>
      <c r="KQ559" s="3"/>
      <c r="KR559" s="3"/>
      <c r="KS559" s="3"/>
      <c r="KT559" s="3"/>
      <c r="KU559" s="3"/>
      <c r="KV559" s="3"/>
      <c r="KW559" s="3"/>
      <c r="KX559" s="3"/>
      <c r="KY559" s="3"/>
      <c r="KZ559" s="3"/>
      <c r="LA559" s="3"/>
      <c r="LB559" s="3"/>
      <c r="LC559" s="3"/>
      <c r="LD559" s="3"/>
      <c r="LE559" s="3"/>
      <c r="LF559" s="3"/>
      <c r="LG559" s="3"/>
      <c r="LH559" s="3"/>
      <c r="LI559" s="3"/>
      <c r="LJ559" s="3"/>
      <c r="LK559" s="3"/>
      <c r="LL559" s="3"/>
      <c r="LM559" s="3"/>
      <c r="LN559" s="3"/>
      <c r="LO559" s="3"/>
      <c r="LP559" s="3"/>
      <c r="LQ559" s="3"/>
      <c r="LR559" s="3"/>
      <c r="LS559" s="3"/>
      <c r="LT559" s="3"/>
      <c r="LU559" s="3"/>
      <c r="LV559" s="3"/>
      <c r="LW559" s="3"/>
      <c r="LX559" s="3"/>
      <c r="LY559" s="3"/>
      <c r="LZ559" s="3"/>
      <c r="MA559" s="3"/>
      <c r="MB559" s="3"/>
      <c r="MC559" s="3"/>
      <c r="MD559" s="3"/>
      <c r="ME559" s="3"/>
      <c r="MF559" s="3"/>
      <c r="MG559" s="3"/>
      <c r="MH559" s="3"/>
      <c r="MI559" s="3"/>
    </row>
    <row r="560" spans="1:347"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ID560" s="3"/>
      <c r="IE560" s="3"/>
      <c r="IF560" s="3"/>
      <c r="IG560" s="3"/>
      <c r="IH560" s="3"/>
      <c r="II560" s="3"/>
      <c r="IJ560" s="3"/>
      <c r="IK560" s="3"/>
      <c r="IL560" s="3"/>
      <c r="IM560" s="3"/>
      <c r="IN560" s="3"/>
      <c r="IO560" s="3"/>
      <c r="IP560" s="3"/>
      <c r="IQ560" s="3"/>
      <c r="IR560" s="3"/>
      <c r="IS560" s="3"/>
      <c r="IT560" s="3"/>
      <c r="IU560" s="3"/>
      <c r="IV560" s="3"/>
      <c r="IW560" s="3"/>
      <c r="IX560" s="3"/>
      <c r="IY560" s="3"/>
      <c r="IZ560" s="3"/>
      <c r="JA560" s="3"/>
      <c r="JB560" s="3"/>
      <c r="JC560" s="3"/>
      <c r="JD560" s="3"/>
      <c r="JE560" s="3"/>
      <c r="JF560" s="3"/>
      <c r="JG560" s="3"/>
      <c r="JH560" s="3"/>
      <c r="JI560" s="3"/>
      <c r="JJ560" s="3"/>
      <c r="JK560" s="3"/>
      <c r="JL560" s="3"/>
      <c r="JM560" s="3"/>
      <c r="JN560" s="3"/>
      <c r="JO560" s="3"/>
      <c r="JP560" s="3"/>
      <c r="JQ560" s="3"/>
      <c r="JR560" s="3"/>
      <c r="JS560" s="3"/>
      <c r="JT560" s="3"/>
      <c r="JU560" s="3"/>
      <c r="JV560" s="3"/>
      <c r="JW560" s="3"/>
      <c r="JX560" s="3"/>
      <c r="JY560" s="3"/>
      <c r="JZ560" s="3"/>
      <c r="KA560" s="3"/>
      <c r="KB560" s="3"/>
      <c r="KC560" s="3"/>
      <c r="KD560" s="3"/>
      <c r="KE560" s="3"/>
      <c r="KF560" s="3"/>
      <c r="KG560" s="3"/>
      <c r="KH560" s="3"/>
      <c r="KI560" s="3"/>
      <c r="KJ560" s="3"/>
      <c r="KK560" s="3"/>
      <c r="KL560" s="3"/>
      <c r="KM560" s="3"/>
      <c r="KN560" s="3"/>
      <c r="KO560" s="3"/>
      <c r="KP560" s="3"/>
      <c r="KQ560" s="3"/>
      <c r="KR560" s="3"/>
      <c r="KS560" s="3"/>
      <c r="KT560" s="3"/>
      <c r="KU560" s="3"/>
      <c r="KV560" s="3"/>
      <c r="KW560" s="3"/>
      <c r="KX560" s="3"/>
      <c r="KY560" s="3"/>
      <c r="KZ560" s="3"/>
      <c r="LA560" s="3"/>
      <c r="LB560" s="3"/>
      <c r="LC560" s="3"/>
      <c r="LD560" s="3"/>
      <c r="LE560" s="3"/>
      <c r="LF560" s="3"/>
      <c r="LG560" s="3"/>
      <c r="LH560" s="3"/>
      <c r="LI560" s="3"/>
      <c r="LJ560" s="3"/>
      <c r="LK560" s="3"/>
      <c r="LL560" s="3"/>
      <c r="LM560" s="3"/>
      <c r="LN560" s="3"/>
      <c r="LO560" s="3"/>
      <c r="LP560" s="3"/>
      <c r="LQ560" s="3"/>
      <c r="LR560" s="3"/>
      <c r="LS560" s="3"/>
      <c r="LT560" s="3"/>
      <c r="LU560" s="3"/>
      <c r="LV560" s="3"/>
      <c r="LW560" s="3"/>
      <c r="LX560" s="3"/>
      <c r="LY560" s="3"/>
      <c r="LZ560" s="3"/>
      <c r="MA560" s="3"/>
      <c r="MB560" s="3"/>
      <c r="MC560" s="3"/>
      <c r="MD560" s="3"/>
      <c r="ME560" s="3"/>
      <c r="MF560" s="3"/>
      <c r="MG560" s="3"/>
      <c r="MH560" s="3"/>
      <c r="MI560" s="3"/>
    </row>
    <row r="561" spans="1:347"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ID561" s="3"/>
      <c r="IE561" s="3"/>
      <c r="IF561" s="3"/>
      <c r="IG561" s="3"/>
      <c r="IH561" s="3"/>
      <c r="II561" s="3"/>
      <c r="IJ561" s="3"/>
      <c r="IK561" s="3"/>
      <c r="IL561" s="3"/>
      <c r="IM561" s="3"/>
      <c r="IN561" s="3"/>
      <c r="IO561" s="3"/>
      <c r="IP561" s="3"/>
      <c r="IQ561" s="3"/>
      <c r="IR561" s="3"/>
      <c r="IS561" s="3"/>
      <c r="IT561" s="3"/>
      <c r="IU561" s="3"/>
      <c r="IV561" s="3"/>
      <c r="IW561" s="3"/>
      <c r="IX561" s="3"/>
      <c r="IY561" s="3"/>
      <c r="IZ561" s="3"/>
      <c r="JA561" s="3"/>
      <c r="JB561" s="3"/>
      <c r="JC561" s="3"/>
      <c r="JD561" s="3"/>
      <c r="JE561" s="3"/>
      <c r="JF561" s="3"/>
      <c r="JG561" s="3"/>
      <c r="JH561" s="3"/>
      <c r="JI561" s="3"/>
      <c r="JJ561" s="3"/>
      <c r="JK561" s="3"/>
      <c r="JL561" s="3"/>
      <c r="JM561" s="3"/>
      <c r="JN561" s="3"/>
      <c r="JO561" s="3"/>
      <c r="JP561" s="3"/>
      <c r="JQ561" s="3"/>
      <c r="JR561" s="3"/>
      <c r="JS561" s="3"/>
      <c r="JT561" s="3"/>
      <c r="JU561" s="3"/>
      <c r="JV561" s="3"/>
      <c r="JW561" s="3"/>
      <c r="JX561" s="3"/>
      <c r="JY561" s="3"/>
      <c r="JZ561" s="3"/>
      <c r="KA561" s="3"/>
      <c r="KB561" s="3"/>
      <c r="KC561" s="3"/>
      <c r="KD561" s="3"/>
      <c r="KE561" s="3"/>
      <c r="KF561" s="3"/>
      <c r="KG561" s="3"/>
      <c r="KH561" s="3"/>
      <c r="KI561" s="3"/>
      <c r="KJ561" s="3"/>
      <c r="KK561" s="3"/>
      <c r="KL561" s="3"/>
      <c r="KM561" s="3"/>
      <c r="KN561" s="3"/>
      <c r="KO561" s="3"/>
      <c r="KP561" s="3"/>
      <c r="KQ561" s="3"/>
      <c r="KR561" s="3"/>
      <c r="KS561" s="3"/>
      <c r="KT561" s="3"/>
      <c r="KU561" s="3"/>
      <c r="KV561" s="3"/>
      <c r="KW561" s="3"/>
      <c r="KX561" s="3"/>
      <c r="KY561" s="3"/>
      <c r="KZ561" s="3"/>
      <c r="LA561" s="3"/>
      <c r="LB561" s="3"/>
      <c r="LC561" s="3"/>
      <c r="LD561" s="3"/>
      <c r="LE561" s="3"/>
      <c r="LF561" s="3"/>
      <c r="LG561" s="3"/>
      <c r="LH561" s="3"/>
      <c r="LI561" s="3"/>
      <c r="LJ561" s="3"/>
      <c r="LK561" s="3"/>
      <c r="LL561" s="3"/>
      <c r="LM561" s="3"/>
      <c r="LN561" s="3"/>
      <c r="LO561" s="3"/>
      <c r="LP561" s="3"/>
      <c r="LQ561" s="3"/>
      <c r="LR561" s="3"/>
      <c r="LS561" s="3"/>
      <c r="LT561" s="3"/>
      <c r="LU561" s="3"/>
      <c r="LV561" s="3"/>
      <c r="LW561" s="3"/>
      <c r="LX561" s="3"/>
      <c r="LY561" s="3"/>
      <c r="LZ561" s="3"/>
      <c r="MA561" s="3"/>
      <c r="MB561" s="3"/>
      <c r="MC561" s="3"/>
      <c r="MD561" s="3"/>
      <c r="ME561" s="3"/>
      <c r="MF561" s="3"/>
      <c r="MG561" s="3"/>
      <c r="MH561" s="3"/>
      <c r="MI561" s="3"/>
    </row>
    <row r="562" spans="1:347"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ID562" s="3"/>
      <c r="IE562" s="3"/>
      <c r="IF562" s="3"/>
      <c r="IG562" s="3"/>
      <c r="IH562" s="3"/>
      <c r="II562" s="3"/>
      <c r="IJ562" s="3"/>
      <c r="IK562" s="3"/>
      <c r="IL562" s="3"/>
      <c r="IM562" s="3"/>
      <c r="IN562" s="3"/>
      <c r="IO562" s="3"/>
      <c r="IP562" s="3"/>
      <c r="IQ562" s="3"/>
      <c r="IR562" s="3"/>
      <c r="IS562" s="3"/>
      <c r="IT562" s="3"/>
      <c r="IU562" s="3"/>
      <c r="IV562" s="3"/>
      <c r="IW562" s="3"/>
      <c r="IX562" s="3"/>
      <c r="IY562" s="3"/>
      <c r="IZ562" s="3"/>
      <c r="JA562" s="3"/>
      <c r="JB562" s="3"/>
      <c r="JC562" s="3"/>
      <c r="JD562" s="3"/>
      <c r="JE562" s="3"/>
      <c r="JF562" s="3"/>
      <c r="JG562" s="3"/>
      <c r="JH562" s="3"/>
      <c r="JI562" s="3"/>
      <c r="JJ562" s="3"/>
      <c r="JK562" s="3"/>
      <c r="JL562" s="3"/>
      <c r="JM562" s="3"/>
      <c r="JN562" s="3"/>
      <c r="JO562" s="3"/>
      <c r="JP562" s="3"/>
      <c r="JQ562" s="3"/>
      <c r="JR562" s="3"/>
      <c r="JS562" s="3"/>
      <c r="JT562" s="3"/>
      <c r="JU562" s="3"/>
      <c r="JV562" s="3"/>
      <c r="JW562" s="3"/>
      <c r="JX562" s="3"/>
      <c r="JY562" s="3"/>
      <c r="JZ562" s="3"/>
      <c r="KA562" s="3"/>
      <c r="KB562" s="3"/>
      <c r="KC562" s="3"/>
      <c r="KD562" s="3"/>
      <c r="KE562" s="3"/>
      <c r="KF562" s="3"/>
      <c r="KG562" s="3"/>
      <c r="KH562" s="3"/>
      <c r="KI562" s="3"/>
      <c r="KJ562" s="3"/>
      <c r="KK562" s="3"/>
      <c r="KL562" s="3"/>
      <c r="KM562" s="3"/>
      <c r="KN562" s="3"/>
      <c r="KO562" s="3"/>
      <c r="KP562" s="3"/>
      <c r="KQ562" s="3"/>
      <c r="KR562" s="3"/>
      <c r="KS562" s="3"/>
      <c r="KT562" s="3"/>
      <c r="KU562" s="3"/>
      <c r="KV562" s="3"/>
      <c r="KW562" s="3"/>
      <c r="KX562" s="3"/>
      <c r="KY562" s="3"/>
      <c r="KZ562" s="3"/>
      <c r="LA562" s="3"/>
      <c r="LB562" s="3"/>
      <c r="LC562" s="3"/>
      <c r="LD562" s="3"/>
      <c r="LE562" s="3"/>
      <c r="LF562" s="3"/>
      <c r="LG562" s="3"/>
      <c r="LH562" s="3"/>
      <c r="LI562" s="3"/>
      <c r="LJ562" s="3"/>
      <c r="LK562" s="3"/>
      <c r="LL562" s="3"/>
      <c r="LM562" s="3"/>
      <c r="LN562" s="3"/>
      <c r="LO562" s="3"/>
      <c r="LP562" s="3"/>
      <c r="LQ562" s="3"/>
      <c r="LR562" s="3"/>
      <c r="LS562" s="3"/>
      <c r="LT562" s="3"/>
      <c r="LU562" s="3"/>
      <c r="LV562" s="3"/>
      <c r="LW562" s="3"/>
      <c r="LX562" s="3"/>
      <c r="LY562" s="3"/>
      <c r="LZ562" s="3"/>
      <c r="MA562" s="3"/>
      <c r="MB562" s="3"/>
      <c r="MC562" s="3"/>
      <c r="MD562" s="3"/>
      <c r="ME562" s="3"/>
      <c r="MF562" s="3"/>
      <c r="MG562" s="3"/>
      <c r="MH562" s="3"/>
      <c r="MI562" s="3"/>
    </row>
    <row r="563" spans="1:347"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ID563" s="3"/>
      <c r="IE563" s="3"/>
      <c r="IF563" s="3"/>
      <c r="IG563" s="3"/>
      <c r="IH563" s="3"/>
      <c r="II563" s="3"/>
      <c r="IJ563" s="3"/>
      <c r="IK563" s="3"/>
      <c r="IL563" s="3"/>
      <c r="IM563" s="3"/>
      <c r="IN563" s="3"/>
      <c r="IO563" s="3"/>
      <c r="IP563" s="3"/>
      <c r="IQ563" s="3"/>
      <c r="IR563" s="3"/>
      <c r="IS563" s="3"/>
      <c r="IT563" s="3"/>
      <c r="IU563" s="3"/>
      <c r="IV563" s="3"/>
      <c r="IW563" s="3"/>
      <c r="IX563" s="3"/>
      <c r="IY563" s="3"/>
      <c r="IZ563" s="3"/>
      <c r="JA563" s="3"/>
      <c r="JB563" s="3"/>
      <c r="JC563" s="3"/>
      <c r="JD563" s="3"/>
      <c r="JE563" s="3"/>
      <c r="JF563" s="3"/>
      <c r="JG563" s="3"/>
      <c r="JH563" s="3"/>
      <c r="JI563" s="3"/>
      <c r="JJ563" s="3"/>
      <c r="JK563" s="3"/>
      <c r="JL563" s="3"/>
      <c r="JM563" s="3"/>
      <c r="JN563" s="3"/>
      <c r="JO563" s="3"/>
      <c r="JP563" s="3"/>
      <c r="JQ563" s="3"/>
      <c r="JR563" s="3"/>
      <c r="JS563" s="3"/>
      <c r="JT563" s="3"/>
      <c r="JU563" s="3"/>
      <c r="JV563" s="3"/>
      <c r="JW563" s="3"/>
      <c r="JX563" s="3"/>
      <c r="JY563" s="3"/>
      <c r="JZ563" s="3"/>
      <c r="KA563" s="3"/>
      <c r="KB563" s="3"/>
      <c r="KC563" s="3"/>
      <c r="KD563" s="3"/>
      <c r="KE563" s="3"/>
      <c r="KF563" s="3"/>
      <c r="KG563" s="3"/>
      <c r="KH563" s="3"/>
      <c r="KI563" s="3"/>
      <c r="KJ563" s="3"/>
      <c r="KK563" s="3"/>
      <c r="KL563" s="3"/>
      <c r="KM563" s="3"/>
      <c r="KN563" s="3"/>
      <c r="KO563" s="3"/>
      <c r="KP563" s="3"/>
      <c r="KQ563" s="3"/>
      <c r="KR563" s="3"/>
      <c r="KS563" s="3"/>
      <c r="KT563" s="3"/>
      <c r="KU563" s="3"/>
      <c r="KV563" s="3"/>
      <c r="KW563" s="3"/>
      <c r="KX563" s="3"/>
      <c r="KY563" s="3"/>
      <c r="KZ563" s="3"/>
      <c r="LA563" s="3"/>
      <c r="LB563" s="3"/>
      <c r="LC563" s="3"/>
      <c r="LD563" s="3"/>
      <c r="LE563" s="3"/>
      <c r="LF563" s="3"/>
      <c r="LG563" s="3"/>
      <c r="LH563" s="3"/>
      <c r="LI563" s="3"/>
      <c r="LJ563" s="3"/>
      <c r="LK563" s="3"/>
      <c r="LL563" s="3"/>
      <c r="LM563" s="3"/>
      <c r="LN563" s="3"/>
      <c r="LO563" s="3"/>
      <c r="LP563" s="3"/>
      <c r="LQ563" s="3"/>
      <c r="LR563" s="3"/>
      <c r="LS563" s="3"/>
      <c r="LT563" s="3"/>
      <c r="LU563" s="3"/>
      <c r="LV563" s="3"/>
      <c r="LW563" s="3"/>
      <c r="LX563" s="3"/>
      <c r="LY563" s="3"/>
      <c r="LZ563" s="3"/>
      <c r="MA563" s="3"/>
      <c r="MB563" s="3"/>
      <c r="MC563" s="3"/>
      <c r="MD563" s="3"/>
      <c r="ME563" s="3"/>
      <c r="MF563" s="3"/>
      <c r="MG563" s="3"/>
      <c r="MH563" s="3"/>
      <c r="MI563" s="3"/>
    </row>
    <row r="564" spans="1:347"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ID564" s="3"/>
      <c r="IE564" s="3"/>
      <c r="IF564" s="3"/>
      <c r="IG564" s="3"/>
      <c r="IH564" s="3"/>
      <c r="II564" s="3"/>
      <c r="IJ564" s="3"/>
      <c r="IK564" s="3"/>
      <c r="IL564" s="3"/>
      <c r="IM564" s="3"/>
      <c r="IN564" s="3"/>
      <c r="IO564" s="3"/>
      <c r="IP564" s="3"/>
      <c r="IQ564" s="3"/>
      <c r="IR564" s="3"/>
      <c r="IS564" s="3"/>
      <c r="IT564" s="3"/>
      <c r="IU564" s="3"/>
      <c r="IV564" s="3"/>
      <c r="IW564" s="3"/>
      <c r="IX564" s="3"/>
      <c r="IY564" s="3"/>
      <c r="IZ564" s="3"/>
      <c r="JA564" s="3"/>
      <c r="JB564" s="3"/>
      <c r="JC564" s="3"/>
      <c r="JD564" s="3"/>
      <c r="JE564" s="3"/>
      <c r="JF564" s="3"/>
      <c r="JG564" s="3"/>
      <c r="JH564" s="3"/>
      <c r="JI564" s="3"/>
      <c r="JJ564" s="3"/>
      <c r="JK564" s="3"/>
      <c r="JL564" s="3"/>
      <c r="JM564" s="3"/>
      <c r="JN564" s="3"/>
      <c r="JO564" s="3"/>
      <c r="JP564" s="3"/>
      <c r="JQ564" s="3"/>
      <c r="JR564" s="3"/>
      <c r="JS564" s="3"/>
      <c r="JT564" s="3"/>
      <c r="JU564" s="3"/>
      <c r="JV564" s="3"/>
      <c r="JW564" s="3"/>
      <c r="JX564" s="3"/>
      <c r="JY564" s="3"/>
      <c r="JZ564" s="3"/>
      <c r="KA564" s="3"/>
      <c r="KB564" s="3"/>
      <c r="KC564" s="3"/>
      <c r="KD564" s="3"/>
      <c r="KE564" s="3"/>
      <c r="KF564" s="3"/>
      <c r="KG564" s="3"/>
      <c r="KH564" s="3"/>
      <c r="KI564" s="3"/>
      <c r="KJ564" s="3"/>
      <c r="KK564" s="3"/>
      <c r="KL564" s="3"/>
      <c r="KM564" s="3"/>
      <c r="KN564" s="3"/>
      <c r="KO564" s="3"/>
      <c r="KP564" s="3"/>
      <c r="KQ564" s="3"/>
      <c r="KR564" s="3"/>
      <c r="KS564" s="3"/>
      <c r="KT564" s="3"/>
      <c r="KU564" s="3"/>
      <c r="KV564" s="3"/>
      <c r="KW564" s="3"/>
      <c r="KX564" s="3"/>
      <c r="KY564" s="3"/>
      <c r="KZ564" s="3"/>
      <c r="LA564" s="3"/>
      <c r="LB564" s="3"/>
      <c r="LC564" s="3"/>
      <c r="LD564" s="3"/>
      <c r="LE564" s="3"/>
      <c r="LF564" s="3"/>
      <c r="LG564" s="3"/>
      <c r="LH564" s="3"/>
      <c r="LI564" s="3"/>
      <c r="LJ564" s="3"/>
      <c r="LK564" s="3"/>
      <c r="LL564" s="3"/>
      <c r="LM564" s="3"/>
      <c r="LN564" s="3"/>
      <c r="LO564" s="3"/>
      <c r="LP564" s="3"/>
      <c r="LQ564" s="3"/>
      <c r="LR564" s="3"/>
      <c r="LS564" s="3"/>
      <c r="LT564" s="3"/>
      <c r="LU564" s="3"/>
      <c r="LV564" s="3"/>
      <c r="LW564" s="3"/>
      <c r="LX564" s="3"/>
      <c r="LY564" s="3"/>
      <c r="LZ564" s="3"/>
      <c r="MA564" s="3"/>
      <c r="MB564" s="3"/>
      <c r="MC564" s="3"/>
      <c r="MD564" s="3"/>
      <c r="ME564" s="3"/>
      <c r="MF564" s="3"/>
      <c r="MG564" s="3"/>
      <c r="MH564" s="3"/>
      <c r="MI564" s="3"/>
    </row>
    <row r="565" spans="1:347"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ID565" s="3"/>
      <c r="IE565" s="3"/>
      <c r="IF565" s="3"/>
      <c r="IG565" s="3"/>
      <c r="IH565" s="3"/>
      <c r="II565" s="3"/>
      <c r="IJ565" s="3"/>
      <c r="IK565" s="3"/>
      <c r="IL565" s="3"/>
      <c r="IM565" s="3"/>
      <c r="IN565" s="3"/>
      <c r="IO565" s="3"/>
      <c r="IP565" s="3"/>
      <c r="IQ565" s="3"/>
      <c r="IR565" s="3"/>
      <c r="IS565" s="3"/>
      <c r="IT565" s="3"/>
      <c r="IU565" s="3"/>
      <c r="IV565" s="3"/>
      <c r="IW565" s="3"/>
      <c r="IX565" s="3"/>
      <c r="IY565" s="3"/>
      <c r="IZ565" s="3"/>
      <c r="JA565" s="3"/>
      <c r="JB565" s="3"/>
      <c r="JC565" s="3"/>
      <c r="JD565" s="3"/>
      <c r="JE565" s="3"/>
      <c r="JF565" s="3"/>
      <c r="JG565" s="3"/>
      <c r="JH565" s="3"/>
      <c r="JI565" s="3"/>
      <c r="JJ565" s="3"/>
      <c r="JK565" s="3"/>
      <c r="JL565" s="3"/>
      <c r="JM565" s="3"/>
      <c r="JN565" s="3"/>
      <c r="JO565" s="3"/>
      <c r="JP565" s="3"/>
      <c r="JQ565" s="3"/>
      <c r="JR565" s="3"/>
      <c r="JS565" s="3"/>
      <c r="JT565" s="3"/>
      <c r="JU565" s="3"/>
      <c r="JV565" s="3"/>
      <c r="JW565" s="3"/>
      <c r="JX565" s="3"/>
      <c r="JY565" s="3"/>
      <c r="JZ565" s="3"/>
      <c r="KA565" s="3"/>
      <c r="KB565" s="3"/>
      <c r="KC565" s="3"/>
      <c r="KD565" s="3"/>
      <c r="KE565" s="3"/>
      <c r="KF565" s="3"/>
      <c r="KG565" s="3"/>
      <c r="KH565" s="3"/>
      <c r="KI565" s="3"/>
      <c r="KJ565" s="3"/>
      <c r="KK565" s="3"/>
      <c r="KL565" s="3"/>
      <c r="KM565" s="3"/>
      <c r="KN565" s="3"/>
      <c r="KO565" s="3"/>
      <c r="KP565" s="3"/>
      <c r="KQ565" s="3"/>
      <c r="KR565" s="3"/>
      <c r="KS565" s="3"/>
      <c r="KT565" s="3"/>
      <c r="KU565" s="3"/>
      <c r="KV565" s="3"/>
      <c r="KW565" s="3"/>
      <c r="KX565" s="3"/>
      <c r="KY565" s="3"/>
      <c r="KZ565" s="3"/>
      <c r="LA565" s="3"/>
      <c r="LB565" s="3"/>
      <c r="LC565" s="3"/>
      <c r="LD565" s="3"/>
      <c r="LE565" s="3"/>
      <c r="LF565" s="3"/>
      <c r="LG565" s="3"/>
      <c r="LH565" s="3"/>
      <c r="LI565" s="3"/>
      <c r="LJ565" s="3"/>
      <c r="LK565" s="3"/>
      <c r="LL565" s="3"/>
      <c r="LM565" s="3"/>
      <c r="LN565" s="3"/>
      <c r="LO565" s="3"/>
      <c r="LP565" s="3"/>
      <c r="LQ565" s="3"/>
      <c r="LR565" s="3"/>
      <c r="LS565" s="3"/>
      <c r="LT565" s="3"/>
      <c r="LU565" s="3"/>
      <c r="LV565" s="3"/>
      <c r="LW565" s="3"/>
      <c r="LX565" s="3"/>
      <c r="LY565" s="3"/>
      <c r="LZ565" s="3"/>
      <c r="MA565" s="3"/>
      <c r="MB565" s="3"/>
      <c r="MC565" s="3"/>
      <c r="MD565" s="3"/>
      <c r="ME565" s="3"/>
      <c r="MF565" s="3"/>
      <c r="MG565" s="3"/>
      <c r="MH565" s="3"/>
      <c r="MI565" s="3"/>
    </row>
    <row r="566" spans="1:347"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ID566" s="3"/>
      <c r="IE566" s="3"/>
      <c r="IF566" s="3"/>
      <c r="IG566" s="3"/>
      <c r="IH566" s="3"/>
      <c r="II566" s="3"/>
      <c r="IJ566" s="3"/>
      <c r="IK566" s="3"/>
      <c r="IL566" s="3"/>
      <c r="IM566" s="3"/>
      <c r="IN566" s="3"/>
      <c r="IO566" s="3"/>
      <c r="IP566" s="3"/>
      <c r="IQ566" s="3"/>
      <c r="IR566" s="3"/>
      <c r="IS566" s="3"/>
      <c r="IT566" s="3"/>
      <c r="IU566" s="3"/>
      <c r="IV566" s="3"/>
      <c r="IW566" s="3"/>
      <c r="IX566" s="3"/>
      <c r="IY566" s="3"/>
      <c r="IZ566" s="3"/>
      <c r="JA566" s="3"/>
      <c r="JB566" s="3"/>
      <c r="JC566" s="3"/>
      <c r="JD566" s="3"/>
      <c r="JE566" s="3"/>
      <c r="JF566" s="3"/>
      <c r="JG566" s="3"/>
      <c r="JH566" s="3"/>
      <c r="JI566" s="3"/>
      <c r="JJ566" s="3"/>
      <c r="JK566" s="3"/>
      <c r="JL566" s="3"/>
      <c r="JM566" s="3"/>
      <c r="JN566" s="3"/>
      <c r="JO566" s="3"/>
      <c r="JP566" s="3"/>
      <c r="JQ566" s="3"/>
      <c r="JR566" s="3"/>
      <c r="JS566" s="3"/>
      <c r="JT566" s="3"/>
      <c r="JU566" s="3"/>
      <c r="JV566" s="3"/>
      <c r="JW566" s="3"/>
      <c r="JX566" s="3"/>
      <c r="JY566" s="3"/>
      <c r="JZ566" s="3"/>
      <c r="KA566" s="3"/>
      <c r="KB566" s="3"/>
      <c r="KC566" s="3"/>
      <c r="KD566" s="3"/>
      <c r="KE566" s="3"/>
      <c r="KF566" s="3"/>
      <c r="KG566" s="3"/>
      <c r="KH566" s="3"/>
      <c r="KI566" s="3"/>
      <c r="KJ566" s="3"/>
      <c r="KK566" s="3"/>
      <c r="KL566" s="3"/>
      <c r="KM566" s="3"/>
      <c r="KN566" s="3"/>
      <c r="KO566" s="3"/>
      <c r="KP566" s="3"/>
      <c r="KQ566" s="3"/>
      <c r="KR566" s="3"/>
      <c r="KS566" s="3"/>
      <c r="KT566" s="3"/>
      <c r="KU566" s="3"/>
      <c r="KV566" s="3"/>
      <c r="KW566" s="3"/>
      <c r="KX566" s="3"/>
      <c r="KY566" s="3"/>
      <c r="KZ566" s="3"/>
      <c r="LA566" s="3"/>
      <c r="LB566" s="3"/>
      <c r="LC566" s="3"/>
      <c r="LD566" s="3"/>
      <c r="LE566" s="3"/>
      <c r="LF566" s="3"/>
      <c r="LG566" s="3"/>
      <c r="LH566" s="3"/>
      <c r="LI566" s="3"/>
      <c r="LJ566" s="3"/>
      <c r="LK566" s="3"/>
      <c r="LL566" s="3"/>
      <c r="LM566" s="3"/>
      <c r="LN566" s="3"/>
      <c r="LO566" s="3"/>
      <c r="LP566" s="3"/>
      <c r="LQ566" s="3"/>
      <c r="LR566" s="3"/>
      <c r="LS566" s="3"/>
      <c r="LT566" s="3"/>
      <c r="LU566" s="3"/>
      <c r="LV566" s="3"/>
      <c r="LW566" s="3"/>
      <c r="LX566" s="3"/>
      <c r="LY566" s="3"/>
      <c r="LZ566" s="3"/>
      <c r="MA566" s="3"/>
      <c r="MB566" s="3"/>
      <c r="MC566" s="3"/>
      <c r="MD566" s="3"/>
      <c r="ME566" s="3"/>
      <c r="MF566" s="3"/>
      <c r="MG566" s="3"/>
      <c r="MH566" s="3"/>
      <c r="MI566" s="3"/>
    </row>
    <row r="567" spans="1:347"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ID567" s="3"/>
      <c r="IE567" s="3"/>
      <c r="IF567" s="3"/>
      <c r="IG567" s="3"/>
      <c r="IH567" s="3"/>
      <c r="II567" s="3"/>
      <c r="IJ567" s="3"/>
      <c r="IK567" s="3"/>
      <c r="IL567" s="3"/>
      <c r="IM567" s="3"/>
      <c r="IN567" s="3"/>
      <c r="IO567" s="3"/>
      <c r="IP567" s="3"/>
      <c r="IQ567" s="3"/>
      <c r="IR567" s="3"/>
      <c r="IS567" s="3"/>
      <c r="IT567" s="3"/>
      <c r="IU567" s="3"/>
      <c r="IV567" s="3"/>
      <c r="IW567" s="3"/>
      <c r="IX567" s="3"/>
      <c r="IY567" s="3"/>
      <c r="IZ567" s="3"/>
      <c r="JA567" s="3"/>
      <c r="JB567" s="3"/>
      <c r="JC567" s="3"/>
      <c r="JD567" s="3"/>
      <c r="JE567" s="3"/>
      <c r="JF567" s="3"/>
      <c r="JG567" s="3"/>
      <c r="JH567" s="3"/>
      <c r="JI567" s="3"/>
      <c r="JJ567" s="3"/>
      <c r="JK567" s="3"/>
      <c r="JL567" s="3"/>
      <c r="JM567" s="3"/>
      <c r="JN567" s="3"/>
      <c r="JO567" s="3"/>
      <c r="JP567" s="3"/>
      <c r="JQ567" s="3"/>
      <c r="JR567" s="3"/>
      <c r="JS567" s="3"/>
      <c r="JT567" s="3"/>
      <c r="JU567" s="3"/>
      <c r="JV567" s="3"/>
      <c r="JW567" s="3"/>
      <c r="JX567" s="3"/>
      <c r="JY567" s="3"/>
      <c r="JZ567" s="3"/>
      <c r="KA567" s="3"/>
      <c r="KB567" s="3"/>
      <c r="KC567" s="3"/>
      <c r="KD567" s="3"/>
      <c r="KE567" s="3"/>
      <c r="KF567" s="3"/>
      <c r="KG567" s="3"/>
      <c r="KH567" s="3"/>
      <c r="KI567" s="3"/>
      <c r="KJ567" s="3"/>
      <c r="KK567" s="3"/>
      <c r="KL567" s="3"/>
      <c r="KM567" s="3"/>
      <c r="KN567" s="3"/>
      <c r="KO567" s="3"/>
      <c r="KP567" s="3"/>
      <c r="KQ567" s="3"/>
      <c r="KR567" s="3"/>
      <c r="KS567" s="3"/>
      <c r="KT567" s="3"/>
      <c r="KU567" s="3"/>
      <c r="KV567" s="3"/>
      <c r="KW567" s="3"/>
      <c r="KX567" s="3"/>
      <c r="KY567" s="3"/>
      <c r="KZ567" s="3"/>
      <c r="LA567" s="3"/>
      <c r="LB567" s="3"/>
      <c r="LC567" s="3"/>
      <c r="LD567" s="3"/>
      <c r="LE567" s="3"/>
      <c r="LF567" s="3"/>
      <c r="LG567" s="3"/>
      <c r="LH567" s="3"/>
      <c r="LI567" s="3"/>
      <c r="LJ567" s="3"/>
      <c r="LK567" s="3"/>
      <c r="LL567" s="3"/>
      <c r="LM567" s="3"/>
      <c r="LN567" s="3"/>
      <c r="LO567" s="3"/>
      <c r="LP567" s="3"/>
      <c r="LQ567" s="3"/>
      <c r="LR567" s="3"/>
      <c r="LS567" s="3"/>
      <c r="LT567" s="3"/>
      <c r="LU567" s="3"/>
      <c r="LV567" s="3"/>
      <c r="LW567" s="3"/>
      <c r="LX567" s="3"/>
      <c r="LY567" s="3"/>
      <c r="LZ567" s="3"/>
      <c r="MA567" s="3"/>
      <c r="MB567" s="3"/>
      <c r="MC567" s="3"/>
      <c r="MD567" s="3"/>
      <c r="ME567" s="3"/>
      <c r="MF567" s="3"/>
      <c r="MG567" s="3"/>
      <c r="MH567" s="3"/>
      <c r="MI567" s="3"/>
    </row>
    <row r="568" spans="1:347"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ID568" s="3"/>
      <c r="IE568" s="3"/>
      <c r="IF568" s="3"/>
      <c r="IG568" s="3"/>
      <c r="IH568" s="3"/>
      <c r="II568" s="3"/>
      <c r="IJ568" s="3"/>
      <c r="IK568" s="3"/>
      <c r="IL568" s="3"/>
      <c r="IM568" s="3"/>
      <c r="IN568" s="3"/>
      <c r="IO568" s="3"/>
      <c r="IP568" s="3"/>
      <c r="IQ568" s="3"/>
      <c r="IR568" s="3"/>
      <c r="IS568" s="3"/>
      <c r="IT568" s="3"/>
      <c r="IU568" s="3"/>
      <c r="IV568" s="3"/>
      <c r="IW568" s="3"/>
      <c r="IX568" s="3"/>
      <c r="IY568" s="3"/>
      <c r="IZ568" s="3"/>
      <c r="JA568" s="3"/>
      <c r="JB568" s="3"/>
      <c r="JC568" s="3"/>
      <c r="JD568" s="3"/>
      <c r="JE568" s="3"/>
      <c r="JF568" s="3"/>
      <c r="JG568" s="3"/>
      <c r="JH568" s="3"/>
      <c r="JI568" s="3"/>
      <c r="JJ568" s="3"/>
      <c r="JK568" s="3"/>
      <c r="JL568" s="3"/>
      <c r="JM568" s="3"/>
      <c r="JN568" s="3"/>
      <c r="JO568" s="3"/>
      <c r="JP568" s="3"/>
      <c r="JQ568" s="3"/>
      <c r="JR568" s="3"/>
      <c r="JS568" s="3"/>
      <c r="JT568" s="3"/>
      <c r="JU568" s="3"/>
      <c r="JV568" s="3"/>
      <c r="JW568" s="3"/>
      <c r="JX568" s="3"/>
      <c r="JY568" s="3"/>
      <c r="JZ568" s="3"/>
      <c r="KA568" s="3"/>
      <c r="KB568" s="3"/>
      <c r="KC568" s="3"/>
      <c r="KD568" s="3"/>
      <c r="KE568" s="3"/>
      <c r="KF568" s="3"/>
      <c r="KG568" s="3"/>
      <c r="KH568" s="3"/>
      <c r="KI568" s="3"/>
      <c r="KJ568" s="3"/>
      <c r="KK568" s="3"/>
      <c r="KL568" s="3"/>
      <c r="KM568" s="3"/>
      <c r="KN568" s="3"/>
      <c r="KO568" s="3"/>
      <c r="KP568" s="3"/>
      <c r="KQ568" s="3"/>
      <c r="KR568" s="3"/>
      <c r="KS568" s="3"/>
      <c r="KT568" s="3"/>
      <c r="KU568" s="3"/>
      <c r="KV568" s="3"/>
      <c r="KW568" s="3"/>
      <c r="KX568" s="3"/>
      <c r="KY568" s="3"/>
      <c r="KZ568" s="3"/>
      <c r="LA568" s="3"/>
      <c r="LB568" s="3"/>
      <c r="LC568" s="3"/>
      <c r="LD568" s="3"/>
      <c r="LE568" s="3"/>
      <c r="LF568" s="3"/>
      <c r="LG568" s="3"/>
      <c r="LH568" s="3"/>
      <c r="LI568" s="3"/>
      <c r="LJ568" s="3"/>
      <c r="LK568" s="3"/>
      <c r="LL568" s="3"/>
      <c r="LM568" s="3"/>
      <c r="LN568" s="3"/>
      <c r="LO568" s="3"/>
      <c r="LP568" s="3"/>
      <c r="LQ568" s="3"/>
      <c r="LR568" s="3"/>
      <c r="LS568" s="3"/>
      <c r="LT568" s="3"/>
      <c r="LU568" s="3"/>
      <c r="LV568" s="3"/>
      <c r="LW568" s="3"/>
      <c r="LX568" s="3"/>
      <c r="LY568" s="3"/>
      <c r="LZ568" s="3"/>
      <c r="MA568" s="3"/>
      <c r="MB568" s="3"/>
      <c r="MC568" s="3"/>
      <c r="MD568" s="3"/>
      <c r="ME568" s="3"/>
      <c r="MF568" s="3"/>
      <c r="MG568" s="3"/>
      <c r="MH568" s="3"/>
      <c r="MI568" s="3"/>
    </row>
    <row r="569" spans="1:347"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ID569" s="3"/>
      <c r="IE569" s="3"/>
      <c r="IF569" s="3"/>
      <c r="IG569" s="3"/>
      <c r="IH569" s="3"/>
      <c r="II569" s="3"/>
      <c r="IJ569" s="3"/>
      <c r="IK569" s="3"/>
      <c r="IL569" s="3"/>
      <c r="IM569" s="3"/>
      <c r="IN569" s="3"/>
      <c r="IO569" s="3"/>
      <c r="IP569" s="3"/>
      <c r="IQ569" s="3"/>
      <c r="IR569" s="3"/>
      <c r="IS569" s="3"/>
      <c r="IT569" s="3"/>
      <c r="IU569" s="3"/>
      <c r="IV569" s="3"/>
      <c r="IW569" s="3"/>
      <c r="IX569" s="3"/>
      <c r="IY569" s="3"/>
      <c r="IZ569" s="3"/>
      <c r="JA569" s="3"/>
      <c r="JB569" s="3"/>
      <c r="JC569" s="3"/>
      <c r="JD569" s="3"/>
      <c r="JE569" s="3"/>
      <c r="JF569" s="3"/>
      <c r="JG569" s="3"/>
      <c r="JH569" s="3"/>
      <c r="JI569" s="3"/>
      <c r="JJ569" s="3"/>
      <c r="JK569" s="3"/>
      <c r="JL569" s="3"/>
      <c r="JM569" s="3"/>
      <c r="JN569" s="3"/>
      <c r="JO569" s="3"/>
      <c r="JP569" s="3"/>
      <c r="JQ569" s="3"/>
      <c r="JR569" s="3"/>
      <c r="JS569" s="3"/>
      <c r="JT569" s="3"/>
      <c r="JU569" s="3"/>
      <c r="JV569" s="3"/>
      <c r="JW569" s="3"/>
      <c r="JX569" s="3"/>
      <c r="JY569" s="3"/>
      <c r="JZ569" s="3"/>
      <c r="KA569" s="3"/>
      <c r="KB569" s="3"/>
      <c r="KC569" s="3"/>
      <c r="KD569" s="3"/>
      <c r="KE569" s="3"/>
      <c r="KF569" s="3"/>
      <c r="KG569" s="3"/>
      <c r="KH569" s="3"/>
      <c r="KI569" s="3"/>
      <c r="KJ569" s="3"/>
      <c r="KK569" s="3"/>
      <c r="KL569" s="3"/>
      <c r="KM569" s="3"/>
      <c r="KN569" s="3"/>
      <c r="KO569" s="3"/>
      <c r="KP569" s="3"/>
      <c r="KQ569" s="3"/>
      <c r="KR569" s="3"/>
      <c r="KS569" s="3"/>
      <c r="KT569" s="3"/>
      <c r="KU569" s="3"/>
      <c r="KV569" s="3"/>
      <c r="KW569" s="3"/>
      <c r="KX569" s="3"/>
      <c r="KY569" s="3"/>
      <c r="KZ569" s="3"/>
      <c r="LA569" s="3"/>
      <c r="LB569" s="3"/>
      <c r="LC569" s="3"/>
      <c r="LD569" s="3"/>
      <c r="LE569" s="3"/>
      <c r="LF569" s="3"/>
      <c r="LG569" s="3"/>
      <c r="LH569" s="3"/>
      <c r="LI569" s="3"/>
      <c r="LJ569" s="3"/>
      <c r="LK569" s="3"/>
      <c r="LL569" s="3"/>
      <c r="LM569" s="3"/>
      <c r="LN569" s="3"/>
      <c r="LO569" s="3"/>
      <c r="LP569" s="3"/>
      <c r="LQ569" s="3"/>
      <c r="LR569" s="3"/>
      <c r="LS569" s="3"/>
      <c r="LT569" s="3"/>
      <c r="LU569" s="3"/>
      <c r="LV569" s="3"/>
      <c r="LW569" s="3"/>
      <c r="LX569" s="3"/>
      <c r="LY569" s="3"/>
      <c r="LZ569" s="3"/>
      <c r="MA569" s="3"/>
      <c r="MB569" s="3"/>
      <c r="MC569" s="3"/>
      <c r="MD569" s="3"/>
      <c r="ME569" s="3"/>
      <c r="MF569" s="3"/>
      <c r="MG569" s="3"/>
      <c r="MH569" s="3"/>
      <c r="MI569" s="3"/>
    </row>
    <row r="570" spans="1:347"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ID570" s="3"/>
      <c r="IE570" s="3"/>
      <c r="IF570" s="3"/>
      <c r="IG570" s="3"/>
      <c r="IH570" s="3"/>
      <c r="II570" s="3"/>
      <c r="IJ570" s="3"/>
      <c r="IK570" s="3"/>
      <c r="IL570" s="3"/>
      <c r="IM570" s="3"/>
      <c r="IN570" s="3"/>
      <c r="IO570" s="3"/>
      <c r="IP570" s="3"/>
      <c r="IQ570" s="3"/>
      <c r="IR570" s="3"/>
      <c r="IS570" s="3"/>
      <c r="IT570" s="3"/>
      <c r="IU570" s="3"/>
      <c r="IV570" s="3"/>
      <c r="IW570" s="3"/>
      <c r="IX570" s="3"/>
      <c r="IY570" s="3"/>
      <c r="IZ570" s="3"/>
      <c r="JA570" s="3"/>
      <c r="JB570" s="3"/>
      <c r="JC570" s="3"/>
      <c r="JD570" s="3"/>
      <c r="JE570" s="3"/>
      <c r="JF570" s="3"/>
      <c r="JG570" s="3"/>
      <c r="JH570" s="3"/>
      <c r="JI570" s="3"/>
      <c r="JJ570" s="3"/>
      <c r="JK570" s="3"/>
      <c r="JL570" s="3"/>
      <c r="JM570" s="3"/>
      <c r="JN570" s="3"/>
      <c r="JO570" s="3"/>
      <c r="JP570" s="3"/>
      <c r="JQ570" s="3"/>
      <c r="JR570" s="3"/>
      <c r="JS570" s="3"/>
      <c r="JT570" s="3"/>
      <c r="JU570" s="3"/>
      <c r="JV570" s="3"/>
      <c r="JW570" s="3"/>
      <c r="JX570" s="3"/>
      <c r="JY570" s="3"/>
      <c r="JZ570" s="3"/>
      <c r="KA570" s="3"/>
      <c r="KB570" s="3"/>
      <c r="KC570" s="3"/>
      <c r="KD570" s="3"/>
      <c r="KE570" s="3"/>
      <c r="KF570" s="3"/>
      <c r="KG570" s="3"/>
      <c r="KH570" s="3"/>
      <c r="KI570" s="3"/>
      <c r="KJ570" s="3"/>
      <c r="KK570" s="3"/>
      <c r="KL570" s="3"/>
      <c r="KM570" s="3"/>
      <c r="KN570" s="3"/>
      <c r="KO570" s="3"/>
      <c r="KP570" s="3"/>
      <c r="KQ570" s="3"/>
      <c r="KR570" s="3"/>
      <c r="KS570" s="3"/>
      <c r="KT570" s="3"/>
      <c r="KU570" s="3"/>
      <c r="KV570" s="3"/>
      <c r="KW570" s="3"/>
      <c r="KX570" s="3"/>
      <c r="KY570" s="3"/>
      <c r="KZ570" s="3"/>
      <c r="LA570" s="3"/>
      <c r="LB570" s="3"/>
      <c r="LC570" s="3"/>
      <c r="LD570" s="3"/>
      <c r="LE570" s="3"/>
      <c r="LF570" s="3"/>
      <c r="LG570" s="3"/>
      <c r="LH570" s="3"/>
      <c r="LI570" s="3"/>
      <c r="LJ570" s="3"/>
      <c r="LK570" s="3"/>
      <c r="LL570" s="3"/>
      <c r="LM570" s="3"/>
      <c r="LN570" s="3"/>
      <c r="LO570" s="3"/>
      <c r="LP570" s="3"/>
      <c r="LQ570" s="3"/>
      <c r="LR570" s="3"/>
      <c r="LS570" s="3"/>
      <c r="LT570" s="3"/>
      <c r="LU570" s="3"/>
      <c r="LV570" s="3"/>
      <c r="LW570" s="3"/>
      <c r="LX570" s="3"/>
      <c r="LY570" s="3"/>
      <c r="LZ570" s="3"/>
      <c r="MA570" s="3"/>
      <c r="MB570" s="3"/>
      <c r="MC570" s="3"/>
      <c r="MD570" s="3"/>
      <c r="ME570" s="3"/>
      <c r="MF570" s="3"/>
      <c r="MG570" s="3"/>
      <c r="MH570" s="3"/>
      <c r="MI570" s="3"/>
    </row>
    <row r="571" spans="1:347"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ID571" s="3"/>
      <c r="IE571" s="3"/>
      <c r="IF571" s="3"/>
      <c r="IG571" s="3"/>
      <c r="IH571" s="3"/>
      <c r="II571" s="3"/>
      <c r="IJ571" s="3"/>
      <c r="IK571" s="3"/>
      <c r="IL571" s="3"/>
      <c r="IM571" s="3"/>
      <c r="IN571" s="3"/>
      <c r="IO571" s="3"/>
      <c r="IP571" s="3"/>
      <c r="IQ571" s="3"/>
      <c r="IR571" s="3"/>
      <c r="IS571" s="3"/>
      <c r="IT571" s="3"/>
      <c r="IU571" s="3"/>
      <c r="IV571" s="3"/>
      <c r="IW571" s="3"/>
      <c r="IX571" s="3"/>
      <c r="IY571" s="3"/>
      <c r="IZ571" s="3"/>
      <c r="JA571" s="3"/>
      <c r="JB571" s="3"/>
      <c r="JC571" s="3"/>
      <c r="JD571" s="3"/>
      <c r="JE571" s="3"/>
      <c r="JF571" s="3"/>
      <c r="JG571" s="3"/>
      <c r="JH571" s="3"/>
      <c r="JI571" s="3"/>
      <c r="JJ571" s="3"/>
      <c r="JK571" s="3"/>
      <c r="JL571" s="3"/>
      <c r="JM571" s="3"/>
      <c r="JN571" s="3"/>
      <c r="JO571" s="3"/>
      <c r="JP571" s="3"/>
      <c r="JQ571" s="3"/>
      <c r="JR571" s="3"/>
      <c r="JS571" s="3"/>
      <c r="JT571" s="3"/>
      <c r="JU571" s="3"/>
      <c r="JV571" s="3"/>
      <c r="JW571" s="3"/>
      <c r="JX571" s="3"/>
      <c r="JY571" s="3"/>
      <c r="JZ571" s="3"/>
      <c r="KA571" s="3"/>
      <c r="KB571" s="3"/>
      <c r="KC571" s="3"/>
      <c r="KD571" s="3"/>
      <c r="KE571" s="3"/>
      <c r="KF571" s="3"/>
      <c r="KG571" s="3"/>
      <c r="KH571" s="3"/>
      <c r="KI571" s="3"/>
      <c r="KJ571" s="3"/>
      <c r="KK571" s="3"/>
      <c r="KL571" s="3"/>
      <c r="KM571" s="3"/>
      <c r="KN571" s="3"/>
      <c r="KO571" s="3"/>
      <c r="KP571" s="3"/>
      <c r="KQ571" s="3"/>
      <c r="KR571" s="3"/>
      <c r="KS571" s="3"/>
      <c r="KT571" s="3"/>
      <c r="KU571" s="3"/>
      <c r="KV571" s="3"/>
      <c r="KW571" s="3"/>
      <c r="KX571" s="3"/>
      <c r="KY571" s="3"/>
      <c r="KZ571" s="3"/>
      <c r="LA571" s="3"/>
      <c r="LB571" s="3"/>
      <c r="LC571" s="3"/>
      <c r="LD571" s="3"/>
      <c r="LE571" s="3"/>
      <c r="LF571" s="3"/>
      <c r="LG571" s="3"/>
      <c r="LH571" s="3"/>
      <c r="LI571" s="3"/>
      <c r="LJ571" s="3"/>
      <c r="LK571" s="3"/>
      <c r="LL571" s="3"/>
      <c r="LM571" s="3"/>
      <c r="LN571" s="3"/>
      <c r="LO571" s="3"/>
      <c r="LP571" s="3"/>
      <c r="LQ571" s="3"/>
      <c r="LR571" s="3"/>
      <c r="LS571" s="3"/>
      <c r="LT571" s="3"/>
      <c r="LU571" s="3"/>
      <c r="LV571" s="3"/>
      <c r="LW571" s="3"/>
      <c r="LX571" s="3"/>
      <c r="LY571" s="3"/>
      <c r="LZ571" s="3"/>
      <c r="MA571" s="3"/>
      <c r="MB571" s="3"/>
      <c r="MC571" s="3"/>
      <c r="MD571" s="3"/>
      <c r="ME571" s="3"/>
      <c r="MF571" s="3"/>
      <c r="MG571" s="3"/>
      <c r="MH571" s="3"/>
      <c r="MI571" s="3"/>
    </row>
    <row r="572" spans="1:347"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ID572" s="3"/>
      <c r="IE572" s="3"/>
      <c r="IF572" s="3"/>
      <c r="IG572" s="3"/>
      <c r="IH572" s="3"/>
      <c r="II572" s="3"/>
      <c r="IJ572" s="3"/>
      <c r="IK572" s="3"/>
      <c r="IL572" s="3"/>
      <c r="IM572" s="3"/>
      <c r="IN572" s="3"/>
      <c r="IO572" s="3"/>
      <c r="IP572" s="3"/>
      <c r="IQ572" s="3"/>
      <c r="IR572" s="3"/>
      <c r="IS572" s="3"/>
      <c r="IT572" s="3"/>
      <c r="IU572" s="3"/>
      <c r="IV572" s="3"/>
      <c r="IW572" s="3"/>
      <c r="IX572" s="3"/>
      <c r="IY572" s="3"/>
      <c r="IZ572" s="3"/>
      <c r="JA572" s="3"/>
      <c r="JB572" s="3"/>
      <c r="JC572" s="3"/>
      <c r="JD572" s="3"/>
      <c r="JE572" s="3"/>
      <c r="JF572" s="3"/>
      <c r="JG572" s="3"/>
      <c r="JH572" s="3"/>
      <c r="JI572" s="3"/>
      <c r="JJ572" s="3"/>
      <c r="JK572" s="3"/>
      <c r="JL572" s="3"/>
      <c r="JM572" s="3"/>
      <c r="JN572" s="3"/>
      <c r="JO572" s="3"/>
      <c r="JP572" s="3"/>
      <c r="JQ572" s="3"/>
      <c r="JR572" s="3"/>
      <c r="JS572" s="3"/>
      <c r="JT572" s="3"/>
      <c r="JU572" s="3"/>
      <c r="JV572" s="3"/>
      <c r="JW572" s="3"/>
      <c r="JX572" s="3"/>
      <c r="JY572" s="3"/>
      <c r="JZ572" s="3"/>
      <c r="KA572" s="3"/>
      <c r="KB572" s="3"/>
      <c r="KC572" s="3"/>
      <c r="KD572" s="3"/>
      <c r="KE572" s="3"/>
      <c r="KF572" s="3"/>
      <c r="KG572" s="3"/>
      <c r="KH572" s="3"/>
      <c r="KI572" s="3"/>
      <c r="KJ572" s="3"/>
      <c r="KK572" s="3"/>
      <c r="KL572" s="3"/>
      <c r="KM572" s="3"/>
      <c r="KN572" s="3"/>
      <c r="KO572" s="3"/>
      <c r="KP572" s="3"/>
      <c r="KQ572" s="3"/>
      <c r="KR572" s="3"/>
      <c r="KS572" s="3"/>
      <c r="KT572" s="3"/>
      <c r="KU572" s="3"/>
      <c r="KV572" s="3"/>
      <c r="KW572" s="3"/>
      <c r="KX572" s="3"/>
      <c r="KY572" s="3"/>
      <c r="KZ572" s="3"/>
      <c r="LA572" s="3"/>
      <c r="LB572" s="3"/>
      <c r="LC572" s="3"/>
      <c r="LD572" s="3"/>
      <c r="LE572" s="3"/>
      <c r="LF572" s="3"/>
      <c r="LG572" s="3"/>
      <c r="LH572" s="3"/>
      <c r="LI572" s="3"/>
      <c r="LJ572" s="3"/>
      <c r="LK572" s="3"/>
      <c r="LL572" s="3"/>
      <c r="LM572" s="3"/>
      <c r="LN572" s="3"/>
      <c r="LO572" s="3"/>
      <c r="LP572" s="3"/>
      <c r="LQ572" s="3"/>
      <c r="LR572" s="3"/>
      <c r="LS572" s="3"/>
      <c r="LT572" s="3"/>
      <c r="LU572" s="3"/>
      <c r="LV572" s="3"/>
      <c r="LW572" s="3"/>
      <c r="LX572" s="3"/>
      <c r="LY572" s="3"/>
      <c r="LZ572" s="3"/>
      <c r="MA572" s="3"/>
      <c r="MB572" s="3"/>
      <c r="MC572" s="3"/>
      <c r="MD572" s="3"/>
      <c r="ME572" s="3"/>
      <c r="MF572" s="3"/>
      <c r="MG572" s="3"/>
      <c r="MH572" s="3"/>
      <c r="MI572" s="3"/>
    </row>
    <row r="573" spans="1:347"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ID573" s="3"/>
      <c r="IE573" s="3"/>
      <c r="IF573" s="3"/>
      <c r="IG573" s="3"/>
      <c r="IH573" s="3"/>
      <c r="II573" s="3"/>
      <c r="IJ573" s="3"/>
      <c r="IK573" s="3"/>
      <c r="IL573" s="3"/>
      <c r="IM573" s="3"/>
      <c r="IN573" s="3"/>
      <c r="IO573" s="3"/>
      <c r="IP573" s="3"/>
      <c r="IQ573" s="3"/>
      <c r="IR573" s="3"/>
      <c r="IS573" s="3"/>
      <c r="IT573" s="3"/>
      <c r="IU573" s="3"/>
      <c r="IV573" s="3"/>
      <c r="IW573" s="3"/>
      <c r="IX573" s="3"/>
      <c r="IY573" s="3"/>
      <c r="IZ573" s="3"/>
      <c r="JA573" s="3"/>
      <c r="JB573" s="3"/>
      <c r="JC573" s="3"/>
      <c r="JD573" s="3"/>
      <c r="JE573" s="3"/>
      <c r="JF573" s="3"/>
      <c r="JG573" s="3"/>
      <c r="JH573" s="3"/>
      <c r="JI573" s="3"/>
      <c r="JJ573" s="3"/>
      <c r="JK573" s="3"/>
      <c r="JL573" s="3"/>
      <c r="JM573" s="3"/>
      <c r="JN573" s="3"/>
      <c r="JO573" s="3"/>
      <c r="JP573" s="3"/>
      <c r="JQ573" s="3"/>
      <c r="JR573" s="3"/>
      <c r="JS573" s="3"/>
      <c r="JT573" s="3"/>
      <c r="JU573" s="3"/>
      <c r="JV573" s="3"/>
      <c r="JW573" s="3"/>
      <c r="JX573" s="3"/>
      <c r="JY573" s="3"/>
      <c r="JZ573" s="3"/>
      <c r="KA573" s="3"/>
      <c r="KB573" s="3"/>
      <c r="KC573" s="3"/>
      <c r="KD573" s="3"/>
      <c r="KE573" s="3"/>
      <c r="KF573" s="3"/>
      <c r="KG573" s="3"/>
      <c r="KH573" s="3"/>
      <c r="KI573" s="3"/>
      <c r="KJ573" s="3"/>
      <c r="KK573" s="3"/>
      <c r="KL573" s="3"/>
      <c r="KM573" s="3"/>
      <c r="KN573" s="3"/>
      <c r="KO573" s="3"/>
      <c r="KP573" s="3"/>
      <c r="KQ573" s="3"/>
      <c r="KR573" s="3"/>
      <c r="KS573" s="3"/>
      <c r="KT573" s="3"/>
      <c r="KU573" s="3"/>
      <c r="KV573" s="3"/>
      <c r="KW573" s="3"/>
      <c r="KX573" s="3"/>
      <c r="KY573" s="3"/>
      <c r="KZ573" s="3"/>
      <c r="LA573" s="3"/>
      <c r="LB573" s="3"/>
      <c r="LC573" s="3"/>
      <c r="LD573" s="3"/>
      <c r="LE573" s="3"/>
      <c r="LF573" s="3"/>
      <c r="LG573" s="3"/>
      <c r="LH573" s="3"/>
      <c r="LI573" s="3"/>
      <c r="LJ573" s="3"/>
      <c r="LK573" s="3"/>
      <c r="LL573" s="3"/>
      <c r="LM573" s="3"/>
      <c r="LN573" s="3"/>
      <c r="LO573" s="3"/>
      <c r="LP573" s="3"/>
      <c r="LQ573" s="3"/>
      <c r="LR573" s="3"/>
      <c r="LS573" s="3"/>
      <c r="LT573" s="3"/>
      <c r="LU573" s="3"/>
      <c r="LV573" s="3"/>
      <c r="LW573" s="3"/>
      <c r="LX573" s="3"/>
      <c r="LY573" s="3"/>
      <c r="LZ573" s="3"/>
      <c r="MA573" s="3"/>
      <c r="MB573" s="3"/>
      <c r="MC573" s="3"/>
      <c r="MD573" s="3"/>
      <c r="ME573" s="3"/>
      <c r="MF573" s="3"/>
      <c r="MG573" s="3"/>
      <c r="MH573" s="3"/>
      <c r="MI573" s="3"/>
    </row>
    <row r="574" spans="1:347"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ID574" s="3"/>
      <c r="IE574" s="3"/>
      <c r="IF574" s="3"/>
      <c r="IG574" s="3"/>
      <c r="IH574" s="3"/>
      <c r="II574" s="3"/>
      <c r="IJ574" s="3"/>
      <c r="IK574" s="3"/>
      <c r="IL574" s="3"/>
      <c r="IM574" s="3"/>
      <c r="IN574" s="3"/>
      <c r="IO574" s="3"/>
      <c r="IP574" s="3"/>
      <c r="IQ574" s="3"/>
      <c r="IR574" s="3"/>
      <c r="IS574" s="3"/>
      <c r="IT574" s="3"/>
      <c r="IU574" s="3"/>
      <c r="IV574" s="3"/>
      <c r="IW574" s="3"/>
      <c r="IX574" s="3"/>
      <c r="IY574" s="3"/>
      <c r="IZ574" s="3"/>
      <c r="JA574" s="3"/>
      <c r="JB574" s="3"/>
      <c r="JC574" s="3"/>
      <c r="JD574" s="3"/>
      <c r="JE574" s="3"/>
      <c r="JF574" s="3"/>
      <c r="JG574" s="3"/>
      <c r="JH574" s="3"/>
      <c r="JI574" s="3"/>
      <c r="JJ574" s="3"/>
      <c r="JK574" s="3"/>
      <c r="JL574" s="3"/>
      <c r="JM574" s="3"/>
      <c r="JN574" s="3"/>
      <c r="JO574" s="3"/>
      <c r="JP574" s="3"/>
      <c r="JQ574" s="3"/>
      <c r="JR574" s="3"/>
      <c r="JS574" s="3"/>
      <c r="JT574" s="3"/>
      <c r="JU574" s="3"/>
      <c r="JV574" s="3"/>
      <c r="JW574" s="3"/>
      <c r="JX574" s="3"/>
      <c r="JY574" s="3"/>
      <c r="JZ574" s="3"/>
      <c r="KA574" s="3"/>
      <c r="KB574" s="3"/>
      <c r="KC574" s="3"/>
      <c r="KD574" s="3"/>
      <c r="KE574" s="3"/>
      <c r="KF574" s="3"/>
      <c r="KG574" s="3"/>
      <c r="KH574" s="3"/>
      <c r="KI574" s="3"/>
      <c r="KJ574" s="3"/>
      <c r="KK574" s="3"/>
      <c r="KL574" s="3"/>
      <c r="KM574" s="3"/>
      <c r="KN574" s="3"/>
      <c r="KO574" s="3"/>
      <c r="KP574" s="3"/>
      <c r="KQ574" s="3"/>
      <c r="KR574" s="3"/>
      <c r="KS574" s="3"/>
      <c r="KT574" s="3"/>
      <c r="KU574" s="3"/>
      <c r="KV574" s="3"/>
      <c r="KW574" s="3"/>
      <c r="KX574" s="3"/>
      <c r="KY574" s="3"/>
      <c r="KZ574" s="3"/>
      <c r="LA574" s="3"/>
      <c r="LB574" s="3"/>
      <c r="LC574" s="3"/>
      <c r="LD574" s="3"/>
      <c r="LE574" s="3"/>
      <c r="LF574" s="3"/>
      <c r="LG574" s="3"/>
      <c r="LH574" s="3"/>
      <c r="LI574" s="3"/>
      <c r="LJ574" s="3"/>
      <c r="LK574" s="3"/>
      <c r="LL574" s="3"/>
      <c r="LM574" s="3"/>
      <c r="LN574" s="3"/>
      <c r="LO574" s="3"/>
      <c r="LP574" s="3"/>
      <c r="LQ574" s="3"/>
      <c r="LR574" s="3"/>
      <c r="LS574" s="3"/>
      <c r="LT574" s="3"/>
      <c r="LU574" s="3"/>
      <c r="LV574" s="3"/>
      <c r="LW574" s="3"/>
      <c r="LX574" s="3"/>
      <c r="LY574" s="3"/>
      <c r="LZ574" s="3"/>
      <c r="MA574" s="3"/>
      <c r="MB574" s="3"/>
      <c r="MC574" s="3"/>
      <c r="MD574" s="3"/>
      <c r="ME574" s="3"/>
      <c r="MF574" s="3"/>
      <c r="MG574" s="3"/>
      <c r="MH574" s="3"/>
      <c r="MI574" s="3"/>
    </row>
    <row r="575" spans="1:347"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ID575" s="3"/>
      <c r="IE575" s="3"/>
      <c r="IF575" s="3"/>
      <c r="IG575" s="3"/>
      <c r="IH575" s="3"/>
      <c r="II575" s="3"/>
      <c r="IJ575" s="3"/>
      <c r="IK575" s="3"/>
      <c r="IL575" s="3"/>
      <c r="IM575" s="3"/>
      <c r="IN575" s="3"/>
      <c r="IO575" s="3"/>
      <c r="IP575" s="3"/>
      <c r="IQ575" s="3"/>
      <c r="IR575" s="3"/>
      <c r="IS575" s="3"/>
      <c r="IT575" s="3"/>
      <c r="IU575" s="3"/>
      <c r="IV575" s="3"/>
      <c r="IW575" s="3"/>
      <c r="IX575" s="3"/>
      <c r="IY575" s="3"/>
      <c r="IZ575" s="3"/>
      <c r="JA575" s="3"/>
      <c r="JB575" s="3"/>
      <c r="JC575" s="3"/>
      <c r="JD575" s="3"/>
      <c r="JE575" s="3"/>
      <c r="JF575" s="3"/>
      <c r="JG575" s="3"/>
      <c r="JH575" s="3"/>
      <c r="JI575" s="3"/>
      <c r="JJ575" s="3"/>
      <c r="JK575" s="3"/>
      <c r="JL575" s="3"/>
      <c r="JM575" s="3"/>
      <c r="JN575" s="3"/>
      <c r="JO575" s="3"/>
      <c r="JP575" s="3"/>
      <c r="JQ575" s="3"/>
      <c r="JR575" s="3"/>
      <c r="JS575" s="3"/>
      <c r="JT575" s="3"/>
      <c r="JU575" s="3"/>
      <c r="JV575" s="3"/>
      <c r="JW575" s="3"/>
      <c r="JX575" s="3"/>
      <c r="JY575" s="3"/>
      <c r="JZ575" s="3"/>
      <c r="KA575" s="3"/>
      <c r="KB575" s="3"/>
      <c r="KC575" s="3"/>
      <c r="KD575" s="3"/>
      <c r="KE575" s="3"/>
      <c r="KF575" s="3"/>
      <c r="KG575" s="3"/>
      <c r="KH575" s="3"/>
      <c r="KI575" s="3"/>
      <c r="KJ575" s="3"/>
      <c r="KK575" s="3"/>
      <c r="KL575" s="3"/>
      <c r="KM575" s="3"/>
      <c r="KN575" s="3"/>
      <c r="KO575" s="3"/>
      <c r="KP575" s="3"/>
      <c r="KQ575" s="3"/>
      <c r="KR575" s="3"/>
      <c r="KS575" s="3"/>
      <c r="KT575" s="3"/>
      <c r="KU575" s="3"/>
      <c r="KV575" s="3"/>
      <c r="KW575" s="3"/>
      <c r="KX575" s="3"/>
      <c r="KY575" s="3"/>
      <c r="KZ575" s="3"/>
      <c r="LA575" s="3"/>
      <c r="LB575" s="3"/>
      <c r="LC575" s="3"/>
      <c r="LD575" s="3"/>
      <c r="LE575" s="3"/>
      <c r="LF575" s="3"/>
      <c r="LG575" s="3"/>
      <c r="LH575" s="3"/>
      <c r="LI575" s="3"/>
      <c r="LJ575" s="3"/>
      <c r="LK575" s="3"/>
      <c r="LL575" s="3"/>
      <c r="LM575" s="3"/>
      <c r="LN575" s="3"/>
      <c r="LO575" s="3"/>
      <c r="LP575" s="3"/>
      <c r="LQ575" s="3"/>
      <c r="LR575" s="3"/>
      <c r="LS575" s="3"/>
      <c r="LT575" s="3"/>
      <c r="LU575" s="3"/>
      <c r="LV575" s="3"/>
      <c r="LW575" s="3"/>
      <c r="LX575" s="3"/>
      <c r="LY575" s="3"/>
      <c r="LZ575" s="3"/>
      <c r="MA575" s="3"/>
      <c r="MB575" s="3"/>
      <c r="MC575" s="3"/>
      <c r="MD575" s="3"/>
      <c r="ME575" s="3"/>
      <c r="MF575" s="3"/>
      <c r="MG575" s="3"/>
      <c r="MH575" s="3"/>
      <c r="MI575" s="3"/>
    </row>
    <row r="576" spans="1:347"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ID576" s="3"/>
      <c r="IE576" s="3"/>
      <c r="IF576" s="3"/>
      <c r="IG576" s="3"/>
      <c r="IH576" s="3"/>
      <c r="II576" s="3"/>
      <c r="IJ576" s="3"/>
      <c r="IK576" s="3"/>
      <c r="IL576" s="3"/>
      <c r="IM576" s="3"/>
      <c r="IN576" s="3"/>
      <c r="IO576" s="3"/>
      <c r="IP576" s="3"/>
      <c r="IQ576" s="3"/>
      <c r="IR576" s="3"/>
      <c r="IS576" s="3"/>
      <c r="IT576" s="3"/>
      <c r="IU576" s="3"/>
      <c r="IV576" s="3"/>
      <c r="IW576" s="3"/>
      <c r="IX576" s="3"/>
      <c r="IY576" s="3"/>
      <c r="IZ576" s="3"/>
      <c r="JA576" s="3"/>
      <c r="JB576" s="3"/>
      <c r="JC576" s="3"/>
      <c r="JD576" s="3"/>
      <c r="JE576" s="3"/>
      <c r="JF576" s="3"/>
      <c r="JG576" s="3"/>
      <c r="JH576" s="3"/>
      <c r="JI576" s="3"/>
      <c r="JJ576" s="3"/>
      <c r="JK576" s="3"/>
      <c r="JL576" s="3"/>
      <c r="JM576" s="3"/>
      <c r="JN576" s="3"/>
      <c r="JO576" s="3"/>
      <c r="JP576" s="3"/>
      <c r="JQ576" s="3"/>
      <c r="JR576" s="3"/>
      <c r="JS576" s="3"/>
      <c r="JT576" s="3"/>
      <c r="JU576" s="3"/>
      <c r="JV576" s="3"/>
      <c r="JW576" s="3"/>
      <c r="JX576" s="3"/>
      <c r="JY576" s="3"/>
      <c r="JZ576" s="3"/>
      <c r="KA576" s="3"/>
      <c r="KB576" s="3"/>
      <c r="KC576" s="3"/>
      <c r="KD576" s="3"/>
      <c r="KE576" s="3"/>
      <c r="KF576" s="3"/>
      <c r="KG576" s="3"/>
      <c r="KH576" s="3"/>
      <c r="KI576" s="3"/>
      <c r="KJ576" s="3"/>
      <c r="KK576" s="3"/>
      <c r="KL576" s="3"/>
      <c r="KM576" s="3"/>
      <c r="KN576" s="3"/>
      <c r="KO576" s="3"/>
      <c r="KP576" s="3"/>
      <c r="KQ576" s="3"/>
      <c r="KR576" s="3"/>
      <c r="KS576" s="3"/>
      <c r="KT576" s="3"/>
      <c r="KU576" s="3"/>
      <c r="KV576" s="3"/>
      <c r="KW576" s="3"/>
      <c r="KX576" s="3"/>
      <c r="KY576" s="3"/>
      <c r="KZ576" s="3"/>
      <c r="LA576" s="3"/>
      <c r="LB576" s="3"/>
      <c r="LC576" s="3"/>
      <c r="LD576" s="3"/>
      <c r="LE576" s="3"/>
      <c r="LF576" s="3"/>
      <c r="LG576" s="3"/>
      <c r="LH576" s="3"/>
      <c r="LI576" s="3"/>
      <c r="LJ576" s="3"/>
      <c r="LK576" s="3"/>
      <c r="LL576" s="3"/>
      <c r="LM576" s="3"/>
      <c r="LN576" s="3"/>
      <c r="LO576" s="3"/>
      <c r="LP576" s="3"/>
      <c r="LQ576" s="3"/>
      <c r="LR576" s="3"/>
      <c r="LS576" s="3"/>
      <c r="LT576" s="3"/>
      <c r="LU576" s="3"/>
      <c r="LV576" s="3"/>
      <c r="LW576" s="3"/>
      <c r="LX576" s="3"/>
      <c r="LY576" s="3"/>
      <c r="LZ576" s="3"/>
      <c r="MA576" s="3"/>
      <c r="MB576" s="3"/>
      <c r="MC576" s="3"/>
      <c r="MD576" s="3"/>
      <c r="ME576" s="3"/>
      <c r="MF576" s="3"/>
      <c r="MG576" s="3"/>
      <c r="MH576" s="3"/>
      <c r="MI576" s="3"/>
    </row>
    <row r="577" spans="1:347"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ID577" s="3"/>
      <c r="IE577" s="3"/>
      <c r="IF577" s="3"/>
      <c r="IG577" s="3"/>
      <c r="IH577" s="3"/>
      <c r="II577" s="3"/>
      <c r="IJ577" s="3"/>
      <c r="IK577" s="3"/>
      <c r="IL577" s="3"/>
      <c r="IM577" s="3"/>
      <c r="IN577" s="3"/>
      <c r="IO577" s="3"/>
      <c r="IP577" s="3"/>
      <c r="IQ577" s="3"/>
      <c r="IR577" s="3"/>
      <c r="IS577" s="3"/>
      <c r="IT577" s="3"/>
      <c r="IU577" s="3"/>
      <c r="IV577" s="3"/>
      <c r="IW577" s="3"/>
      <c r="IX577" s="3"/>
      <c r="IY577" s="3"/>
      <c r="IZ577" s="3"/>
      <c r="JA577" s="3"/>
      <c r="JB577" s="3"/>
      <c r="JC577" s="3"/>
      <c r="JD577" s="3"/>
      <c r="JE577" s="3"/>
      <c r="JF577" s="3"/>
      <c r="JG577" s="3"/>
      <c r="JH577" s="3"/>
      <c r="JI577" s="3"/>
      <c r="JJ577" s="3"/>
      <c r="JK577" s="3"/>
      <c r="JL577" s="3"/>
      <c r="JM577" s="3"/>
      <c r="JN577" s="3"/>
      <c r="JO577" s="3"/>
      <c r="JP577" s="3"/>
      <c r="JQ577" s="3"/>
      <c r="JR577" s="3"/>
      <c r="JS577" s="3"/>
      <c r="JT577" s="3"/>
      <c r="JU577" s="3"/>
      <c r="JV577" s="3"/>
      <c r="JW577" s="3"/>
      <c r="JX577" s="3"/>
      <c r="JY577" s="3"/>
      <c r="JZ577" s="3"/>
      <c r="KA577" s="3"/>
      <c r="KB577" s="3"/>
      <c r="KC577" s="3"/>
      <c r="KD577" s="3"/>
      <c r="KE577" s="3"/>
      <c r="KF577" s="3"/>
      <c r="KG577" s="3"/>
      <c r="KH577" s="3"/>
      <c r="KI577" s="3"/>
      <c r="KJ577" s="3"/>
      <c r="KK577" s="3"/>
      <c r="KL577" s="3"/>
      <c r="KM577" s="3"/>
      <c r="KN577" s="3"/>
      <c r="KO577" s="3"/>
      <c r="KP577" s="3"/>
      <c r="KQ577" s="3"/>
      <c r="KR577" s="3"/>
      <c r="KS577" s="3"/>
      <c r="KT577" s="3"/>
      <c r="KU577" s="3"/>
      <c r="KV577" s="3"/>
      <c r="KW577" s="3"/>
      <c r="KX577" s="3"/>
      <c r="KY577" s="3"/>
      <c r="KZ577" s="3"/>
      <c r="LA577" s="3"/>
      <c r="LB577" s="3"/>
      <c r="LC577" s="3"/>
      <c r="LD577" s="3"/>
      <c r="LE577" s="3"/>
      <c r="LF577" s="3"/>
      <c r="LG577" s="3"/>
      <c r="LH577" s="3"/>
      <c r="LI577" s="3"/>
      <c r="LJ577" s="3"/>
      <c r="LK577" s="3"/>
      <c r="LL577" s="3"/>
      <c r="LM577" s="3"/>
      <c r="LN577" s="3"/>
      <c r="LO577" s="3"/>
      <c r="LP577" s="3"/>
      <c r="LQ577" s="3"/>
      <c r="LR577" s="3"/>
      <c r="LS577" s="3"/>
      <c r="LT577" s="3"/>
      <c r="LU577" s="3"/>
      <c r="LV577" s="3"/>
      <c r="LW577" s="3"/>
      <c r="LX577" s="3"/>
      <c r="LY577" s="3"/>
      <c r="LZ577" s="3"/>
      <c r="MA577" s="3"/>
      <c r="MB577" s="3"/>
      <c r="MC577" s="3"/>
      <c r="MD577" s="3"/>
      <c r="ME577" s="3"/>
      <c r="MF577" s="3"/>
      <c r="MG577" s="3"/>
      <c r="MH577" s="3"/>
      <c r="MI577" s="3"/>
    </row>
    <row r="578" spans="1:347"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ID578" s="3"/>
      <c r="IE578" s="3"/>
      <c r="IF578" s="3"/>
      <c r="IG578" s="3"/>
      <c r="IH578" s="3"/>
      <c r="II578" s="3"/>
      <c r="IJ578" s="3"/>
      <c r="IK578" s="3"/>
      <c r="IL578" s="3"/>
      <c r="IM578" s="3"/>
      <c r="IN578" s="3"/>
      <c r="IO578" s="3"/>
      <c r="IP578" s="3"/>
      <c r="IQ578" s="3"/>
      <c r="IR578" s="3"/>
      <c r="IS578" s="3"/>
      <c r="IT578" s="3"/>
      <c r="IU578" s="3"/>
      <c r="IV578" s="3"/>
      <c r="IW578" s="3"/>
      <c r="IX578" s="3"/>
      <c r="IY578" s="3"/>
      <c r="IZ578" s="3"/>
      <c r="JA578" s="3"/>
      <c r="JB578" s="3"/>
      <c r="JC578" s="3"/>
      <c r="JD578" s="3"/>
      <c r="JE578" s="3"/>
      <c r="JF578" s="3"/>
      <c r="JG578" s="3"/>
      <c r="JH578" s="3"/>
      <c r="JI578" s="3"/>
      <c r="JJ578" s="3"/>
      <c r="JK578" s="3"/>
      <c r="JL578" s="3"/>
      <c r="JM578" s="3"/>
      <c r="JN578" s="3"/>
      <c r="JO578" s="3"/>
      <c r="JP578" s="3"/>
      <c r="JQ578" s="3"/>
      <c r="JR578" s="3"/>
      <c r="JS578" s="3"/>
      <c r="JT578" s="3"/>
      <c r="JU578" s="3"/>
      <c r="JV578" s="3"/>
      <c r="JW578" s="3"/>
      <c r="JX578" s="3"/>
      <c r="JY578" s="3"/>
      <c r="JZ578" s="3"/>
      <c r="KA578" s="3"/>
      <c r="KB578" s="3"/>
      <c r="KC578" s="3"/>
      <c r="KD578" s="3"/>
      <c r="KE578" s="3"/>
      <c r="KF578" s="3"/>
      <c r="KG578" s="3"/>
      <c r="KH578" s="3"/>
      <c r="KI578" s="3"/>
      <c r="KJ578" s="3"/>
      <c r="KK578" s="3"/>
      <c r="KL578" s="3"/>
      <c r="KM578" s="3"/>
      <c r="KN578" s="3"/>
      <c r="KO578" s="3"/>
      <c r="KP578" s="3"/>
      <c r="KQ578" s="3"/>
      <c r="KR578" s="3"/>
      <c r="KS578" s="3"/>
      <c r="KT578" s="3"/>
      <c r="KU578" s="3"/>
      <c r="KV578" s="3"/>
      <c r="KW578" s="3"/>
      <c r="KX578" s="3"/>
      <c r="KY578" s="3"/>
      <c r="KZ578" s="3"/>
      <c r="LA578" s="3"/>
      <c r="LB578" s="3"/>
      <c r="LC578" s="3"/>
      <c r="LD578" s="3"/>
      <c r="LE578" s="3"/>
      <c r="LF578" s="3"/>
      <c r="LG578" s="3"/>
      <c r="LH578" s="3"/>
      <c r="LI578" s="3"/>
      <c r="LJ578" s="3"/>
      <c r="LK578" s="3"/>
      <c r="LL578" s="3"/>
      <c r="LM578" s="3"/>
      <c r="LN578" s="3"/>
      <c r="LO578" s="3"/>
      <c r="LP578" s="3"/>
      <c r="LQ578" s="3"/>
      <c r="LR578" s="3"/>
      <c r="LS578" s="3"/>
      <c r="LT578" s="3"/>
      <c r="LU578" s="3"/>
      <c r="LV578" s="3"/>
      <c r="LW578" s="3"/>
      <c r="LX578" s="3"/>
      <c r="LY578" s="3"/>
      <c r="LZ578" s="3"/>
      <c r="MA578" s="3"/>
      <c r="MB578" s="3"/>
      <c r="MC578" s="3"/>
      <c r="MD578" s="3"/>
      <c r="ME578" s="3"/>
      <c r="MF578" s="3"/>
      <c r="MG578" s="3"/>
      <c r="MH578" s="3"/>
      <c r="MI578" s="3"/>
    </row>
    <row r="579" spans="1:347"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ID579" s="3"/>
      <c r="IE579" s="3"/>
      <c r="IF579" s="3"/>
      <c r="IG579" s="3"/>
      <c r="IH579" s="3"/>
      <c r="II579" s="3"/>
      <c r="IJ579" s="3"/>
      <c r="IK579" s="3"/>
      <c r="IL579" s="3"/>
      <c r="IM579" s="3"/>
      <c r="IN579" s="3"/>
      <c r="IO579" s="3"/>
      <c r="IP579" s="3"/>
      <c r="IQ579" s="3"/>
      <c r="IR579" s="3"/>
      <c r="IS579" s="3"/>
      <c r="IT579" s="3"/>
      <c r="IU579" s="3"/>
      <c r="IV579" s="3"/>
      <c r="IW579" s="3"/>
      <c r="IX579" s="3"/>
      <c r="IY579" s="3"/>
      <c r="IZ579" s="3"/>
      <c r="JA579" s="3"/>
      <c r="JB579" s="3"/>
      <c r="JC579" s="3"/>
      <c r="JD579" s="3"/>
      <c r="JE579" s="3"/>
      <c r="JF579" s="3"/>
      <c r="JG579" s="3"/>
      <c r="JH579" s="3"/>
      <c r="JI579" s="3"/>
      <c r="JJ579" s="3"/>
      <c r="JK579" s="3"/>
      <c r="JL579" s="3"/>
      <c r="JM579" s="3"/>
      <c r="JN579" s="3"/>
      <c r="JO579" s="3"/>
      <c r="JP579" s="3"/>
      <c r="JQ579" s="3"/>
      <c r="JR579" s="3"/>
      <c r="JS579" s="3"/>
      <c r="JT579" s="3"/>
      <c r="JU579" s="3"/>
      <c r="JV579" s="3"/>
      <c r="JW579" s="3"/>
      <c r="JX579" s="3"/>
      <c r="JY579" s="3"/>
      <c r="JZ579" s="3"/>
      <c r="KA579" s="3"/>
      <c r="KB579" s="3"/>
      <c r="KC579" s="3"/>
      <c r="KD579" s="3"/>
      <c r="KE579" s="3"/>
      <c r="KF579" s="3"/>
      <c r="KG579" s="3"/>
      <c r="KH579" s="3"/>
      <c r="KI579" s="3"/>
      <c r="KJ579" s="3"/>
      <c r="KK579" s="3"/>
      <c r="KL579" s="3"/>
      <c r="KM579" s="3"/>
      <c r="KN579" s="3"/>
      <c r="KO579" s="3"/>
      <c r="KP579" s="3"/>
      <c r="KQ579" s="3"/>
      <c r="KR579" s="3"/>
      <c r="KS579" s="3"/>
      <c r="KT579" s="3"/>
      <c r="KU579" s="3"/>
      <c r="KV579" s="3"/>
      <c r="KW579" s="3"/>
      <c r="KX579" s="3"/>
      <c r="KY579" s="3"/>
      <c r="KZ579" s="3"/>
      <c r="LA579" s="3"/>
      <c r="LB579" s="3"/>
      <c r="LC579" s="3"/>
      <c r="LD579" s="3"/>
      <c r="LE579" s="3"/>
      <c r="LF579" s="3"/>
      <c r="LG579" s="3"/>
      <c r="LH579" s="3"/>
      <c r="LI579" s="3"/>
      <c r="LJ579" s="3"/>
      <c r="LK579" s="3"/>
      <c r="LL579" s="3"/>
      <c r="LM579" s="3"/>
      <c r="LN579" s="3"/>
      <c r="LO579" s="3"/>
      <c r="LP579" s="3"/>
      <c r="LQ579" s="3"/>
      <c r="LR579" s="3"/>
      <c r="LS579" s="3"/>
      <c r="LT579" s="3"/>
      <c r="LU579" s="3"/>
      <c r="LV579" s="3"/>
      <c r="LW579" s="3"/>
      <c r="LX579" s="3"/>
      <c r="LY579" s="3"/>
      <c r="LZ579" s="3"/>
      <c r="MA579" s="3"/>
      <c r="MB579" s="3"/>
      <c r="MC579" s="3"/>
      <c r="MD579" s="3"/>
      <c r="ME579" s="3"/>
      <c r="MF579" s="3"/>
      <c r="MG579" s="3"/>
      <c r="MH579" s="3"/>
      <c r="MI579" s="3"/>
    </row>
    <row r="580" spans="1:347"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ID580" s="3"/>
      <c r="IE580" s="3"/>
      <c r="IF580" s="3"/>
      <c r="IG580" s="3"/>
      <c r="IH580" s="3"/>
      <c r="II580" s="3"/>
      <c r="IJ580" s="3"/>
      <c r="IK580" s="3"/>
      <c r="IL580" s="3"/>
      <c r="IM580" s="3"/>
      <c r="IN580" s="3"/>
      <c r="IO580" s="3"/>
      <c r="IP580" s="3"/>
      <c r="IQ580" s="3"/>
      <c r="IR580" s="3"/>
      <c r="IS580" s="3"/>
      <c r="IT580" s="3"/>
      <c r="IU580" s="3"/>
      <c r="IV580" s="3"/>
      <c r="IW580" s="3"/>
      <c r="IX580" s="3"/>
      <c r="IY580" s="3"/>
      <c r="IZ580" s="3"/>
      <c r="JA580" s="3"/>
      <c r="JB580" s="3"/>
      <c r="JC580" s="3"/>
      <c r="JD580" s="3"/>
      <c r="JE580" s="3"/>
      <c r="JF580" s="3"/>
      <c r="JG580" s="3"/>
      <c r="JH580" s="3"/>
      <c r="JI580" s="3"/>
      <c r="JJ580" s="3"/>
      <c r="JK580" s="3"/>
      <c r="JL580" s="3"/>
      <c r="JM580" s="3"/>
      <c r="JN580" s="3"/>
      <c r="JO580" s="3"/>
      <c r="JP580" s="3"/>
      <c r="JQ580" s="3"/>
      <c r="JR580" s="3"/>
      <c r="JS580" s="3"/>
      <c r="JT580" s="3"/>
      <c r="JU580" s="3"/>
      <c r="JV580" s="3"/>
      <c r="JW580" s="3"/>
      <c r="JX580" s="3"/>
      <c r="JY580" s="3"/>
      <c r="JZ580" s="3"/>
      <c r="KA580" s="3"/>
      <c r="KB580" s="3"/>
      <c r="KC580" s="3"/>
      <c r="KD580" s="3"/>
      <c r="KE580" s="3"/>
      <c r="KF580" s="3"/>
      <c r="KG580" s="3"/>
      <c r="KH580" s="3"/>
      <c r="KI580" s="3"/>
      <c r="KJ580" s="3"/>
      <c r="KK580" s="3"/>
      <c r="KL580" s="3"/>
      <c r="KM580" s="3"/>
      <c r="KN580" s="3"/>
      <c r="KO580" s="3"/>
      <c r="KP580" s="3"/>
      <c r="KQ580" s="3"/>
      <c r="KR580" s="3"/>
      <c r="KS580" s="3"/>
      <c r="KT580" s="3"/>
      <c r="KU580" s="3"/>
      <c r="KV580" s="3"/>
      <c r="KW580" s="3"/>
      <c r="KX580" s="3"/>
      <c r="KY580" s="3"/>
      <c r="KZ580" s="3"/>
      <c r="LA580" s="3"/>
      <c r="LB580" s="3"/>
      <c r="LC580" s="3"/>
      <c r="LD580" s="3"/>
      <c r="LE580" s="3"/>
      <c r="LF580" s="3"/>
      <c r="LG580" s="3"/>
      <c r="LH580" s="3"/>
      <c r="LI580" s="3"/>
      <c r="LJ580" s="3"/>
      <c r="LK580" s="3"/>
      <c r="LL580" s="3"/>
      <c r="LM580" s="3"/>
      <c r="LN580" s="3"/>
      <c r="LO580" s="3"/>
      <c r="LP580" s="3"/>
      <c r="LQ580" s="3"/>
      <c r="LR580" s="3"/>
      <c r="LS580" s="3"/>
      <c r="LT580" s="3"/>
      <c r="LU580" s="3"/>
      <c r="LV580" s="3"/>
      <c r="LW580" s="3"/>
      <c r="LX580" s="3"/>
      <c r="LY580" s="3"/>
      <c r="LZ580" s="3"/>
      <c r="MA580" s="3"/>
      <c r="MB580" s="3"/>
      <c r="MC580" s="3"/>
      <c r="MD580" s="3"/>
      <c r="ME580" s="3"/>
      <c r="MF580" s="3"/>
      <c r="MG580" s="3"/>
      <c r="MH580" s="3"/>
      <c r="MI580" s="3"/>
    </row>
    <row r="581" spans="1:347"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ID581" s="3"/>
      <c r="IE581" s="3"/>
      <c r="IF581" s="3"/>
      <c r="IG581" s="3"/>
      <c r="IH581" s="3"/>
      <c r="II581" s="3"/>
      <c r="IJ581" s="3"/>
      <c r="IK581" s="3"/>
      <c r="IL581" s="3"/>
      <c r="IM581" s="3"/>
      <c r="IN581" s="3"/>
      <c r="IO581" s="3"/>
      <c r="IP581" s="3"/>
      <c r="IQ581" s="3"/>
      <c r="IR581" s="3"/>
      <c r="IS581" s="3"/>
      <c r="IT581" s="3"/>
      <c r="IU581" s="3"/>
      <c r="IV581" s="3"/>
      <c r="IW581" s="3"/>
      <c r="IX581" s="3"/>
      <c r="IY581" s="3"/>
      <c r="IZ581" s="3"/>
      <c r="JA581" s="3"/>
      <c r="JB581" s="3"/>
      <c r="JC581" s="3"/>
      <c r="JD581" s="3"/>
      <c r="JE581" s="3"/>
      <c r="JF581" s="3"/>
      <c r="JG581" s="3"/>
      <c r="JH581" s="3"/>
      <c r="JI581" s="3"/>
      <c r="JJ581" s="3"/>
      <c r="JK581" s="3"/>
      <c r="JL581" s="3"/>
      <c r="JM581" s="3"/>
      <c r="JN581" s="3"/>
      <c r="JO581" s="3"/>
      <c r="JP581" s="3"/>
      <c r="JQ581" s="3"/>
      <c r="JR581" s="3"/>
      <c r="JS581" s="3"/>
      <c r="JT581" s="3"/>
      <c r="JU581" s="3"/>
      <c r="JV581" s="3"/>
      <c r="JW581" s="3"/>
      <c r="JX581" s="3"/>
      <c r="JY581" s="3"/>
      <c r="JZ581" s="3"/>
      <c r="KA581" s="3"/>
      <c r="KB581" s="3"/>
      <c r="KC581" s="3"/>
      <c r="KD581" s="3"/>
      <c r="KE581" s="3"/>
      <c r="KF581" s="3"/>
      <c r="KG581" s="3"/>
      <c r="KH581" s="3"/>
      <c r="KI581" s="3"/>
      <c r="KJ581" s="3"/>
      <c r="KK581" s="3"/>
      <c r="KL581" s="3"/>
      <c r="KM581" s="3"/>
      <c r="KN581" s="3"/>
      <c r="KO581" s="3"/>
      <c r="KP581" s="3"/>
      <c r="KQ581" s="3"/>
      <c r="KR581" s="3"/>
      <c r="KS581" s="3"/>
      <c r="KT581" s="3"/>
      <c r="KU581" s="3"/>
      <c r="KV581" s="3"/>
      <c r="KW581" s="3"/>
      <c r="KX581" s="3"/>
      <c r="KY581" s="3"/>
      <c r="KZ581" s="3"/>
      <c r="LA581" s="3"/>
      <c r="LB581" s="3"/>
      <c r="LC581" s="3"/>
      <c r="LD581" s="3"/>
      <c r="LE581" s="3"/>
      <c r="LF581" s="3"/>
      <c r="LG581" s="3"/>
      <c r="LH581" s="3"/>
      <c r="LI581" s="3"/>
      <c r="LJ581" s="3"/>
      <c r="LK581" s="3"/>
      <c r="LL581" s="3"/>
      <c r="LM581" s="3"/>
      <c r="LN581" s="3"/>
      <c r="LO581" s="3"/>
      <c r="LP581" s="3"/>
      <c r="LQ581" s="3"/>
      <c r="LR581" s="3"/>
      <c r="LS581" s="3"/>
      <c r="LT581" s="3"/>
      <c r="LU581" s="3"/>
      <c r="LV581" s="3"/>
      <c r="LW581" s="3"/>
      <c r="LX581" s="3"/>
      <c r="LY581" s="3"/>
      <c r="LZ581" s="3"/>
      <c r="MA581" s="3"/>
      <c r="MB581" s="3"/>
      <c r="MC581" s="3"/>
      <c r="MD581" s="3"/>
      <c r="ME581" s="3"/>
      <c r="MF581" s="3"/>
      <c r="MG581" s="3"/>
      <c r="MH581" s="3"/>
      <c r="MI581" s="3"/>
    </row>
    <row r="582" spans="1:347"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ID582" s="3"/>
      <c r="IE582" s="3"/>
      <c r="IF582" s="3"/>
      <c r="IG582" s="3"/>
      <c r="IH582" s="3"/>
      <c r="II582" s="3"/>
      <c r="IJ582" s="3"/>
      <c r="IK582" s="3"/>
      <c r="IL582" s="3"/>
      <c r="IM582" s="3"/>
      <c r="IN582" s="3"/>
      <c r="IO582" s="3"/>
      <c r="IP582" s="3"/>
      <c r="IQ582" s="3"/>
      <c r="IR582" s="3"/>
      <c r="IS582" s="3"/>
      <c r="IT582" s="3"/>
      <c r="IU582" s="3"/>
      <c r="IV582" s="3"/>
      <c r="IW582" s="3"/>
      <c r="IX582" s="3"/>
      <c r="IY582" s="3"/>
      <c r="IZ582" s="3"/>
      <c r="JA582" s="3"/>
      <c r="JB582" s="3"/>
      <c r="JC582" s="3"/>
      <c r="JD582" s="3"/>
      <c r="JE582" s="3"/>
      <c r="JF582" s="3"/>
      <c r="JG582" s="3"/>
      <c r="JH582" s="3"/>
      <c r="JI582" s="3"/>
      <c r="JJ582" s="3"/>
      <c r="JK582" s="3"/>
      <c r="JL582" s="3"/>
      <c r="JM582" s="3"/>
      <c r="JN582" s="3"/>
      <c r="JO582" s="3"/>
      <c r="JP582" s="3"/>
      <c r="JQ582" s="3"/>
      <c r="JR582" s="3"/>
      <c r="JS582" s="3"/>
      <c r="JT582" s="3"/>
      <c r="JU582" s="3"/>
      <c r="JV582" s="3"/>
      <c r="JW582" s="3"/>
      <c r="JX582" s="3"/>
      <c r="JY582" s="3"/>
      <c r="JZ582" s="3"/>
      <c r="KA582" s="3"/>
      <c r="KB582" s="3"/>
      <c r="KC582" s="3"/>
      <c r="KD582" s="3"/>
      <c r="KE582" s="3"/>
      <c r="KF582" s="3"/>
      <c r="KG582" s="3"/>
      <c r="KH582" s="3"/>
      <c r="KI582" s="3"/>
      <c r="KJ582" s="3"/>
      <c r="KK582" s="3"/>
      <c r="KL582" s="3"/>
      <c r="KM582" s="3"/>
      <c r="KN582" s="3"/>
      <c r="KO582" s="3"/>
      <c r="KP582" s="3"/>
      <c r="KQ582" s="3"/>
      <c r="KR582" s="3"/>
      <c r="KS582" s="3"/>
      <c r="KT582" s="3"/>
      <c r="KU582" s="3"/>
      <c r="KV582" s="3"/>
      <c r="KW582" s="3"/>
      <c r="KX582" s="3"/>
      <c r="KY582" s="3"/>
      <c r="KZ582" s="3"/>
      <c r="LA582" s="3"/>
      <c r="LB582" s="3"/>
      <c r="LC582" s="3"/>
      <c r="LD582" s="3"/>
      <c r="LE582" s="3"/>
      <c r="LF582" s="3"/>
      <c r="LG582" s="3"/>
      <c r="LH582" s="3"/>
      <c r="LI582" s="3"/>
      <c r="LJ582" s="3"/>
      <c r="LK582" s="3"/>
      <c r="LL582" s="3"/>
      <c r="LM582" s="3"/>
      <c r="LN582" s="3"/>
      <c r="LO582" s="3"/>
      <c r="LP582" s="3"/>
      <c r="LQ582" s="3"/>
      <c r="LR582" s="3"/>
      <c r="LS582" s="3"/>
      <c r="LT582" s="3"/>
      <c r="LU582" s="3"/>
      <c r="LV582" s="3"/>
      <c r="LW582" s="3"/>
      <c r="LX582" s="3"/>
      <c r="LY582" s="3"/>
      <c r="LZ582" s="3"/>
      <c r="MA582" s="3"/>
      <c r="MB582" s="3"/>
      <c r="MC582" s="3"/>
      <c r="MD582" s="3"/>
      <c r="ME582" s="3"/>
      <c r="MF582" s="3"/>
      <c r="MG582" s="3"/>
      <c r="MH582" s="3"/>
      <c r="MI582" s="3"/>
    </row>
    <row r="583" spans="1:347"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ID583" s="3"/>
      <c r="IE583" s="3"/>
      <c r="IF583" s="3"/>
      <c r="IG583" s="3"/>
      <c r="IH583" s="3"/>
      <c r="II583" s="3"/>
      <c r="IJ583" s="3"/>
      <c r="IK583" s="3"/>
      <c r="IL583" s="3"/>
      <c r="IM583" s="3"/>
      <c r="IN583" s="3"/>
      <c r="IO583" s="3"/>
      <c r="IP583" s="3"/>
      <c r="IQ583" s="3"/>
      <c r="IR583" s="3"/>
      <c r="IS583" s="3"/>
      <c r="IT583" s="3"/>
      <c r="IU583" s="3"/>
      <c r="IV583" s="3"/>
      <c r="IW583" s="3"/>
      <c r="IX583" s="3"/>
      <c r="IY583" s="3"/>
      <c r="IZ583" s="3"/>
      <c r="JA583" s="3"/>
      <c r="JB583" s="3"/>
      <c r="JC583" s="3"/>
      <c r="JD583" s="3"/>
      <c r="JE583" s="3"/>
      <c r="JF583" s="3"/>
      <c r="JG583" s="3"/>
      <c r="JH583" s="3"/>
      <c r="JI583" s="3"/>
      <c r="JJ583" s="3"/>
      <c r="JK583" s="3"/>
      <c r="JL583" s="3"/>
      <c r="JM583" s="3"/>
      <c r="JN583" s="3"/>
      <c r="JO583" s="3"/>
      <c r="JP583" s="3"/>
      <c r="JQ583" s="3"/>
      <c r="JR583" s="3"/>
      <c r="JS583" s="3"/>
      <c r="JT583" s="3"/>
      <c r="JU583" s="3"/>
      <c r="JV583" s="3"/>
      <c r="JW583" s="3"/>
      <c r="JX583" s="3"/>
      <c r="JY583" s="3"/>
      <c r="JZ583" s="3"/>
      <c r="KA583" s="3"/>
      <c r="KB583" s="3"/>
      <c r="KC583" s="3"/>
      <c r="KD583" s="3"/>
      <c r="KE583" s="3"/>
      <c r="KF583" s="3"/>
      <c r="KG583" s="3"/>
      <c r="KH583" s="3"/>
      <c r="KI583" s="3"/>
      <c r="KJ583" s="3"/>
      <c r="KK583" s="3"/>
      <c r="KL583" s="3"/>
      <c r="KM583" s="3"/>
      <c r="KN583" s="3"/>
      <c r="KO583" s="3"/>
      <c r="KP583" s="3"/>
      <c r="KQ583" s="3"/>
      <c r="KR583" s="3"/>
      <c r="KS583" s="3"/>
      <c r="KT583" s="3"/>
      <c r="KU583" s="3"/>
      <c r="KV583" s="3"/>
      <c r="KW583" s="3"/>
      <c r="KX583" s="3"/>
      <c r="KY583" s="3"/>
      <c r="KZ583" s="3"/>
      <c r="LA583" s="3"/>
      <c r="LB583" s="3"/>
      <c r="LC583" s="3"/>
      <c r="LD583" s="3"/>
      <c r="LE583" s="3"/>
      <c r="LF583" s="3"/>
      <c r="LG583" s="3"/>
      <c r="LH583" s="3"/>
      <c r="LI583" s="3"/>
      <c r="LJ583" s="3"/>
      <c r="LK583" s="3"/>
      <c r="LL583" s="3"/>
      <c r="LM583" s="3"/>
      <c r="LN583" s="3"/>
      <c r="LO583" s="3"/>
      <c r="LP583" s="3"/>
      <c r="LQ583" s="3"/>
      <c r="LR583" s="3"/>
      <c r="LS583" s="3"/>
      <c r="LT583" s="3"/>
      <c r="LU583" s="3"/>
      <c r="LV583" s="3"/>
      <c r="LW583" s="3"/>
      <c r="LX583" s="3"/>
      <c r="LY583" s="3"/>
      <c r="LZ583" s="3"/>
      <c r="MA583" s="3"/>
      <c r="MB583" s="3"/>
      <c r="MC583" s="3"/>
      <c r="MD583" s="3"/>
      <c r="ME583" s="3"/>
      <c r="MF583" s="3"/>
      <c r="MG583" s="3"/>
      <c r="MH583" s="3"/>
      <c r="MI583" s="3"/>
    </row>
    <row r="584" spans="1:347"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ID584" s="3"/>
      <c r="IE584" s="3"/>
      <c r="IF584" s="3"/>
      <c r="IG584" s="3"/>
      <c r="IH584" s="3"/>
      <c r="II584" s="3"/>
      <c r="IJ584" s="3"/>
      <c r="IK584" s="3"/>
      <c r="IL584" s="3"/>
      <c r="IM584" s="3"/>
      <c r="IN584" s="3"/>
      <c r="IO584" s="3"/>
      <c r="IP584" s="3"/>
      <c r="IQ584" s="3"/>
      <c r="IR584" s="3"/>
      <c r="IS584" s="3"/>
      <c r="IT584" s="3"/>
      <c r="IU584" s="3"/>
      <c r="IV584" s="3"/>
      <c r="IW584" s="3"/>
      <c r="IX584" s="3"/>
      <c r="IY584" s="3"/>
      <c r="IZ584" s="3"/>
      <c r="JA584" s="3"/>
      <c r="JB584" s="3"/>
      <c r="JC584" s="3"/>
      <c r="JD584" s="3"/>
      <c r="JE584" s="3"/>
      <c r="JF584" s="3"/>
      <c r="JG584" s="3"/>
      <c r="JH584" s="3"/>
      <c r="JI584" s="3"/>
      <c r="JJ584" s="3"/>
      <c r="JK584" s="3"/>
      <c r="JL584" s="3"/>
      <c r="JM584" s="3"/>
      <c r="JN584" s="3"/>
      <c r="JO584" s="3"/>
      <c r="JP584" s="3"/>
      <c r="JQ584" s="3"/>
      <c r="JR584" s="3"/>
      <c r="JS584" s="3"/>
      <c r="JT584" s="3"/>
      <c r="JU584" s="3"/>
      <c r="JV584" s="3"/>
      <c r="JW584" s="3"/>
      <c r="JX584" s="3"/>
      <c r="JY584" s="3"/>
      <c r="JZ584" s="3"/>
      <c r="KA584" s="3"/>
      <c r="KB584" s="3"/>
      <c r="KC584" s="3"/>
      <c r="KD584" s="3"/>
      <c r="KE584" s="3"/>
      <c r="KF584" s="3"/>
      <c r="KG584" s="3"/>
      <c r="KH584" s="3"/>
      <c r="KI584" s="3"/>
      <c r="KJ584" s="3"/>
      <c r="KK584" s="3"/>
      <c r="KL584" s="3"/>
      <c r="KM584" s="3"/>
      <c r="KN584" s="3"/>
      <c r="KO584" s="3"/>
      <c r="KP584" s="3"/>
      <c r="KQ584" s="3"/>
      <c r="KR584" s="3"/>
      <c r="KS584" s="3"/>
      <c r="KT584" s="3"/>
      <c r="KU584" s="3"/>
      <c r="KV584" s="3"/>
      <c r="KW584" s="3"/>
      <c r="KX584" s="3"/>
      <c r="KY584" s="3"/>
      <c r="KZ584" s="3"/>
      <c r="LA584" s="3"/>
      <c r="LB584" s="3"/>
      <c r="LC584" s="3"/>
      <c r="LD584" s="3"/>
      <c r="LE584" s="3"/>
      <c r="LF584" s="3"/>
      <c r="LG584" s="3"/>
      <c r="LH584" s="3"/>
      <c r="LI584" s="3"/>
      <c r="LJ584" s="3"/>
      <c r="LK584" s="3"/>
      <c r="LL584" s="3"/>
      <c r="LM584" s="3"/>
      <c r="LN584" s="3"/>
      <c r="LO584" s="3"/>
      <c r="LP584" s="3"/>
      <c r="LQ584" s="3"/>
      <c r="LR584" s="3"/>
      <c r="LS584" s="3"/>
      <c r="LT584" s="3"/>
      <c r="LU584" s="3"/>
      <c r="LV584" s="3"/>
      <c r="LW584" s="3"/>
      <c r="LX584" s="3"/>
      <c r="LY584" s="3"/>
      <c r="LZ584" s="3"/>
      <c r="MA584" s="3"/>
      <c r="MB584" s="3"/>
      <c r="MC584" s="3"/>
      <c r="MD584" s="3"/>
      <c r="ME584" s="3"/>
      <c r="MF584" s="3"/>
      <c r="MG584" s="3"/>
      <c r="MH584" s="3"/>
      <c r="MI584" s="3"/>
    </row>
    <row r="585" spans="1:347"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ID585" s="3"/>
      <c r="IE585" s="3"/>
      <c r="IF585" s="3"/>
      <c r="IG585" s="3"/>
      <c r="IH585" s="3"/>
      <c r="II585" s="3"/>
      <c r="IJ585" s="3"/>
      <c r="IK585" s="3"/>
      <c r="IL585" s="3"/>
      <c r="IM585" s="3"/>
      <c r="IN585" s="3"/>
      <c r="IO585" s="3"/>
      <c r="IP585" s="3"/>
      <c r="IQ585" s="3"/>
      <c r="IR585" s="3"/>
      <c r="IS585" s="3"/>
      <c r="IT585" s="3"/>
      <c r="IU585" s="3"/>
      <c r="IV585" s="3"/>
      <c r="IW585" s="3"/>
      <c r="IX585" s="3"/>
      <c r="IY585" s="3"/>
      <c r="IZ585" s="3"/>
      <c r="JA585" s="3"/>
      <c r="JB585" s="3"/>
      <c r="JC585" s="3"/>
      <c r="JD585" s="3"/>
      <c r="JE585" s="3"/>
      <c r="JF585" s="3"/>
      <c r="JG585" s="3"/>
      <c r="JH585" s="3"/>
      <c r="JI585" s="3"/>
      <c r="JJ585" s="3"/>
      <c r="JK585" s="3"/>
      <c r="JL585" s="3"/>
      <c r="JM585" s="3"/>
      <c r="JN585" s="3"/>
      <c r="JO585" s="3"/>
      <c r="JP585" s="3"/>
      <c r="JQ585" s="3"/>
      <c r="JR585" s="3"/>
      <c r="JS585" s="3"/>
      <c r="JT585" s="3"/>
      <c r="JU585" s="3"/>
      <c r="JV585" s="3"/>
      <c r="JW585" s="3"/>
      <c r="JX585" s="3"/>
      <c r="JY585" s="3"/>
      <c r="JZ585" s="3"/>
      <c r="KA585" s="3"/>
      <c r="KB585" s="3"/>
      <c r="KC585" s="3"/>
      <c r="KD585" s="3"/>
      <c r="KE585" s="3"/>
      <c r="KF585" s="3"/>
      <c r="KG585" s="3"/>
      <c r="KH585" s="3"/>
      <c r="KI585" s="3"/>
      <c r="KJ585" s="3"/>
      <c r="KK585" s="3"/>
      <c r="KL585" s="3"/>
      <c r="KM585" s="3"/>
      <c r="KN585" s="3"/>
      <c r="KO585" s="3"/>
      <c r="KP585" s="3"/>
      <c r="KQ585" s="3"/>
      <c r="KR585" s="3"/>
      <c r="KS585" s="3"/>
      <c r="KT585" s="3"/>
      <c r="KU585" s="3"/>
      <c r="KV585" s="3"/>
      <c r="KW585" s="3"/>
      <c r="KX585" s="3"/>
      <c r="KY585" s="3"/>
      <c r="KZ585" s="3"/>
      <c r="LA585" s="3"/>
      <c r="LB585" s="3"/>
      <c r="LC585" s="3"/>
      <c r="LD585" s="3"/>
      <c r="LE585" s="3"/>
      <c r="LF585" s="3"/>
      <c r="LG585" s="3"/>
      <c r="LH585" s="3"/>
      <c r="LI585" s="3"/>
      <c r="LJ585" s="3"/>
      <c r="LK585" s="3"/>
      <c r="LL585" s="3"/>
      <c r="LM585" s="3"/>
      <c r="LN585" s="3"/>
      <c r="LO585" s="3"/>
      <c r="LP585" s="3"/>
      <c r="LQ585" s="3"/>
      <c r="LR585" s="3"/>
      <c r="LS585" s="3"/>
      <c r="LT585" s="3"/>
      <c r="LU585" s="3"/>
      <c r="LV585" s="3"/>
      <c r="LW585" s="3"/>
      <c r="LX585" s="3"/>
      <c r="LY585" s="3"/>
      <c r="LZ585" s="3"/>
      <c r="MA585" s="3"/>
      <c r="MB585" s="3"/>
      <c r="MC585" s="3"/>
      <c r="MD585" s="3"/>
      <c r="ME585" s="3"/>
      <c r="MF585" s="3"/>
      <c r="MG585" s="3"/>
      <c r="MH585" s="3"/>
      <c r="MI585" s="3"/>
    </row>
    <row r="586" spans="1:347"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ID586" s="3"/>
      <c r="IE586" s="3"/>
      <c r="IF586" s="3"/>
      <c r="IG586" s="3"/>
      <c r="IH586" s="3"/>
      <c r="II586" s="3"/>
      <c r="IJ586" s="3"/>
      <c r="IK586" s="3"/>
      <c r="IL586" s="3"/>
      <c r="IM586" s="3"/>
      <c r="IN586" s="3"/>
      <c r="IO586" s="3"/>
      <c r="IP586" s="3"/>
      <c r="IQ586" s="3"/>
      <c r="IR586" s="3"/>
      <c r="IS586" s="3"/>
      <c r="IT586" s="3"/>
      <c r="IU586" s="3"/>
      <c r="IV586" s="3"/>
      <c r="IW586" s="3"/>
      <c r="IX586" s="3"/>
      <c r="IY586" s="3"/>
      <c r="IZ586" s="3"/>
      <c r="JA586" s="3"/>
      <c r="JB586" s="3"/>
      <c r="JC586" s="3"/>
      <c r="JD586" s="3"/>
      <c r="JE586" s="3"/>
      <c r="JF586" s="3"/>
      <c r="JG586" s="3"/>
      <c r="JH586" s="3"/>
      <c r="JI586" s="3"/>
      <c r="JJ586" s="3"/>
      <c r="JK586" s="3"/>
      <c r="JL586" s="3"/>
      <c r="JM586" s="3"/>
      <c r="JN586" s="3"/>
      <c r="JO586" s="3"/>
      <c r="JP586" s="3"/>
      <c r="JQ586" s="3"/>
      <c r="JR586" s="3"/>
      <c r="JS586" s="3"/>
      <c r="JT586" s="3"/>
      <c r="JU586" s="3"/>
      <c r="JV586" s="3"/>
      <c r="JW586" s="3"/>
      <c r="JX586" s="3"/>
      <c r="JY586" s="3"/>
      <c r="JZ586" s="3"/>
      <c r="KA586" s="3"/>
      <c r="KB586" s="3"/>
      <c r="KC586" s="3"/>
      <c r="KD586" s="3"/>
      <c r="KE586" s="3"/>
      <c r="KF586" s="3"/>
      <c r="KG586" s="3"/>
      <c r="KH586" s="3"/>
      <c r="KI586" s="3"/>
      <c r="KJ586" s="3"/>
      <c r="KK586" s="3"/>
      <c r="KL586" s="3"/>
      <c r="KM586" s="3"/>
      <c r="KN586" s="3"/>
      <c r="KO586" s="3"/>
      <c r="KP586" s="3"/>
      <c r="KQ586" s="3"/>
      <c r="KR586" s="3"/>
      <c r="KS586" s="3"/>
      <c r="KT586" s="3"/>
      <c r="KU586" s="3"/>
      <c r="KV586" s="3"/>
      <c r="KW586" s="3"/>
      <c r="KX586" s="3"/>
      <c r="KY586" s="3"/>
      <c r="KZ586" s="3"/>
      <c r="LA586" s="3"/>
      <c r="LB586" s="3"/>
      <c r="LC586" s="3"/>
      <c r="LD586" s="3"/>
      <c r="LE586" s="3"/>
      <c r="LF586" s="3"/>
      <c r="LG586" s="3"/>
      <c r="LH586" s="3"/>
      <c r="LI586" s="3"/>
      <c r="LJ586" s="3"/>
      <c r="LK586" s="3"/>
      <c r="LL586" s="3"/>
      <c r="LM586" s="3"/>
      <c r="LN586" s="3"/>
      <c r="LO586" s="3"/>
      <c r="LP586" s="3"/>
      <c r="LQ586" s="3"/>
      <c r="LR586" s="3"/>
      <c r="LS586" s="3"/>
      <c r="LT586" s="3"/>
      <c r="LU586" s="3"/>
      <c r="LV586" s="3"/>
      <c r="LW586" s="3"/>
      <c r="LX586" s="3"/>
      <c r="LY586" s="3"/>
      <c r="LZ586" s="3"/>
      <c r="MA586" s="3"/>
      <c r="MB586" s="3"/>
      <c r="MC586" s="3"/>
      <c r="MD586" s="3"/>
      <c r="ME586" s="3"/>
      <c r="MF586" s="3"/>
      <c r="MG586" s="3"/>
      <c r="MH586" s="3"/>
      <c r="MI586" s="3"/>
    </row>
    <row r="587" spans="1:347"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c r="HX587" s="3"/>
      <c r="HY587" s="3"/>
      <c r="HZ587" s="3"/>
      <c r="IA587" s="3"/>
      <c r="IB587" s="3"/>
      <c r="IC587" s="3"/>
      <c r="ID587" s="3"/>
      <c r="IE587" s="3"/>
      <c r="IF587" s="3"/>
      <c r="IG587" s="3"/>
      <c r="IH587" s="3"/>
      <c r="II587" s="3"/>
      <c r="IJ587" s="3"/>
      <c r="IK587" s="3"/>
      <c r="IL587" s="3"/>
      <c r="IM587" s="3"/>
      <c r="IN587" s="3"/>
      <c r="IO587" s="3"/>
      <c r="IP587" s="3"/>
      <c r="IQ587" s="3"/>
      <c r="IR587" s="3"/>
      <c r="IS587" s="3"/>
      <c r="IT587" s="3"/>
      <c r="IU587" s="3"/>
      <c r="IV587" s="3"/>
      <c r="IW587" s="3"/>
      <c r="IX587" s="3"/>
      <c r="IY587" s="3"/>
      <c r="IZ587" s="3"/>
      <c r="JA587" s="3"/>
      <c r="JB587" s="3"/>
      <c r="JC587" s="3"/>
      <c r="JD587" s="3"/>
      <c r="JE587" s="3"/>
      <c r="JF587" s="3"/>
      <c r="JG587" s="3"/>
      <c r="JH587" s="3"/>
      <c r="JI587" s="3"/>
      <c r="JJ587" s="3"/>
      <c r="JK587" s="3"/>
      <c r="JL587" s="3"/>
      <c r="JM587" s="3"/>
      <c r="JN587" s="3"/>
      <c r="JO587" s="3"/>
      <c r="JP587" s="3"/>
      <c r="JQ587" s="3"/>
      <c r="JR587" s="3"/>
      <c r="JS587" s="3"/>
      <c r="JT587" s="3"/>
      <c r="JU587" s="3"/>
      <c r="JV587" s="3"/>
      <c r="JW587" s="3"/>
      <c r="JX587" s="3"/>
      <c r="JY587" s="3"/>
      <c r="JZ587" s="3"/>
      <c r="KA587" s="3"/>
      <c r="KB587" s="3"/>
      <c r="KC587" s="3"/>
      <c r="KD587" s="3"/>
      <c r="KE587" s="3"/>
      <c r="KF587" s="3"/>
      <c r="KG587" s="3"/>
      <c r="KH587" s="3"/>
      <c r="KI587" s="3"/>
      <c r="KJ587" s="3"/>
      <c r="KK587" s="3"/>
      <c r="KL587" s="3"/>
      <c r="KM587" s="3"/>
      <c r="KN587" s="3"/>
      <c r="KO587" s="3"/>
      <c r="KP587" s="3"/>
      <c r="KQ587" s="3"/>
      <c r="KR587" s="3"/>
      <c r="KS587" s="3"/>
      <c r="KT587" s="3"/>
      <c r="KU587" s="3"/>
      <c r="KV587" s="3"/>
      <c r="KW587" s="3"/>
      <c r="KX587" s="3"/>
      <c r="KY587" s="3"/>
      <c r="KZ587" s="3"/>
      <c r="LA587" s="3"/>
      <c r="LB587" s="3"/>
      <c r="LC587" s="3"/>
      <c r="LD587" s="3"/>
      <c r="LE587" s="3"/>
      <c r="LF587" s="3"/>
      <c r="LG587" s="3"/>
      <c r="LH587" s="3"/>
      <c r="LI587" s="3"/>
      <c r="LJ587" s="3"/>
      <c r="LK587" s="3"/>
      <c r="LL587" s="3"/>
      <c r="LM587" s="3"/>
      <c r="LN587" s="3"/>
      <c r="LO587" s="3"/>
      <c r="LP587" s="3"/>
      <c r="LQ587" s="3"/>
      <c r="LR587" s="3"/>
      <c r="LS587" s="3"/>
      <c r="LT587" s="3"/>
      <c r="LU587" s="3"/>
      <c r="LV587" s="3"/>
      <c r="LW587" s="3"/>
      <c r="LX587" s="3"/>
      <c r="LY587" s="3"/>
      <c r="LZ587" s="3"/>
      <c r="MA587" s="3"/>
      <c r="MB587" s="3"/>
      <c r="MC587" s="3"/>
      <c r="MD587" s="3"/>
      <c r="ME587" s="3"/>
      <c r="MF587" s="3"/>
      <c r="MG587" s="3"/>
      <c r="MH587" s="3"/>
      <c r="MI587" s="3"/>
    </row>
    <row r="588" spans="1:347"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c r="HX588" s="3"/>
      <c r="HY588" s="3"/>
      <c r="HZ588" s="3"/>
      <c r="IA588" s="3"/>
      <c r="IB588" s="3"/>
      <c r="IC588" s="3"/>
      <c r="ID588" s="3"/>
      <c r="IE588" s="3"/>
      <c r="IF588" s="3"/>
      <c r="IG588" s="3"/>
      <c r="IH588" s="3"/>
      <c r="II588" s="3"/>
      <c r="IJ588" s="3"/>
      <c r="IK588" s="3"/>
      <c r="IL588" s="3"/>
      <c r="IM588" s="3"/>
      <c r="IN588" s="3"/>
      <c r="IO588" s="3"/>
      <c r="IP588" s="3"/>
      <c r="IQ588" s="3"/>
      <c r="IR588" s="3"/>
      <c r="IS588" s="3"/>
      <c r="IT588" s="3"/>
      <c r="IU588" s="3"/>
      <c r="IV588" s="3"/>
      <c r="IW588" s="3"/>
      <c r="IX588" s="3"/>
      <c r="IY588" s="3"/>
      <c r="IZ588" s="3"/>
      <c r="JA588" s="3"/>
      <c r="JB588" s="3"/>
      <c r="JC588" s="3"/>
      <c r="JD588" s="3"/>
      <c r="JE588" s="3"/>
      <c r="JF588" s="3"/>
      <c r="JG588" s="3"/>
      <c r="JH588" s="3"/>
      <c r="JI588" s="3"/>
      <c r="JJ588" s="3"/>
      <c r="JK588" s="3"/>
      <c r="JL588" s="3"/>
      <c r="JM588" s="3"/>
      <c r="JN588" s="3"/>
      <c r="JO588" s="3"/>
      <c r="JP588" s="3"/>
      <c r="JQ588" s="3"/>
      <c r="JR588" s="3"/>
      <c r="JS588" s="3"/>
      <c r="JT588" s="3"/>
      <c r="JU588" s="3"/>
      <c r="JV588" s="3"/>
      <c r="JW588" s="3"/>
      <c r="JX588" s="3"/>
      <c r="JY588" s="3"/>
      <c r="JZ588" s="3"/>
      <c r="KA588" s="3"/>
      <c r="KB588" s="3"/>
      <c r="KC588" s="3"/>
      <c r="KD588" s="3"/>
      <c r="KE588" s="3"/>
      <c r="KF588" s="3"/>
      <c r="KG588" s="3"/>
      <c r="KH588" s="3"/>
      <c r="KI588" s="3"/>
      <c r="KJ588" s="3"/>
      <c r="KK588" s="3"/>
      <c r="KL588" s="3"/>
      <c r="KM588" s="3"/>
      <c r="KN588" s="3"/>
      <c r="KO588" s="3"/>
      <c r="KP588" s="3"/>
      <c r="KQ588" s="3"/>
      <c r="KR588" s="3"/>
      <c r="KS588" s="3"/>
      <c r="KT588" s="3"/>
      <c r="KU588" s="3"/>
      <c r="KV588" s="3"/>
      <c r="KW588" s="3"/>
      <c r="KX588" s="3"/>
      <c r="KY588" s="3"/>
      <c r="KZ588" s="3"/>
      <c r="LA588" s="3"/>
      <c r="LB588" s="3"/>
      <c r="LC588" s="3"/>
      <c r="LD588" s="3"/>
      <c r="LE588" s="3"/>
      <c r="LF588" s="3"/>
      <c r="LG588" s="3"/>
      <c r="LH588" s="3"/>
      <c r="LI588" s="3"/>
      <c r="LJ588" s="3"/>
      <c r="LK588" s="3"/>
      <c r="LL588" s="3"/>
      <c r="LM588" s="3"/>
      <c r="LN588" s="3"/>
      <c r="LO588" s="3"/>
      <c r="LP588" s="3"/>
      <c r="LQ588" s="3"/>
      <c r="LR588" s="3"/>
      <c r="LS588" s="3"/>
      <c r="LT588" s="3"/>
      <c r="LU588" s="3"/>
      <c r="LV588" s="3"/>
      <c r="LW588" s="3"/>
      <c r="LX588" s="3"/>
      <c r="LY588" s="3"/>
      <c r="LZ588" s="3"/>
      <c r="MA588" s="3"/>
      <c r="MB588" s="3"/>
      <c r="MC588" s="3"/>
      <c r="MD588" s="3"/>
      <c r="ME588" s="3"/>
      <c r="MF588" s="3"/>
      <c r="MG588" s="3"/>
      <c r="MH588" s="3"/>
      <c r="MI588" s="3"/>
    </row>
    <row r="589" spans="1:347"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c r="HX589" s="3"/>
      <c r="HY589" s="3"/>
      <c r="HZ589" s="3"/>
      <c r="IA589" s="3"/>
      <c r="IB589" s="3"/>
      <c r="IC589" s="3"/>
      <c r="ID589" s="3"/>
      <c r="IE589" s="3"/>
      <c r="IF589" s="3"/>
      <c r="IG589" s="3"/>
      <c r="IH589" s="3"/>
      <c r="II589" s="3"/>
      <c r="IJ589" s="3"/>
      <c r="IK589" s="3"/>
      <c r="IL589" s="3"/>
      <c r="IM589" s="3"/>
      <c r="IN589" s="3"/>
      <c r="IO589" s="3"/>
      <c r="IP589" s="3"/>
      <c r="IQ589" s="3"/>
      <c r="IR589" s="3"/>
      <c r="IS589" s="3"/>
      <c r="IT589" s="3"/>
      <c r="IU589" s="3"/>
      <c r="IV589" s="3"/>
      <c r="IW589" s="3"/>
      <c r="IX589" s="3"/>
      <c r="IY589" s="3"/>
      <c r="IZ589" s="3"/>
      <c r="JA589" s="3"/>
      <c r="JB589" s="3"/>
      <c r="JC589" s="3"/>
      <c r="JD589" s="3"/>
      <c r="JE589" s="3"/>
      <c r="JF589" s="3"/>
      <c r="JG589" s="3"/>
      <c r="JH589" s="3"/>
      <c r="JI589" s="3"/>
      <c r="JJ589" s="3"/>
      <c r="JK589" s="3"/>
      <c r="JL589" s="3"/>
      <c r="JM589" s="3"/>
      <c r="JN589" s="3"/>
      <c r="JO589" s="3"/>
      <c r="JP589" s="3"/>
      <c r="JQ589" s="3"/>
      <c r="JR589" s="3"/>
      <c r="JS589" s="3"/>
      <c r="JT589" s="3"/>
      <c r="JU589" s="3"/>
      <c r="JV589" s="3"/>
      <c r="JW589" s="3"/>
      <c r="JX589" s="3"/>
      <c r="JY589" s="3"/>
      <c r="JZ589" s="3"/>
      <c r="KA589" s="3"/>
      <c r="KB589" s="3"/>
      <c r="KC589" s="3"/>
      <c r="KD589" s="3"/>
      <c r="KE589" s="3"/>
      <c r="KF589" s="3"/>
      <c r="KG589" s="3"/>
      <c r="KH589" s="3"/>
      <c r="KI589" s="3"/>
      <c r="KJ589" s="3"/>
      <c r="KK589" s="3"/>
      <c r="KL589" s="3"/>
      <c r="KM589" s="3"/>
      <c r="KN589" s="3"/>
      <c r="KO589" s="3"/>
      <c r="KP589" s="3"/>
      <c r="KQ589" s="3"/>
      <c r="KR589" s="3"/>
      <c r="KS589" s="3"/>
      <c r="KT589" s="3"/>
      <c r="KU589" s="3"/>
      <c r="KV589" s="3"/>
      <c r="KW589" s="3"/>
      <c r="KX589" s="3"/>
      <c r="KY589" s="3"/>
      <c r="KZ589" s="3"/>
      <c r="LA589" s="3"/>
      <c r="LB589" s="3"/>
      <c r="LC589" s="3"/>
      <c r="LD589" s="3"/>
      <c r="LE589" s="3"/>
      <c r="LF589" s="3"/>
      <c r="LG589" s="3"/>
      <c r="LH589" s="3"/>
      <c r="LI589" s="3"/>
      <c r="LJ589" s="3"/>
      <c r="LK589" s="3"/>
      <c r="LL589" s="3"/>
      <c r="LM589" s="3"/>
      <c r="LN589" s="3"/>
      <c r="LO589" s="3"/>
      <c r="LP589" s="3"/>
      <c r="LQ589" s="3"/>
      <c r="LR589" s="3"/>
      <c r="LS589" s="3"/>
      <c r="LT589" s="3"/>
      <c r="LU589" s="3"/>
      <c r="LV589" s="3"/>
      <c r="LW589" s="3"/>
      <c r="LX589" s="3"/>
      <c r="LY589" s="3"/>
      <c r="LZ589" s="3"/>
      <c r="MA589" s="3"/>
      <c r="MB589" s="3"/>
      <c r="MC589" s="3"/>
      <c r="MD589" s="3"/>
      <c r="ME589" s="3"/>
      <c r="MF589" s="3"/>
      <c r="MG589" s="3"/>
      <c r="MH589" s="3"/>
      <c r="MI589" s="3"/>
    </row>
    <row r="590" spans="1:347"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ID590" s="3"/>
      <c r="IE590" s="3"/>
      <c r="IF590" s="3"/>
      <c r="IG590" s="3"/>
      <c r="IH590" s="3"/>
      <c r="II590" s="3"/>
      <c r="IJ590" s="3"/>
      <c r="IK590" s="3"/>
      <c r="IL590" s="3"/>
      <c r="IM590" s="3"/>
      <c r="IN590" s="3"/>
      <c r="IO590" s="3"/>
      <c r="IP590" s="3"/>
      <c r="IQ590" s="3"/>
      <c r="IR590" s="3"/>
      <c r="IS590" s="3"/>
      <c r="IT590" s="3"/>
      <c r="IU590" s="3"/>
      <c r="IV590" s="3"/>
      <c r="IW590" s="3"/>
      <c r="IX590" s="3"/>
      <c r="IY590" s="3"/>
      <c r="IZ590" s="3"/>
      <c r="JA590" s="3"/>
      <c r="JB590" s="3"/>
      <c r="JC590" s="3"/>
      <c r="JD590" s="3"/>
      <c r="JE590" s="3"/>
      <c r="JF590" s="3"/>
      <c r="JG590" s="3"/>
      <c r="JH590" s="3"/>
      <c r="JI590" s="3"/>
      <c r="JJ590" s="3"/>
      <c r="JK590" s="3"/>
      <c r="JL590" s="3"/>
      <c r="JM590" s="3"/>
      <c r="JN590" s="3"/>
      <c r="JO590" s="3"/>
      <c r="JP590" s="3"/>
      <c r="JQ590" s="3"/>
      <c r="JR590" s="3"/>
      <c r="JS590" s="3"/>
      <c r="JT590" s="3"/>
      <c r="JU590" s="3"/>
      <c r="JV590" s="3"/>
      <c r="JW590" s="3"/>
      <c r="JX590" s="3"/>
      <c r="JY590" s="3"/>
      <c r="JZ590" s="3"/>
      <c r="KA590" s="3"/>
      <c r="KB590" s="3"/>
      <c r="KC590" s="3"/>
      <c r="KD590" s="3"/>
      <c r="KE590" s="3"/>
      <c r="KF590" s="3"/>
      <c r="KG590" s="3"/>
      <c r="KH590" s="3"/>
      <c r="KI590" s="3"/>
      <c r="KJ590" s="3"/>
      <c r="KK590" s="3"/>
      <c r="KL590" s="3"/>
      <c r="KM590" s="3"/>
      <c r="KN590" s="3"/>
      <c r="KO590" s="3"/>
      <c r="KP590" s="3"/>
      <c r="KQ590" s="3"/>
      <c r="KR590" s="3"/>
      <c r="KS590" s="3"/>
      <c r="KT590" s="3"/>
      <c r="KU590" s="3"/>
      <c r="KV590" s="3"/>
      <c r="KW590" s="3"/>
      <c r="KX590" s="3"/>
      <c r="KY590" s="3"/>
      <c r="KZ590" s="3"/>
      <c r="LA590" s="3"/>
      <c r="LB590" s="3"/>
      <c r="LC590" s="3"/>
      <c r="LD590" s="3"/>
      <c r="LE590" s="3"/>
      <c r="LF590" s="3"/>
      <c r="LG590" s="3"/>
      <c r="LH590" s="3"/>
      <c r="LI590" s="3"/>
      <c r="LJ590" s="3"/>
      <c r="LK590" s="3"/>
      <c r="LL590" s="3"/>
      <c r="LM590" s="3"/>
      <c r="LN590" s="3"/>
      <c r="LO590" s="3"/>
      <c r="LP590" s="3"/>
      <c r="LQ590" s="3"/>
      <c r="LR590" s="3"/>
      <c r="LS590" s="3"/>
      <c r="LT590" s="3"/>
      <c r="LU590" s="3"/>
      <c r="LV590" s="3"/>
      <c r="LW590" s="3"/>
      <c r="LX590" s="3"/>
      <c r="LY590" s="3"/>
      <c r="LZ590" s="3"/>
      <c r="MA590" s="3"/>
      <c r="MB590" s="3"/>
      <c r="MC590" s="3"/>
      <c r="MD590" s="3"/>
      <c r="ME590" s="3"/>
      <c r="MF590" s="3"/>
      <c r="MG590" s="3"/>
      <c r="MH590" s="3"/>
      <c r="MI590" s="3"/>
    </row>
    <row r="591" spans="1:347"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ID591" s="3"/>
      <c r="IE591" s="3"/>
      <c r="IF591" s="3"/>
      <c r="IG591" s="3"/>
      <c r="IH591" s="3"/>
      <c r="II591" s="3"/>
      <c r="IJ591" s="3"/>
      <c r="IK591" s="3"/>
      <c r="IL591" s="3"/>
      <c r="IM591" s="3"/>
      <c r="IN591" s="3"/>
      <c r="IO591" s="3"/>
      <c r="IP591" s="3"/>
      <c r="IQ591" s="3"/>
      <c r="IR591" s="3"/>
      <c r="IS591" s="3"/>
      <c r="IT591" s="3"/>
      <c r="IU591" s="3"/>
      <c r="IV591" s="3"/>
      <c r="IW591" s="3"/>
      <c r="IX591" s="3"/>
      <c r="IY591" s="3"/>
      <c r="IZ591" s="3"/>
      <c r="JA591" s="3"/>
      <c r="JB591" s="3"/>
      <c r="JC591" s="3"/>
      <c r="JD591" s="3"/>
      <c r="JE591" s="3"/>
      <c r="JF591" s="3"/>
      <c r="JG591" s="3"/>
      <c r="JH591" s="3"/>
      <c r="JI591" s="3"/>
      <c r="JJ591" s="3"/>
      <c r="JK591" s="3"/>
      <c r="JL591" s="3"/>
      <c r="JM591" s="3"/>
      <c r="JN591" s="3"/>
      <c r="JO591" s="3"/>
      <c r="JP591" s="3"/>
      <c r="JQ591" s="3"/>
      <c r="JR591" s="3"/>
      <c r="JS591" s="3"/>
      <c r="JT591" s="3"/>
      <c r="JU591" s="3"/>
      <c r="JV591" s="3"/>
      <c r="JW591" s="3"/>
      <c r="JX591" s="3"/>
      <c r="JY591" s="3"/>
      <c r="JZ591" s="3"/>
      <c r="KA591" s="3"/>
      <c r="KB591" s="3"/>
      <c r="KC591" s="3"/>
      <c r="KD591" s="3"/>
      <c r="KE591" s="3"/>
      <c r="KF591" s="3"/>
      <c r="KG591" s="3"/>
      <c r="KH591" s="3"/>
      <c r="KI591" s="3"/>
      <c r="KJ591" s="3"/>
      <c r="KK591" s="3"/>
      <c r="KL591" s="3"/>
      <c r="KM591" s="3"/>
      <c r="KN591" s="3"/>
      <c r="KO591" s="3"/>
      <c r="KP591" s="3"/>
      <c r="KQ591" s="3"/>
      <c r="KR591" s="3"/>
      <c r="KS591" s="3"/>
      <c r="KT591" s="3"/>
      <c r="KU591" s="3"/>
      <c r="KV591" s="3"/>
      <c r="KW591" s="3"/>
      <c r="KX591" s="3"/>
      <c r="KY591" s="3"/>
      <c r="KZ591" s="3"/>
      <c r="LA591" s="3"/>
      <c r="LB591" s="3"/>
      <c r="LC591" s="3"/>
      <c r="LD591" s="3"/>
      <c r="LE591" s="3"/>
      <c r="LF591" s="3"/>
      <c r="LG591" s="3"/>
      <c r="LH591" s="3"/>
      <c r="LI591" s="3"/>
      <c r="LJ591" s="3"/>
      <c r="LK591" s="3"/>
      <c r="LL591" s="3"/>
      <c r="LM591" s="3"/>
      <c r="LN591" s="3"/>
      <c r="LO591" s="3"/>
      <c r="LP591" s="3"/>
      <c r="LQ591" s="3"/>
      <c r="LR591" s="3"/>
      <c r="LS591" s="3"/>
      <c r="LT591" s="3"/>
      <c r="LU591" s="3"/>
      <c r="LV591" s="3"/>
      <c r="LW591" s="3"/>
      <c r="LX591" s="3"/>
      <c r="LY591" s="3"/>
      <c r="LZ591" s="3"/>
      <c r="MA591" s="3"/>
      <c r="MB591" s="3"/>
      <c r="MC591" s="3"/>
      <c r="MD591" s="3"/>
      <c r="ME591" s="3"/>
      <c r="MF591" s="3"/>
      <c r="MG591" s="3"/>
      <c r="MH591" s="3"/>
      <c r="MI591" s="3"/>
    </row>
    <row r="592" spans="1:347"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ID592" s="3"/>
      <c r="IE592" s="3"/>
      <c r="IF592" s="3"/>
      <c r="IG592" s="3"/>
      <c r="IH592" s="3"/>
      <c r="II592" s="3"/>
      <c r="IJ592" s="3"/>
      <c r="IK592" s="3"/>
      <c r="IL592" s="3"/>
      <c r="IM592" s="3"/>
      <c r="IN592" s="3"/>
      <c r="IO592" s="3"/>
      <c r="IP592" s="3"/>
      <c r="IQ592" s="3"/>
      <c r="IR592" s="3"/>
      <c r="IS592" s="3"/>
      <c r="IT592" s="3"/>
      <c r="IU592" s="3"/>
      <c r="IV592" s="3"/>
      <c r="IW592" s="3"/>
      <c r="IX592" s="3"/>
      <c r="IY592" s="3"/>
      <c r="IZ592" s="3"/>
      <c r="JA592" s="3"/>
      <c r="JB592" s="3"/>
      <c r="JC592" s="3"/>
      <c r="JD592" s="3"/>
      <c r="JE592" s="3"/>
      <c r="JF592" s="3"/>
      <c r="JG592" s="3"/>
      <c r="JH592" s="3"/>
      <c r="JI592" s="3"/>
      <c r="JJ592" s="3"/>
      <c r="JK592" s="3"/>
      <c r="JL592" s="3"/>
      <c r="JM592" s="3"/>
      <c r="JN592" s="3"/>
      <c r="JO592" s="3"/>
      <c r="JP592" s="3"/>
      <c r="JQ592" s="3"/>
      <c r="JR592" s="3"/>
      <c r="JS592" s="3"/>
      <c r="JT592" s="3"/>
      <c r="JU592" s="3"/>
      <c r="JV592" s="3"/>
      <c r="JW592" s="3"/>
      <c r="JX592" s="3"/>
      <c r="JY592" s="3"/>
      <c r="JZ592" s="3"/>
      <c r="KA592" s="3"/>
      <c r="KB592" s="3"/>
      <c r="KC592" s="3"/>
      <c r="KD592" s="3"/>
      <c r="KE592" s="3"/>
      <c r="KF592" s="3"/>
      <c r="KG592" s="3"/>
      <c r="KH592" s="3"/>
      <c r="KI592" s="3"/>
      <c r="KJ592" s="3"/>
      <c r="KK592" s="3"/>
      <c r="KL592" s="3"/>
      <c r="KM592" s="3"/>
      <c r="KN592" s="3"/>
      <c r="KO592" s="3"/>
      <c r="KP592" s="3"/>
      <c r="KQ592" s="3"/>
      <c r="KR592" s="3"/>
      <c r="KS592" s="3"/>
      <c r="KT592" s="3"/>
      <c r="KU592" s="3"/>
      <c r="KV592" s="3"/>
      <c r="KW592" s="3"/>
      <c r="KX592" s="3"/>
      <c r="KY592" s="3"/>
      <c r="KZ592" s="3"/>
      <c r="LA592" s="3"/>
      <c r="LB592" s="3"/>
      <c r="LC592" s="3"/>
      <c r="LD592" s="3"/>
      <c r="LE592" s="3"/>
      <c r="LF592" s="3"/>
      <c r="LG592" s="3"/>
      <c r="LH592" s="3"/>
      <c r="LI592" s="3"/>
      <c r="LJ592" s="3"/>
      <c r="LK592" s="3"/>
      <c r="LL592" s="3"/>
      <c r="LM592" s="3"/>
      <c r="LN592" s="3"/>
      <c r="LO592" s="3"/>
      <c r="LP592" s="3"/>
      <c r="LQ592" s="3"/>
      <c r="LR592" s="3"/>
      <c r="LS592" s="3"/>
      <c r="LT592" s="3"/>
      <c r="LU592" s="3"/>
      <c r="LV592" s="3"/>
      <c r="LW592" s="3"/>
      <c r="LX592" s="3"/>
      <c r="LY592" s="3"/>
      <c r="LZ592" s="3"/>
      <c r="MA592" s="3"/>
      <c r="MB592" s="3"/>
      <c r="MC592" s="3"/>
      <c r="MD592" s="3"/>
      <c r="ME592" s="3"/>
      <c r="MF592" s="3"/>
      <c r="MG592" s="3"/>
      <c r="MH592" s="3"/>
      <c r="MI592" s="3"/>
    </row>
    <row r="593" spans="1:347"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ID593" s="3"/>
      <c r="IE593" s="3"/>
      <c r="IF593" s="3"/>
      <c r="IG593" s="3"/>
      <c r="IH593" s="3"/>
      <c r="II593" s="3"/>
      <c r="IJ593" s="3"/>
      <c r="IK593" s="3"/>
      <c r="IL593" s="3"/>
      <c r="IM593" s="3"/>
      <c r="IN593" s="3"/>
      <c r="IO593" s="3"/>
      <c r="IP593" s="3"/>
      <c r="IQ593" s="3"/>
      <c r="IR593" s="3"/>
      <c r="IS593" s="3"/>
      <c r="IT593" s="3"/>
      <c r="IU593" s="3"/>
      <c r="IV593" s="3"/>
      <c r="IW593" s="3"/>
      <c r="IX593" s="3"/>
      <c r="IY593" s="3"/>
      <c r="IZ593" s="3"/>
      <c r="JA593" s="3"/>
      <c r="JB593" s="3"/>
      <c r="JC593" s="3"/>
      <c r="JD593" s="3"/>
      <c r="JE593" s="3"/>
      <c r="JF593" s="3"/>
      <c r="JG593" s="3"/>
      <c r="JH593" s="3"/>
      <c r="JI593" s="3"/>
      <c r="JJ593" s="3"/>
      <c r="JK593" s="3"/>
      <c r="JL593" s="3"/>
      <c r="JM593" s="3"/>
      <c r="JN593" s="3"/>
      <c r="JO593" s="3"/>
      <c r="JP593" s="3"/>
      <c r="JQ593" s="3"/>
      <c r="JR593" s="3"/>
      <c r="JS593" s="3"/>
      <c r="JT593" s="3"/>
      <c r="JU593" s="3"/>
      <c r="JV593" s="3"/>
      <c r="JW593" s="3"/>
      <c r="JX593" s="3"/>
      <c r="JY593" s="3"/>
      <c r="JZ593" s="3"/>
      <c r="KA593" s="3"/>
      <c r="KB593" s="3"/>
      <c r="KC593" s="3"/>
      <c r="KD593" s="3"/>
      <c r="KE593" s="3"/>
      <c r="KF593" s="3"/>
      <c r="KG593" s="3"/>
      <c r="KH593" s="3"/>
      <c r="KI593" s="3"/>
      <c r="KJ593" s="3"/>
      <c r="KK593" s="3"/>
      <c r="KL593" s="3"/>
      <c r="KM593" s="3"/>
      <c r="KN593" s="3"/>
      <c r="KO593" s="3"/>
      <c r="KP593" s="3"/>
      <c r="KQ593" s="3"/>
      <c r="KR593" s="3"/>
      <c r="KS593" s="3"/>
      <c r="KT593" s="3"/>
      <c r="KU593" s="3"/>
      <c r="KV593" s="3"/>
      <c r="KW593" s="3"/>
      <c r="KX593" s="3"/>
      <c r="KY593" s="3"/>
      <c r="KZ593" s="3"/>
      <c r="LA593" s="3"/>
      <c r="LB593" s="3"/>
      <c r="LC593" s="3"/>
      <c r="LD593" s="3"/>
      <c r="LE593" s="3"/>
      <c r="LF593" s="3"/>
      <c r="LG593" s="3"/>
      <c r="LH593" s="3"/>
      <c r="LI593" s="3"/>
      <c r="LJ593" s="3"/>
      <c r="LK593" s="3"/>
      <c r="LL593" s="3"/>
      <c r="LM593" s="3"/>
      <c r="LN593" s="3"/>
      <c r="LO593" s="3"/>
      <c r="LP593" s="3"/>
      <c r="LQ593" s="3"/>
      <c r="LR593" s="3"/>
      <c r="LS593" s="3"/>
      <c r="LT593" s="3"/>
      <c r="LU593" s="3"/>
      <c r="LV593" s="3"/>
      <c r="LW593" s="3"/>
      <c r="LX593" s="3"/>
      <c r="LY593" s="3"/>
      <c r="LZ593" s="3"/>
      <c r="MA593" s="3"/>
      <c r="MB593" s="3"/>
      <c r="MC593" s="3"/>
      <c r="MD593" s="3"/>
      <c r="ME593" s="3"/>
      <c r="MF593" s="3"/>
      <c r="MG593" s="3"/>
      <c r="MH593" s="3"/>
      <c r="MI593" s="3"/>
    </row>
    <row r="594" spans="1:347"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ID594" s="3"/>
      <c r="IE594" s="3"/>
      <c r="IF594" s="3"/>
      <c r="IG594" s="3"/>
      <c r="IH594" s="3"/>
      <c r="II594" s="3"/>
      <c r="IJ594" s="3"/>
      <c r="IK594" s="3"/>
      <c r="IL594" s="3"/>
      <c r="IM594" s="3"/>
      <c r="IN594" s="3"/>
      <c r="IO594" s="3"/>
      <c r="IP594" s="3"/>
      <c r="IQ594" s="3"/>
      <c r="IR594" s="3"/>
      <c r="IS594" s="3"/>
      <c r="IT594" s="3"/>
      <c r="IU594" s="3"/>
      <c r="IV594" s="3"/>
      <c r="IW594" s="3"/>
      <c r="IX594" s="3"/>
      <c r="IY594" s="3"/>
      <c r="IZ594" s="3"/>
      <c r="JA594" s="3"/>
      <c r="JB594" s="3"/>
      <c r="JC594" s="3"/>
      <c r="JD594" s="3"/>
      <c r="JE594" s="3"/>
      <c r="JF594" s="3"/>
      <c r="JG594" s="3"/>
      <c r="JH594" s="3"/>
      <c r="JI594" s="3"/>
      <c r="JJ594" s="3"/>
      <c r="JK594" s="3"/>
      <c r="JL594" s="3"/>
      <c r="JM594" s="3"/>
      <c r="JN594" s="3"/>
      <c r="JO594" s="3"/>
      <c r="JP594" s="3"/>
      <c r="JQ594" s="3"/>
      <c r="JR594" s="3"/>
      <c r="JS594" s="3"/>
      <c r="JT594" s="3"/>
      <c r="JU594" s="3"/>
      <c r="JV594" s="3"/>
      <c r="JW594" s="3"/>
      <c r="JX594" s="3"/>
      <c r="JY594" s="3"/>
      <c r="JZ594" s="3"/>
      <c r="KA594" s="3"/>
      <c r="KB594" s="3"/>
      <c r="KC594" s="3"/>
      <c r="KD594" s="3"/>
      <c r="KE594" s="3"/>
      <c r="KF594" s="3"/>
      <c r="KG594" s="3"/>
      <c r="KH594" s="3"/>
      <c r="KI594" s="3"/>
      <c r="KJ594" s="3"/>
      <c r="KK594" s="3"/>
      <c r="KL594" s="3"/>
      <c r="KM594" s="3"/>
      <c r="KN594" s="3"/>
      <c r="KO594" s="3"/>
      <c r="KP594" s="3"/>
      <c r="KQ594" s="3"/>
      <c r="KR594" s="3"/>
      <c r="KS594" s="3"/>
      <c r="KT594" s="3"/>
      <c r="KU594" s="3"/>
      <c r="KV594" s="3"/>
      <c r="KW594" s="3"/>
      <c r="KX594" s="3"/>
      <c r="KY594" s="3"/>
      <c r="KZ594" s="3"/>
      <c r="LA594" s="3"/>
      <c r="LB594" s="3"/>
      <c r="LC594" s="3"/>
      <c r="LD594" s="3"/>
      <c r="LE594" s="3"/>
      <c r="LF594" s="3"/>
      <c r="LG594" s="3"/>
      <c r="LH594" s="3"/>
      <c r="LI594" s="3"/>
      <c r="LJ594" s="3"/>
      <c r="LK594" s="3"/>
      <c r="LL594" s="3"/>
      <c r="LM594" s="3"/>
      <c r="LN594" s="3"/>
      <c r="LO594" s="3"/>
      <c r="LP594" s="3"/>
      <c r="LQ594" s="3"/>
      <c r="LR594" s="3"/>
      <c r="LS594" s="3"/>
      <c r="LT594" s="3"/>
      <c r="LU594" s="3"/>
      <c r="LV594" s="3"/>
      <c r="LW594" s="3"/>
      <c r="LX594" s="3"/>
      <c r="LY594" s="3"/>
      <c r="LZ594" s="3"/>
      <c r="MA594" s="3"/>
      <c r="MB594" s="3"/>
      <c r="MC594" s="3"/>
      <c r="MD594" s="3"/>
      <c r="ME594" s="3"/>
      <c r="MF594" s="3"/>
      <c r="MG594" s="3"/>
      <c r="MH594" s="3"/>
      <c r="MI594" s="3"/>
    </row>
    <row r="595" spans="1:347"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ID595" s="3"/>
      <c r="IE595" s="3"/>
      <c r="IF595" s="3"/>
      <c r="IG595" s="3"/>
      <c r="IH595" s="3"/>
      <c r="II595" s="3"/>
      <c r="IJ595" s="3"/>
      <c r="IK595" s="3"/>
      <c r="IL595" s="3"/>
      <c r="IM595" s="3"/>
      <c r="IN595" s="3"/>
      <c r="IO595" s="3"/>
      <c r="IP595" s="3"/>
      <c r="IQ595" s="3"/>
      <c r="IR595" s="3"/>
      <c r="IS595" s="3"/>
      <c r="IT595" s="3"/>
      <c r="IU595" s="3"/>
      <c r="IV595" s="3"/>
      <c r="IW595" s="3"/>
      <c r="IX595" s="3"/>
      <c r="IY595" s="3"/>
      <c r="IZ595" s="3"/>
      <c r="JA595" s="3"/>
      <c r="JB595" s="3"/>
      <c r="JC595" s="3"/>
      <c r="JD595" s="3"/>
      <c r="JE595" s="3"/>
      <c r="JF595" s="3"/>
      <c r="JG595" s="3"/>
      <c r="JH595" s="3"/>
      <c r="JI595" s="3"/>
      <c r="JJ595" s="3"/>
      <c r="JK595" s="3"/>
      <c r="JL595" s="3"/>
      <c r="JM595" s="3"/>
      <c r="JN595" s="3"/>
      <c r="JO595" s="3"/>
      <c r="JP595" s="3"/>
      <c r="JQ595" s="3"/>
      <c r="JR595" s="3"/>
      <c r="JS595" s="3"/>
      <c r="JT595" s="3"/>
      <c r="JU595" s="3"/>
      <c r="JV595" s="3"/>
      <c r="JW595" s="3"/>
      <c r="JX595" s="3"/>
      <c r="JY595" s="3"/>
      <c r="JZ595" s="3"/>
      <c r="KA595" s="3"/>
      <c r="KB595" s="3"/>
      <c r="KC595" s="3"/>
      <c r="KD595" s="3"/>
      <c r="KE595" s="3"/>
      <c r="KF595" s="3"/>
      <c r="KG595" s="3"/>
      <c r="KH595" s="3"/>
      <c r="KI595" s="3"/>
      <c r="KJ595" s="3"/>
      <c r="KK595" s="3"/>
      <c r="KL595" s="3"/>
      <c r="KM595" s="3"/>
      <c r="KN595" s="3"/>
      <c r="KO595" s="3"/>
      <c r="KP595" s="3"/>
      <c r="KQ595" s="3"/>
      <c r="KR595" s="3"/>
      <c r="KS595" s="3"/>
      <c r="KT595" s="3"/>
      <c r="KU595" s="3"/>
      <c r="KV595" s="3"/>
      <c r="KW595" s="3"/>
      <c r="KX595" s="3"/>
      <c r="KY595" s="3"/>
      <c r="KZ595" s="3"/>
      <c r="LA595" s="3"/>
      <c r="LB595" s="3"/>
      <c r="LC595" s="3"/>
      <c r="LD595" s="3"/>
      <c r="LE595" s="3"/>
      <c r="LF595" s="3"/>
      <c r="LG595" s="3"/>
      <c r="LH595" s="3"/>
      <c r="LI595" s="3"/>
      <c r="LJ595" s="3"/>
      <c r="LK595" s="3"/>
      <c r="LL595" s="3"/>
      <c r="LM595" s="3"/>
      <c r="LN595" s="3"/>
      <c r="LO595" s="3"/>
      <c r="LP595" s="3"/>
      <c r="LQ595" s="3"/>
      <c r="LR595" s="3"/>
      <c r="LS595" s="3"/>
      <c r="LT595" s="3"/>
      <c r="LU595" s="3"/>
      <c r="LV595" s="3"/>
      <c r="LW595" s="3"/>
      <c r="LX595" s="3"/>
      <c r="LY595" s="3"/>
      <c r="LZ595" s="3"/>
      <c r="MA595" s="3"/>
      <c r="MB595" s="3"/>
      <c r="MC595" s="3"/>
      <c r="MD595" s="3"/>
      <c r="ME595" s="3"/>
      <c r="MF595" s="3"/>
      <c r="MG595" s="3"/>
      <c r="MH595" s="3"/>
      <c r="MI595" s="3"/>
    </row>
    <row r="596" spans="1:347"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ID596" s="3"/>
      <c r="IE596" s="3"/>
      <c r="IF596" s="3"/>
      <c r="IG596" s="3"/>
      <c r="IH596" s="3"/>
      <c r="II596" s="3"/>
      <c r="IJ596" s="3"/>
      <c r="IK596" s="3"/>
      <c r="IL596" s="3"/>
      <c r="IM596" s="3"/>
      <c r="IN596" s="3"/>
      <c r="IO596" s="3"/>
      <c r="IP596" s="3"/>
      <c r="IQ596" s="3"/>
      <c r="IR596" s="3"/>
      <c r="IS596" s="3"/>
      <c r="IT596" s="3"/>
      <c r="IU596" s="3"/>
      <c r="IV596" s="3"/>
      <c r="IW596" s="3"/>
      <c r="IX596" s="3"/>
      <c r="IY596" s="3"/>
      <c r="IZ596" s="3"/>
      <c r="JA596" s="3"/>
      <c r="JB596" s="3"/>
      <c r="JC596" s="3"/>
      <c r="JD596" s="3"/>
      <c r="JE596" s="3"/>
      <c r="JF596" s="3"/>
      <c r="JG596" s="3"/>
      <c r="JH596" s="3"/>
      <c r="JI596" s="3"/>
      <c r="JJ596" s="3"/>
      <c r="JK596" s="3"/>
      <c r="JL596" s="3"/>
      <c r="JM596" s="3"/>
      <c r="JN596" s="3"/>
      <c r="JO596" s="3"/>
      <c r="JP596" s="3"/>
      <c r="JQ596" s="3"/>
      <c r="JR596" s="3"/>
      <c r="JS596" s="3"/>
      <c r="JT596" s="3"/>
      <c r="JU596" s="3"/>
      <c r="JV596" s="3"/>
      <c r="JW596" s="3"/>
      <c r="JX596" s="3"/>
      <c r="JY596" s="3"/>
      <c r="JZ596" s="3"/>
      <c r="KA596" s="3"/>
      <c r="KB596" s="3"/>
      <c r="KC596" s="3"/>
      <c r="KD596" s="3"/>
      <c r="KE596" s="3"/>
      <c r="KF596" s="3"/>
      <c r="KG596" s="3"/>
      <c r="KH596" s="3"/>
      <c r="KI596" s="3"/>
      <c r="KJ596" s="3"/>
      <c r="KK596" s="3"/>
      <c r="KL596" s="3"/>
      <c r="KM596" s="3"/>
      <c r="KN596" s="3"/>
      <c r="KO596" s="3"/>
      <c r="KP596" s="3"/>
      <c r="KQ596" s="3"/>
      <c r="KR596" s="3"/>
      <c r="KS596" s="3"/>
      <c r="KT596" s="3"/>
      <c r="KU596" s="3"/>
      <c r="KV596" s="3"/>
      <c r="KW596" s="3"/>
      <c r="KX596" s="3"/>
      <c r="KY596" s="3"/>
      <c r="KZ596" s="3"/>
      <c r="LA596" s="3"/>
      <c r="LB596" s="3"/>
      <c r="LC596" s="3"/>
      <c r="LD596" s="3"/>
      <c r="LE596" s="3"/>
      <c r="LF596" s="3"/>
      <c r="LG596" s="3"/>
      <c r="LH596" s="3"/>
      <c r="LI596" s="3"/>
      <c r="LJ596" s="3"/>
      <c r="LK596" s="3"/>
      <c r="LL596" s="3"/>
      <c r="LM596" s="3"/>
      <c r="LN596" s="3"/>
      <c r="LO596" s="3"/>
      <c r="LP596" s="3"/>
      <c r="LQ596" s="3"/>
      <c r="LR596" s="3"/>
      <c r="LS596" s="3"/>
      <c r="LT596" s="3"/>
      <c r="LU596" s="3"/>
      <c r="LV596" s="3"/>
      <c r="LW596" s="3"/>
      <c r="LX596" s="3"/>
      <c r="LY596" s="3"/>
      <c r="LZ596" s="3"/>
      <c r="MA596" s="3"/>
      <c r="MB596" s="3"/>
      <c r="MC596" s="3"/>
      <c r="MD596" s="3"/>
      <c r="ME596" s="3"/>
      <c r="MF596" s="3"/>
      <c r="MG596" s="3"/>
      <c r="MH596" s="3"/>
      <c r="MI596" s="3"/>
    </row>
    <row r="597" spans="1:347"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ID597" s="3"/>
      <c r="IE597" s="3"/>
      <c r="IF597" s="3"/>
      <c r="IG597" s="3"/>
      <c r="IH597" s="3"/>
      <c r="II597" s="3"/>
      <c r="IJ597" s="3"/>
      <c r="IK597" s="3"/>
      <c r="IL597" s="3"/>
      <c r="IM597" s="3"/>
      <c r="IN597" s="3"/>
      <c r="IO597" s="3"/>
      <c r="IP597" s="3"/>
      <c r="IQ597" s="3"/>
      <c r="IR597" s="3"/>
      <c r="IS597" s="3"/>
      <c r="IT597" s="3"/>
      <c r="IU597" s="3"/>
      <c r="IV597" s="3"/>
      <c r="IW597" s="3"/>
      <c r="IX597" s="3"/>
      <c r="IY597" s="3"/>
      <c r="IZ597" s="3"/>
      <c r="JA597" s="3"/>
      <c r="JB597" s="3"/>
      <c r="JC597" s="3"/>
      <c r="JD597" s="3"/>
      <c r="JE597" s="3"/>
      <c r="JF597" s="3"/>
      <c r="JG597" s="3"/>
      <c r="JH597" s="3"/>
      <c r="JI597" s="3"/>
      <c r="JJ597" s="3"/>
      <c r="JK597" s="3"/>
      <c r="JL597" s="3"/>
      <c r="JM597" s="3"/>
      <c r="JN597" s="3"/>
      <c r="JO597" s="3"/>
      <c r="JP597" s="3"/>
      <c r="JQ597" s="3"/>
      <c r="JR597" s="3"/>
      <c r="JS597" s="3"/>
      <c r="JT597" s="3"/>
      <c r="JU597" s="3"/>
      <c r="JV597" s="3"/>
      <c r="JW597" s="3"/>
      <c r="JX597" s="3"/>
      <c r="JY597" s="3"/>
      <c r="JZ597" s="3"/>
      <c r="KA597" s="3"/>
      <c r="KB597" s="3"/>
      <c r="KC597" s="3"/>
      <c r="KD597" s="3"/>
      <c r="KE597" s="3"/>
      <c r="KF597" s="3"/>
      <c r="KG597" s="3"/>
      <c r="KH597" s="3"/>
      <c r="KI597" s="3"/>
      <c r="KJ597" s="3"/>
      <c r="KK597" s="3"/>
      <c r="KL597" s="3"/>
      <c r="KM597" s="3"/>
      <c r="KN597" s="3"/>
      <c r="KO597" s="3"/>
      <c r="KP597" s="3"/>
      <c r="KQ597" s="3"/>
      <c r="KR597" s="3"/>
      <c r="KS597" s="3"/>
      <c r="KT597" s="3"/>
      <c r="KU597" s="3"/>
      <c r="KV597" s="3"/>
      <c r="KW597" s="3"/>
      <c r="KX597" s="3"/>
      <c r="KY597" s="3"/>
      <c r="KZ597" s="3"/>
      <c r="LA597" s="3"/>
      <c r="LB597" s="3"/>
      <c r="LC597" s="3"/>
      <c r="LD597" s="3"/>
      <c r="LE597" s="3"/>
      <c r="LF597" s="3"/>
      <c r="LG597" s="3"/>
      <c r="LH597" s="3"/>
      <c r="LI597" s="3"/>
      <c r="LJ597" s="3"/>
      <c r="LK597" s="3"/>
      <c r="LL597" s="3"/>
      <c r="LM597" s="3"/>
      <c r="LN597" s="3"/>
      <c r="LO597" s="3"/>
      <c r="LP597" s="3"/>
      <c r="LQ597" s="3"/>
      <c r="LR597" s="3"/>
      <c r="LS597" s="3"/>
      <c r="LT597" s="3"/>
      <c r="LU597" s="3"/>
      <c r="LV597" s="3"/>
      <c r="LW597" s="3"/>
      <c r="LX597" s="3"/>
      <c r="LY597" s="3"/>
      <c r="LZ597" s="3"/>
      <c r="MA597" s="3"/>
      <c r="MB597" s="3"/>
      <c r="MC597" s="3"/>
      <c r="MD597" s="3"/>
      <c r="ME597" s="3"/>
      <c r="MF597" s="3"/>
      <c r="MG597" s="3"/>
      <c r="MH597" s="3"/>
      <c r="MI597" s="3"/>
    </row>
    <row r="598" spans="1:347"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c r="HX598" s="3"/>
      <c r="HY598" s="3"/>
      <c r="HZ598" s="3"/>
      <c r="IA598" s="3"/>
      <c r="IB598" s="3"/>
      <c r="IC598" s="3"/>
      <c r="ID598" s="3"/>
      <c r="IE598" s="3"/>
      <c r="IF598" s="3"/>
      <c r="IG598" s="3"/>
      <c r="IH598" s="3"/>
      <c r="II598" s="3"/>
      <c r="IJ598" s="3"/>
      <c r="IK598" s="3"/>
      <c r="IL598" s="3"/>
      <c r="IM598" s="3"/>
      <c r="IN598" s="3"/>
      <c r="IO598" s="3"/>
      <c r="IP598" s="3"/>
      <c r="IQ598" s="3"/>
      <c r="IR598" s="3"/>
      <c r="IS598" s="3"/>
      <c r="IT598" s="3"/>
      <c r="IU598" s="3"/>
      <c r="IV598" s="3"/>
      <c r="IW598" s="3"/>
      <c r="IX598" s="3"/>
      <c r="IY598" s="3"/>
      <c r="IZ598" s="3"/>
      <c r="JA598" s="3"/>
      <c r="JB598" s="3"/>
      <c r="JC598" s="3"/>
      <c r="JD598" s="3"/>
      <c r="JE598" s="3"/>
      <c r="JF598" s="3"/>
      <c r="JG598" s="3"/>
      <c r="JH598" s="3"/>
      <c r="JI598" s="3"/>
      <c r="JJ598" s="3"/>
      <c r="JK598" s="3"/>
      <c r="JL598" s="3"/>
      <c r="JM598" s="3"/>
      <c r="JN598" s="3"/>
      <c r="JO598" s="3"/>
      <c r="JP598" s="3"/>
      <c r="JQ598" s="3"/>
      <c r="JR598" s="3"/>
      <c r="JS598" s="3"/>
      <c r="JT598" s="3"/>
      <c r="JU598" s="3"/>
      <c r="JV598" s="3"/>
      <c r="JW598" s="3"/>
      <c r="JX598" s="3"/>
      <c r="JY598" s="3"/>
      <c r="JZ598" s="3"/>
      <c r="KA598" s="3"/>
      <c r="KB598" s="3"/>
      <c r="KC598" s="3"/>
      <c r="KD598" s="3"/>
      <c r="KE598" s="3"/>
      <c r="KF598" s="3"/>
      <c r="KG598" s="3"/>
      <c r="KH598" s="3"/>
      <c r="KI598" s="3"/>
      <c r="KJ598" s="3"/>
      <c r="KK598" s="3"/>
      <c r="KL598" s="3"/>
      <c r="KM598" s="3"/>
      <c r="KN598" s="3"/>
      <c r="KO598" s="3"/>
      <c r="KP598" s="3"/>
      <c r="KQ598" s="3"/>
      <c r="KR598" s="3"/>
      <c r="KS598" s="3"/>
      <c r="KT598" s="3"/>
      <c r="KU598" s="3"/>
      <c r="KV598" s="3"/>
      <c r="KW598" s="3"/>
      <c r="KX598" s="3"/>
      <c r="KY598" s="3"/>
      <c r="KZ598" s="3"/>
      <c r="LA598" s="3"/>
      <c r="LB598" s="3"/>
      <c r="LC598" s="3"/>
      <c r="LD598" s="3"/>
      <c r="LE598" s="3"/>
      <c r="LF598" s="3"/>
      <c r="LG598" s="3"/>
      <c r="LH598" s="3"/>
      <c r="LI598" s="3"/>
      <c r="LJ598" s="3"/>
      <c r="LK598" s="3"/>
      <c r="LL598" s="3"/>
      <c r="LM598" s="3"/>
      <c r="LN598" s="3"/>
      <c r="LO598" s="3"/>
      <c r="LP598" s="3"/>
      <c r="LQ598" s="3"/>
      <c r="LR598" s="3"/>
      <c r="LS598" s="3"/>
      <c r="LT598" s="3"/>
      <c r="LU598" s="3"/>
      <c r="LV598" s="3"/>
      <c r="LW598" s="3"/>
      <c r="LX598" s="3"/>
      <c r="LY598" s="3"/>
      <c r="LZ598" s="3"/>
      <c r="MA598" s="3"/>
      <c r="MB598" s="3"/>
      <c r="MC598" s="3"/>
      <c r="MD598" s="3"/>
      <c r="ME598" s="3"/>
      <c r="MF598" s="3"/>
      <c r="MG598" s="3"/>
      <c r="MH598" s="3"/>
      <c r="MI598" s="3"/>
    </row>
    <row r="599" spans="1:347"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c r="HX599" s="3"/>
      <c r="HY599" s="3"/>
      <c r="HZ599" s="3"/>
      <c r="IA599" s="3"/>
      <c r="IB599" s="3"/>
      <c r="IC599" s="3"/>
      <c r="ID599" s="3"/>
      <c r="IE599" s="3"/>
      <c r="IF599" s="3"/>
      <c r="IG599" s="3"/>
      <c r="IH599" s="3"/>
      <c r="II599" s="3"/>
      <c r="IJ599" s="3"/>
      <c r="IK599" s="3"/>
      <c r="IL599" s="3"/>
      <c r="IM599" s="3"/>
      <c r="IN599" s="3"/>
      <c r="IO599" s="3"/>
      <c r="IP599" s="3"/>
      <c r="IQ599" s="3"/>
      <c r="IR599" s="3"/>
      <c r="IS599" s="3"/>
      <c r="IT599" s="3"/>
      <c r="IU599" s="3"/>
      <c r="IV599" s="3"/>
      <c r="IW599" s="3"/>
      <c r="IX599" s="3"/>
      <c r="IY599" s="3"/>
      <c r="IZ599" s="3"/>
      <c r="JA599" s="3"/>
      <c r="JB599" s="3"/>
      <c r="JC599" s="3"/>
      <c r="JD599" s="3"/>
      <c r="JE599" s="3"/>
      <c r="JF599" s="3"/>
      <c r="JG599" s="3"/>
      <c r="JH599" s="3"/>
      <c r="JI599" s="3"/>
      <c r="JJ599" s="3"/>
      <c r="JK599" s="3"/>
      <c r="JL599" s="3"/>
      <c r="JM599" s="3"/>
      <c r="JN599" s="3"/>
      <c r="JO599" s="3"/>
      <c r="JP599" s="3"/>
      <c r="JQ599" s="3"/>
      <c r="JR599" s="3"/>
      <c r="JS599" s="3"/>
      <c r="JT599" s="3"/>
      <c r="JU599" s="3"/>
      <c r="JV599" s="3"/>
      <c r="JW599" s="3"/>
      <c r="JX599" s="3"/>
      <c r="JY599" s="3"/>
      <c r="JZ599" s="3"/>
      <c r="KA599" s="3"/>
      <c r="KB599" s="3"/>
      <c r="KC599" s="3"/>
      <c r="KD599" s="3"/>
      <c r="KE599" s="3"/>
      <c r="KF599" s="3"/>
      <c r="KG599" s="3"/>
      <c r="KH599" s="3"/>
      <c r="KI599" s="3"/>
      <c r="KJ599" s="3"/>
      <c r="KK599" s="3"/>
      <c r="KL599" s="3"/>
      <c r="KM599" s="3"/>
      <c r="KN599" s="3"/>
      <c r="KO599" s="3"/>
      <c r="KP599" s="3"/>
      <c r="KQ599" s="3"/>
      <c r="KR599" s="3"/>
      <c r="KS599" s="3"/>
      <c r="KT599" s="3"/>
      <c r="KU599" s="3"/>
      <c r="KV599" s="3"/>
      <c r="KW599" s="3"/>
      <c r="KX599" s="3"/>
      <c r="KY599" s="3"/>
      <c r="KZ599" s="3"/>
      <c r="LA599" s="3"/>
      <c r="LB599" s="3"/>
      <c r="LC599" s="3"/>
      <c r="LD599" s="3"/>
      <c r="LE599" s="3"/>
      <c r="LF599" s="3"/>
      <c r="LG599" s="3"/>
      <c r="LH599" s="3"/>
      <c r="LI599" s="3"/>
      <c r="LJ599" s="3"/>
      <c r="LK599" s="3"/>
      <c r="LL599" s="3"/>
      <c r="LM599" s="3"/>
      <c r="LN599" s="3"/>
      <c r="LO599" s="3"/>
      <c r="LP599" s="3"/>
      <c r="LQ599" s="3"/>
      <c r="LR599" s="3"/>
      <c r="LS599" s="3"/>
      <c r="LT599" s="3"/>
      <c r="LU599" s="3"/>
      <c r="LV599" s="3"/>
      <c r="LW599" s="3"/>
      <c r="LX599" s="3"/>
      <c r="LY599" s="3"/>
      <c r="LZ599" s="3"/>
      <c r="MA599" s="3"/>
      <c r="MB599" s="3"/>
      <c r="MC599" s="3"/>
      <c r="MD599" s="3"/>
      <c r="ME599" s="3"/>
      <c r="MF599" s="3"/>
      <c r="MG599" s="3"/>
      <c r="MH599" s="3"/>
      <c r="MI599" s="3"/>
    </row>
    <row r="600" spans="1:347"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c r="HX600" s="3"/>
      <c r="HY600" s="3"/>
      <c r="HZ600" s="3"/>
      <c r="IA600" s="3"/>
      <c r="IB600" s="3"/>
      <c r="IC600" s="3"/>
      <c r="ID600" s="3"/>
      <c r="IE600" s="3"/>
      <c r="IF600" s="3"/>
      <c r="IG600" s="3"/>
      <c r="IH600" s="3"/>
      <c r="II600" s="3"/>
      <c r="IJ600" s="3"/>
      <c r="IK600" s="3"/>
      <c r="IL600" s="3"/>
      <c r="IM600" s="3"/>
      <c r="IN600" s="3"/>
      <c r="IO600" s="3"/>
      <c r="IP600" s="3"/>
      <c r="IQ600" s="3"/>
      <c r="IR600" s="3"/>
      <c r="IS600" s="3"/>
      <c r="IT600" s="3"/>
      <c r="IU600" s="3"/>
      <c r="IV600" s="3"/>
      <c r="IW600" s="3"/>
      <c r="IX600" s="3"/>
      <c r="IY600" s="3"/>
      <c r="IZ600" s="3"/>
      <c r="JA600" s="3"/>
      <c r="JB600" s="3"/>
      <c r="JC600" s="3"/>
      <c r="JD600" s="3"/>
      <c r="JE600" s="3"/>
      <c r="JF600" s="3"/>
      <c r="JG600" s="3"/>
      <c r="JH600" s="3"/>
      <c r="JI600" s="3"/>
      <c r="JJ600" s="3"/>
      <c r="JK600" s="3"/>
      <c r="JL600" s="3"/>
      <c r="JM600" s="3"/>
      <c r="JN600" s="3"/>
      <c r="JO600" s="3"/>
      <c r="JP600" s="3"/>
      <c r="JQ600" s="3"/>
      <c r="JR600" s="3"/>
      <c r="JS600" s="3"/>
      <c r="JT600" s="3"/>
      <c r="JU600" s="3"/>
      <c r="JV600" s="3"/>
      <c r="JW600" s="3"/>
      <c r="JX600" s="3"/>
      <c r="JY600" s="3"/>
      <c r="JZ600" s="3"/>
      <c r="KA600" s="3"/>
      <c r="KB600" s="3"/>
      <c r="KC600" s="3"/>
      <c r="KD600" s="3"/>
      <c r="KE600" s="3"/>
      <c r="KF600" s="3"/>
      <c r="KG600" s="3"/>
      <c r="KH600" s="3"/>
      <c r="KI600" s="3"/>
      <c r="KJ600" s="3"/>
      <c r="KK600" s="3"/>
      <c r="KL600" s="3"/>
      <c r="KM600" s="3"/>
      <c r="KN600" s="3"/>
      <c r="KO600" s="3"/>
      <c r="KP600" s="3"/>
      <c r="KQ600" s="3"/>
      <c r="KR600" s="3"/>
      <c r="KS600" s="3"/>
      <c r="KT600" s="3"/>
      <c r="KU600" s="3"/>
      <c r="KV600" s="3"/>
      <c r="KW600" s="3"/>
      <c r="KX600" s="3"/>
      <c r="KY600" s="3"/>
      <c r="KZ600" s="3"/>
      <c r="LA600" s="3"/>
      <c r="LB600" s="3"/>
      <c r="LC600" s="3"/>
      <c r="LD600" s="3"/>
      <c r="LE600" s="3"/>
      <c r="LF600" s="3"/>
      <c r="LG600" s="3"/>
      <c r="LH600" s="3"/>
      <c r="LI600" s="3"/>
      <c r="LJ600" s="3"/>
      <c r="LK600" s="3"/>
      <c r="LL600" s="3"/>
      <c r="LM600" s="3"/>
      <c r="LN600" s="3"/>
      <c r="LO600" s="3"/>
      <c r="LP600" s="3"/>
      <c r="LQ600" s="3"/>
      <c r="LR600" s="3"/>
      <c r="LS600" s="3"/>
      <c r="LT600" s="3"/>
      <c r="LU600" s="3"/>
      <c r="LV600" s="3"/>
      <c r="LW600" s="3"/>
      <c r="LX600" s="3"/>
      <c r="LY600" s="3"/>
      <c r="LZ600" s="3"/>
      <c r="MA600" s="3"/>
      <c r="MB600" s="3"/>
      <c r="MC600" s="3"/>
      <c r="MD600" s="3"/>
      <c r="ME600" s="3"/>
      <c r="MF600" s="3"/>
      <c r="MG600" s="3"/>
      <c r="MH600" s="3"/>
      <c r="MI600" s="3"/>
    </row>
    <row r="601" spans="1:347"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c r="HX601" s="3"/>
      <c r="HY601" s="3"/>
      <c r="HZ601" s="3"/>
      <c r="IA601" s="3"/>
      <c r="IB601" s="3"/>
      <c r="IC601" s="3"/>
      <c r="ID601" s="3"/>
      <c r="IE601" s="3"/>
      <c r="IF601" s="3"/>
      <c r="IG601" s="3"/>
      <c r="IH601" s="3"/>
      <c r="II601" s="3"/>
      <c r="IJ601" s="3"/>
      <c r="IK601" s="3"/>
      <c r="IL601" s="3"/>
      <c r="IM601" s="3"/>
      <c r="IN601" s="3"/>
      <c r="IO601" s="3"/>
      <c r="IP601" s="3"/>
      <c r="IQ601" s="3"/>
      <c r="IR601" s="3"/>
      <c r="IS601" s="3"/>
      <c r="IT601" s="3"/>
      <c r="IU601" s="3"/>
      <c r="IV601" s="3"/>
      <c r="IW601" s="3"/>
      <c r="IX601" s="3"/>
      <c r="IY601" s="3"/>
      <c r="IZ601" s="3"/>
      <c r="JA601" s="3"/>
      <c r="JB601" s="3"/>
      <c r="JC601" s="3"/>
      <c r="JD601" s="3"/>
      <c r="JE601" s="3"/>
      <c r="JF601" s="3"/>
      <c r="JG601" s="3"/>
      <c r="JH601" s="3"/>
      <c r="JI601" s="3"/>
      <c r="JJ601" s="3"/>
      <c r="JK601" s="3"/>
      <c r="JL601" s="3"/>
      <c r="JM601" s="3"/>
      <c r="JN601" s="3"/>
      <c r="JO601" s="3"/>
      <c r="JP601" s="3"/>
      <c r="JQ601" s="3"/>
      <c r="JR601" s="3"/>
      <c r="JS601" s="3"/>
      <c r="JT601" s="3"/>
      <c r="JU601" s="3"/>
      <c r="JV601" s="3"/>
      <c r="JW601" s="3"/>
      <c r="JX601" s="3"/>
      <c r="JY601" s="3"/>
      <c r="JZ601" s="3"/>
      <c r="KA601" s="3"/>
      <c r="KB601" s="3"/>
      <c r="KC601" s="3"/>
      <c r="KD601" s="3"/>
      <c r="KE601" s="3"/>
      <c r="KF601" s="3"/>
      <c r="KG601" s="3"/>
      <c r="KH601" s="3"/>
      <c r="KI601" s="3"/>
      <c r="KJ601" s="3"/>
      <c r="KK601" s="3"/>
      <c r="KL601" s="3"/>
      <c r="KM601" s="3"/>
      <c r="KN601" s="3"/>
      <c r="KO601" s="3"/>
      <c r="KP601" s="3"/>
      <c r="KQ601" s="3"/>
      <c r="KR601" s="3"/>
      <c r="KS601" s="3"/>
      <c r="KT601" s="3"/>
      <c r="KU601" s="3"/>
      <c r="KV601" s="3"/>
      <c r="KW601" s="3"/>
      <c r="KX601" s="3"/>
      <c r="KY601" s="3"/>
      <c r="KZ601" s="3"/>
      <c r="LA601" s="3"/>
      <c r="LB601" s="3"/>
      <c r="LC601" s="3"/>
      <c r="LD601" s="3"/>
      <c r="LE601" s="3"/>
      <c r="LF601" s="3"/>
      <c r="LG601" s="3"/>
      <c r="LH601" s="3"/>
      <c r="LI601" s="3"/>
      <c r="LJ601" s="3"/>
      <c r="LK601" s="3"/>
      <c r="LL601" s="3"/>
      <c r="LM601" s="3"/>
      <c r="LN601" s="3"/>
      <c r="LO601" s="3"/>
      <c r="LP601" s="3"/>
      <c r="LQ601" s="3"/>
      <c r="LR601" s="3"/>
      <c r="LS601" s="3"/>
      <c r="LT601" s="3"/>
      <c r="LU601" s="3"/>
      <c r="LV601" s="3"/>
      <c r="LW601" s="3"/>
      <c r="LX601" s="3"/>
      <c r="LY601" s="3"/>
      <c r="LZ601" s="3"/>
      <c r="MA601" s="3"/>
      <c r="MB601" s="3"/>
      <c r="MC601" s="3"/>
      <c r="MD601" s="3"/>
      <c r="ME601" s="3"/>
      <c r="MF601" s="3"/>
      <c r="MG601" s="3"/>
      <c r="MH601" s="3"/>
      <c r="MI601" s="3"/>
    </row>
    <row r="602" spans="1:347"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c r="HX602" s="3"/>
      <c r="HY602" s="3"/>
      <c r="HZ602" s="3"/>
      <c r="IA602" s="3"/>
      <c r="IB602" s="3"/>
      <c r="IC602" s="3"/>
      <c r="ID602" s="3"/>
      <c r="IE602" s="3"/>
      <c r="IF602" s="3"/>
      <c r="IG602" s="3"/>
      <c r="IH602" s="3"/>
      <c r="II602" s="3"/>
      <c r="IJ602" s="3"/>
      <c r="IK602" s="3"/>
      <c r="IL602" s="3"/>
      <c r="IM602" s="3"/>
      <c r="IN602" s="3"/>
      <c r="IO602" s="3"/>
      <c r="IP602" s="3"/>
      <c r="IQ602" s="3"/>
      <c r="IR602" s="3"/>
      <c r="IS602" s="3"/>
      <c r="IT602" s="3"/>
      <c r="IU602" s="3"/>
      <c r="IV602" s="3"/>
      <c r="IW602" s="3"/>
      <c r="IX602" s="3"/>
      <c r="IY602" s="3"/>
      <c r="IZ602" s="3"/>
      <c r="JA602" s="3"/>
      <c r="JB602" s="3"/>
      <c r="JC602" s="3"/>
      <c r="JD602" s="3"/>
      <c r="JE602" s="3"/>
      <c r="JF602" s="3"/>
      <c r="JG602" s="3"/>
      <c r="JH602" s="3"/>
      <c r="JI602" s="3"/>
      <c r="JJ602" s="3"/>
      <c r="JK602" s="3"/>
      <c r="JL602" s="3"/>
      <c r="JM602" s="3"/>
      <c r="JN602" s="3"/>
      <c r="JO602" s="3"/>
      <c r="JP602" s="3"/>
      <c r="JQ602" s="3"/>
      <c r="JR602" s="3"/>
      <c r="JS602" s="3"/>
      <c r="JT602" s="3"/>
      <c r="JU602" s="3"/>
      <c r="JV602" s="3"/>
      <c r="JW602" s="3"/>
      <c r="JX602" s="3"/>
      <c r="JY602" s="3"/>
      <c r="JZ602" s="3"/>
      <c r="KA602" s="3"/>
      <c r="KB602" s="3"/>
      <c r="KC602" s="3"/>
      <c r="KD602" s="3"/>
      <c r="KE602" s="3"/>
      <c r="KF602" s="3"/>
      <c r="KG602" s="3"/>
      <c r="KH602" s="3"/>
      <c r="KI602" s="3"/>
      <c r="KJ602" s="3"/>
      <c r="KK602" s="3"/>
      <c r="KL602" s="3"/>
      <c r="KM602" s="3"/>
      <c r="KN602" s="3"/>
      <c r="KO602" s="3"/>
      <c r="KP602" s="3"/>
      <c r="KQ602" s="3"/>
      <c r="KR602" s="3"/>
      <c r="KS602" s="3"/>
      <c r="KT602" s="3"/>
      <c r="KU602" s="3"/>
      <c r="KV602" s="3"/>
      <c r="KW602" s="3"/>
      <c r="KX602" s="3"/>
      <c r="KY602" s="3"/>
      <c r="KZ602" s="3"/>
      <c r="LA602" s="3"/>
      <c r="LB602" s="3"/>
      <c r="LC602" s="3"/>
      <c r="LD602" s="3"/>
      <c r="LE602" s="3"/>
      <c r="LF602" s="3"/>
      <c r="LG602" s="3"/>
      <c r="LH602" s="3"/>
      <c r="LI602" s="3"/>
      <c r="LJ602" s="3"/>
      <c r="LK602" s="3"/>
      <c r="LL602" s="3"/>
      <c r="LM602" s="3"/>
      <c r="LN602" s="3"/>
      <c r="LO602" s="3"/>
      <c r="LP602" s="3"/>
      <c r="LQ602" s="3"/>
      <c r="LR602" s="3"/>
      <c r="LS602" s="3"/>
      <c r="LT602" s="3"/>
      <c r="LU602" s="3"/>
      <c r="LV602" s="3"/>
      <c r="LW602" s="3"/>
      <c r="LX602" s="3"/>
      <c r="LY602" s="3"/>
      <c r="LZ602" s="3"/>
      <c r="MA602" s="3"/>
      <c r="MB602" s="3"/>
      <c r="MC602" s="3"/>
      <c r="MD602" s="3"/>
      <c r="ME602" s="3"/>
      <c r="MF602" s="3"/>
      <c r="MG602" s="3"/>
      <c r="MH602" s="3"/>
      <c r="MI602" s="3"/>
    </row>
    <row r="603" spans="1:347"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c r="HX603" s="3"/>
      <c r="HY603" s="3"/>
      <c r="HZ603" s="3"/>
      <c r="IA603" s="3"/>
      <c r="IB603" s="3"/>
      <c r="IC603" s="3"/>
      <c r="ID603" s="3"/>
      <c r="IE603" s="3"/>
      <c r="IF603" s="3"/>
      <c r="IG603" s="3"/>
      <c r="IH603" s="3"/>
      <c r="II603" s="3"/>
      <c r="IJ603" s="3"/>
      <c r="IK603" s="3"/>
      <c r="IL603" s="3"/>
      <c r="IM603" s="3"/>
      <c r="IN603" s="3"/>
      <c r="IO603" s="3"/>
      <c r="IP603" s="3"/>
      <c r="IQ603" s="3"/>
      <c r="IR603" s="3"/>
      <c r="IS603" s="3"/>
      <c r="IT603" s="3"/>
      <c r="IU603" s="3"/>
      <c r="IV603" s="3"/>
      <c r="IW603" s="3"/>
      <c r="IX603" s="3"/>
      <c r="IY603" s="3"/>
      <c r="IZ603" s="3"/>
      <c r="JA603" s="3"/>
      <c r="JB603" s="3"/>
      <c r="JC603" s="3"/>
      <c r="JD603" s="3"/>
      <c r="JE603" s="3"/>
      <c r="JF603" s="3"/>
      <c r="JG603" s="3"/>
      <c r="JH603" s="3"/>
      <c r="JI603" s="3"/>
      <c r="JJ603" s="3"/>
      <c r="JK603" s="3"/>
      <c r="JL603" s="3"/>
      <c r="JM603" s="3"/>
      <c r="JN603" s="3"/>
      <c r="JO603" s="3"/>
      <c r="JP603" s="3"/>
      <c r="JQ603" s="3"/>
      <c r="JR603" s="3"/>
      <c r="JS603" s="3"/>
      <c r="JT603" s="3"/>
      <c r="JU603" s="3"/>
      <c r="JV603" s="3"/>
      <c r="JW603" s="3"/>
      <c r="JX603" s="3"/>
      <c r="JY603" s="3"/>
      <c r="JZ603" s="3"/>
      <c r="KA603" s="3"/>
      <c r="KB603" s="3"/>
      <c r="KC603" s="3"/>
      <c r="KD603" s="3"/>
      <c r="KE603" s="3"/>
      <c r="KF603" s="3"/>
      <c r="KG603" s="3"/>
      <c r="KH603" s="3"/>
      <c r="KI603" s="3"/>
      <c r="KJ603" s="3"/>
      <c r="KK603" s="3"/>
      <c r="KL603" s="3"/>
      <c r="KM603" s="3"/>
      <c r="KN603" s="3"/>
      <c r="KO603" s="3"/>
      <c r="KP603" s="3"/>
      <c r="KQ603" s="3"/>
      <c r="KR603" s="3"/>
      <c r="KS603" s="3"/>
      <c r="KT603" s="3"/>
      <c r="KU603" s="3"/>
      <c r="KV603" s="3"/>
      <c r="KW603" s="3"/>
      <c r="KX603" s="3"/>
      <c r="KY603" s="3"/>
      <c r="KZ603" s="3"/>
      <c r="LA603" s="3"/>
      <c r="LB603" s="3"/>
      <c r="LC603" s="3"/>
      <c r="LD603" s="3"/>
      <c r="LE603" s="3"/>
      <c r="LF603" s="3"/>
      <c r="LG603" s="3"/>
      <c r="LH603" s="3"/>
      <c r="LI603" s="3"/>
      <c r="LJ603" s="3"/>
      <c r="LK603" s="3"/>
      <c r="LL603" s="3"/>
      <c r="LM603" s="3"/>
      <c r="LN603" s="3"/>
      <c r="LO603" s="3"/>
      <c r="LP603" s="3"/>
      <c r="LQ603" s="3"/>
      <c r="LR603" s="3"/>
      <c r="LS603" s="3"/>
      <c r="LT603" s="3"/>
      <c r="LU603" s="3"/>
      <c r="LV603" s="3"/>
      <c r="LW603" s="3"/>
      <c r="LX603" s="3"/>
      <c r="LY603" s="3"/>
      <c r="LZ603" s="3"/>
      <c r="MA603" s="3"/>
      <c r="MB603" s="3"/>
      <c r="MC603" s="3"/>
      <c r="MD603" s="3"/>
      <c r="ME603" s="3"/>
      <c r="MF603" s="3"/>
      <c r="MG603" s="3"/>
      <c r="MH603" s="3"/>
      <c r="MI603" s="3"/>
    </row>
    <row r="604" spans="1:347"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c r="HX604" s="3"/>
      <c r="HY604" s="3"/>
      <c r="HZ604" s="3"/>
      <c r="IA604" s="3"/>
      <c r="IB604" s="3"/>
      <c r="IC604" s="3"/>
      <c r="ID604" s="3"/>
      <c r="IE604" s="3"/>
      <c r="IF604" s="3"/>
      <c r="IG604" s="3"/>
      <c r="IH604" s="3"/>
      <c r="II604" s="3"/>
      <c r="IJ604" s="3"/>
      <c r="IK604" s="3"/>
      <c r="IL604" s="3"/>
      <c r="IM604" s="3"/>
      <c r="IN604" s="3"/>
      <c r="IO604" s="3"/>
      <c r="IP604" s="3"/>
      <c r="IQ604" s="3"/>
      <c r="IR604" s="3"/>
      <c r="IS604" s="3"/>
      <c r="IT604" s="3"/>
      <c r="IU604" s="3"/>
      <c r="IV604" s="3"/>
      <c r="IW604" s="3"/>
      <c r="IX604" s="3"/>
      <c r="IY604" s="3"/>
      <c r="IZ604" s="3"/>
      <c r="JA604" s="3"/>
      <c r="JB604" s="3"/>
      <c r="JC604" s="3"/>
      <c r="JD604" s="3"/>
      <c r="JE604" s="3"/>
      <c r="JF604" s="3"/>
      <c r="JG604" s="3"/>
      <c r="JH604" s="3"/>
      <c r="JI604" s="3"/>
      <c r="JJ604" s="3"/>
      <c r="JK604" s="3"/>
      <c r="JL604" s="3"/>
      <c r="JM604" s="3"/>
      <c r="JN604" s="3"/>
      <c r="JO604" s="3"/>
      <c r="JP604" s="3"/>
      <c r="JQ604" s="3"/>
      <c r="JR604" s="3"/>
      <c r="JS604" s="3"/>
      <c r="JT604" s="3"/>
      <c r="JU604" s="3"/>
      <c r="JV604" s="3"/>
      <c r="JW604" s="3"/>
      <c r="JX604" s="3"/>
      <c r="JY604" s="3"/>
      <c r="JZ604" s="3"/>
      <c r="KA604" s="3"/>
      <c r="KB604" s="3"/>
      <c r="KC604" s="3"/>
      <c r="KD604" s="3"/>
      <c r="KE604" s="3"/>
      <c r="KF604" s="3"/>
      <c r="KG604" s="3"/>
      <c r="KH604" s="3"/>
      <c r="KI604" s="3"/>
      <c r="KJ604" s="3"/>
      <c r="KK604" s="3"/>
      <c r="KL604" s="3"/>
      <c r="KM604" s="3"/>
      <c r="KN604" s="3"/>
      <c r="KO604" s="3"/>
      <c r="KP604" s="3"/>
      <c r="KQ604" s="3"/>
      <c r="KR604" s="3"/>
      <c r="KS604" s="3"/>
      <c r="KT604" s="3"/>
      <c r="KU604" s="3"/>
      <c r="KV604" s="3"/>
      <c r="KW604" s="3"/>
      <c r="KX604" s="3"/>
      <c r="KY604" s="3"/>
      <c r="KZ604" s="3"/>
      <c r="LA604" s="3"/>
      <c r="LB604" s="3"/>
      <c r="LC604" s="3"/>
      <c r="LD604" s="3"/>
      <c r="LE604" s="3"/>
      <c r="LF604" s="3"/>
      <c r="LG604" s="3"/>
      <c r="LH604" s="3"/>
      <c r="LI604" s="3"/>
      <c r="LJ604" s="3"/>
      <c r="LK604" s="3"/>
      <c r="LL604" s="3"/>
      <c r="LM604" s="3"/>
      <c r="LN604" s="3"/>
      <c r="LO604" s="3"/>
      <c r="LP604" s="3"/>
      <c r="LQ604" s="3"/>
      <c r="LR604" s="3"/>
      <c r="LS604" s="3"/>
      <c r="LT604" s="3"/>
      <c r="LU604" s="3"/>
      <c r="LV604" s="3"/>
      <c r="LW604" s="3"/>
      <c r="LX604" s="3"/>
      <c r="LY604" s="3"/>
      <c r="LZ604" s="3"/>
      <c r="MA604" s="3"/>
      <c r="MB604" s="3"/>
      <c r="MC604" s="3"/>
      <c r="MD604" s="3"/>
      <c r="ME604" s="3"/>
      <c r="MF604" s="3"/>
      <c r="MG604" s="3"/>
      <c r="MH604" s="3"/>
      <c r="MI604" s="3"/>
    </row>
    <row r="605" spans="1:347"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c r="HX605" s="3"/>
      <c r="HY605" s="3"/>
      <c r="HZ605" s="3"/>
      <c r="IA605" s="3"/>
      <c r="IB605" s="3"/>
      <c r="IC605" s="3"/>
      <c r="ID605" s="3"/>
      <c r="IE605" s="3"/>
      <c r="IF605" s="3"/>
      <c r="IG605" s="3"/>
      <c r="IH605" s="3"/>
      <c r="II605" s="3"/>
      <c r="IJ605" s="3"/>
      <c r="IK605" s="3"/>
      <c r="IL605" s="3"/>
      <c r="IM605" s="3"/>
      <c r="IN605" s="3"/>
      <c r="IO605" s="3"/>
      <c r="IP605" s="3"/>
      <c r="IQ605" s="3"/>
      <c r="IR605" s="3"/>
      <c r="IS605" s="3"/>
      <c r="IT605" s="3"/>
      <c r="IU605" s="3"/>
      <c r="IV605" s="3"/>
      <c r="IW605" s="3"/>
      <c r="IX605" s="3"/>
      <c r="IY605" s="3"/>
      <c r="IZ605" s="3"/>
      <c r="JA605" s="3"/>
      <c r="JB605" s="3"/>
      <c r="JC605" s="3"/>
      <c r="JD605" s="3"/>
      <c r="JE605" s="3"/>
      <c r="JF605" s="3"/>
      <c r="JG605" s="3"/>
      <c r="JH605" s="3"/>
      <c r="JI605" s="3"/>
      <c r="JJ605" s="3"/>
      <c r="JK605" s="3"/>
      <c r="JL605" s="3"/>
      <c r="JM605" s="3"/>
      <c r="JN605" s="3"/>
      <c r="JO605" s="3"/>
      <c r="JP605" s="3"/>
      <c r="JQ605" s="3"/>
      <c r="JR605" s="3"/>
      <c r="JS605" s="3"/>
      <c r="JT605" s="3"/>
      <c r="JU605" s="3"/>
      <c r="JV605" s="3"/>
      <c r="JW605" s="3"/>
      <c r="JX605" s="3"/>
      <c r="JY605" s="3"/>
      <c r="JZ605" s="3"/>
      <c r="KA605" s="3"/>
      <c r="KB605" s="3"/>
      <c r="KC605" s="3"/>
      <c r="KD605" s="3"/>
      <c r="KE605" s="3"/>
      <c r="KF605" s="3"/>
      <c r="KG605" s="3"/>
      <c r="KH605" s="3"/>
      <c r="KI605" s="3"/>
      <c r="KJ605" s="3"/>
      <c r="KK605" s="3"/>
      <c r="KL605" s="3"/>
      <c r="KM605" s="3"/>
      <c r="KN605" s="3"/>
      <c r="KO605" s="3"/>
      <c r="KP605" s="3"/>
      <c r="KQ605" s="3"/>
      <c r="KR605" s="3"/>
      <c r="KS605" s="3"/>
      <c r="KT605" s="3"/>
      <c r="KU605" s="3"/>
      <c r="KV605" s="3"/>
      <c r="KW605" s="3"/>
      <c r="KX605" s="3"/>
      <c r="KY605" s="3"/>
      <c r="KZ605" s="3"/>
      <c r="LA605" s="3"/>
      <c r="LB605" s="3"/>
      <c r="LC605" s="3"/>
      <c r="LD605" s="3"/>
      <c r="LE605" s="3"/>
      <c r="LF605" s="3"/>
      <c r="LG605" s="3"/>
      <c r="LH605" s="3"/>
      <c r="LI605" s="3"/>
      <c r="LJ605" s="3"/>
      <c r="LK605" s="3"/>
      <c r="LL605" s="3"/>
      <c r="LM605" s="3"/>
      <c r="LN605" s="3"/>
      <c r="LO605" s="3"/>
      <c r="LP605" s="3"/>
      <c r="LQ605" s="3"/>
      <c r="LR605" s="3"/>
      <c r="LS605" s="3"/>
      <c r="LT605" s="3"/>
      <c r="LU605" s="3"/>
      <c r="LV605" s="3"/>
      <c r="LW605" s="3"/>
      <c r="LX605" s="3"/>
      <c r="LY605" s="3"/>
      <c r="LZ605" s="3"/>
      <c r="MA605" s="3"/>
      <c r="MB605" s="3"/>
      <c r="MC605" s="3"/>
      <c r="MD605" s="3"/>
      <c r="ME605" s="3"/>
      <c r="MF605" s="3"/>
      <c r="MG605" s="3"/>
      <c r="MH605" s="3"/>
      <c r="MI605" s="3"/>
    </row>
    <row r="606" spans="1:347"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c r="HX606" s="3"/>
      <c r="HY606" s="3"/>
      <c r="HZ606" s="3"/>
      <c r="IA606" s="3"/>
      <c r="IB606" s="3"/>
      <c r="IC606" s="3"/>
      <c r="ID606" s="3"/>
      <c r="IE606" s="3"/>
      <c r="IF606" s="3"/>
      <c r="IG606" s="3"/>
      <c r="IH606" s="3"/>
      <c r="II606" s="3"/>
      <c r="IJ606" s="3"/>
      <c r="IK606" s="3"/>
      <c r="IL606" s="3"/>
      <c r="IM606" s="3"/>
      <c r="IN606" s="3"/>
      <c r="IO606" s="3"/>
      <c r="IP606" s="3"/>
      <c r="IQ606" s="3"/>
      <c r="IR606" s="3"/>
      <c r="IS606" s="3"/>
      <c r="IT606" s="3"/>
      <c r="IU606" s="3"/>
      <c r="IV606" s="3"/>
      <c r="IW606" s="3"/>
      <c r="IX606" s="3"/>
      <c r="IY606" s="3"/>
      <c r="IZ606" s="3"/>
      <c r="JA606" s="3"/>
      <c r="JB606" s="3"/>
      <c r="JC606" s="3"/>
      <c r="JD606" s="3"/>
      <c r="JE606" s="3"/>
      <c r="JF606" s="3"/>
      <c r="JG606" s="3"/>
      <c r="JH606" s="3"/>
      <c r="JI606" s="3"/>
      <c r="JJ606" s="3"/>
      <c r="JK606" s="3"/>
      <c r="JL606" s="3"/>
      <c r="JM606" s="3"/>
      <c r="JN606" s="3"/>
      <c r="JO606" s="3"/>
      <c r="JP606" s="3"/>
      <c r="JQ606" s="3"/>
      <c r="JR606" s="3"/>
      <c r="JS606" s="3"/>
      <c r="JT606" s="3"/>
      <c r="JU606" s="3"/>
      <c r="JV606" s="3"/>
      <c r="JW606" s="3"/>
      <c r="JX606" s="3"/>
      <c r="JY606" s="3"/>
      <c r="JZ606" s="3"/>
      <c r="KA606" s="3"/>
      <c r="KB606" s="3"/>
      <c r="KC606" s="3"/>
      <c r="KD606" s="3"/>
      <c r="KE606" s="3"/>
      <c r="KF606" s="3"/>
      <c r="KG606" s="3"/>
      <c r="KH606" s="3"/>
      <c r="KI606" s="3"/>
      <c r="KJ606" s="3"/>
      <c r="KK606" s="3"/>
      <c r="KL606" s="3"/>
      <c r="KM606" s="3"/>
      <c r="KN606" s="3"/>
      <c r="KO606" s="3"/>
      <c r="KP606" s="3"/>
      <c r="KQ606" s="3"/>
      <c r="KR606" s="3"/>
      <c r="KS606" s="3"/>
      <c r="KT606" s="3"/>
      <c r="KU606" s="3"/>
      <c r="KV606" s="3"/>
      <c r="KW606" s="3"/>
      <c r="KX606" s="3"/>
      <c r="KY606" s="3"/>
      <c r="KZ606" s="3"/>
      <c r="LA606" s="3"/>
      <c r="LB606" s="3"/>
      <c r="LC606" s="3"/>
      <c r="LD606" s="3"/>
      <c r="LE606" s="3"/>
      <c r="LF606" s="3"/>
      <c r="LG606" s="3"/>
      <c r="LH606" s="3"/>
      <c r="LI606" s="3"/>
      <c r="LJ606" s="3"/>
      <c r="LK606" s="3"/>
      <c r="LL606" s="3"/>
      <c r="LM606" s="3"/>
      <c r="LN606" s="3"/>
      <c r="LO606" s="3"/>
      <c r="LP606" s="3"/>
      <c r="LQ606" s="3"/>
      <c r="LR606" s="3"/>
      <c r="LS606" s="3"/>
      <c r="LT606" s="3"/>
      <c r="LU606" s="3"/>
      <c r="LV606" s="3"/>
      <c r="LW606" s="3"/>
      <c r="LX606" s="3"/>
      <c r="LY606" s="3"/>
      <c r="LZ606" s="3"/>
      <c r="MA606" s="3"/>
      <c r="MB606" s="3"/>
      <c r="MC606" s="3"/>
      <c r="MD606" s="3"/>
      <c r="ME606" s="3"/>
      <c r="MF606" s="3"/>
      <c r="MG606" s="3"/>
      <c r="MH606" s="3"/>
      <c r="MI606" s="3"/>
    </row>
    <row r="607" spans="1:347"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c r="HX607" s="3"/>
      <c r="HY607" s="3"/>
      <c r="HZ607" s="3"/>
      <c r="IA607" s="3"/>
      <c r="IB607" s="3"/>
      <c r="IC607" s="3"/>
      <c r="ID607" s="3"/>
      <c r="IE607" s="3"/>
      <c r="IF607" s="3"/>
      <c r="IG607" s="3"/>
      <c r="IH607" s="3"/>
      <c r="II607" s="3"/>
      <c r="IJ607" s="3"/>
      <c r="IK607" s="3"/>
      <c r="IL607" s="3"/>
      <c r="IM607" s="3"/>
      <c r="IN607" s="3"/>
      <c r="IO607" s="3"/>
      <c r="IP607" s="3"/>
      <c r="IQ607" s="3"/>
      <c r="IR607" s="3"/>
      <c r="IS607" s="3"/>
      <c r="IT607" s="3"/>
      <c r="IU607" s="3"/>
      <c r="IV607" s="3"/>
      <c r="IW607" s="3"/>
      <c r="IX607" s="3"/>
      <c r="IY607" s="3"/>
      <c r="IZ607" s="3"/>
      <c r="JA607" s="3"/>
      <c r="JB607" s="3"/>
      <c r="JC607" s="3"/>
      <c r="JD607" s="3"/>
      <c r="JE607" s="3"/>
      <c r="JF607" s="3"/>
      <c r="JG607" s="3"/>
      <c r="JH607" s="3"/>
      <c r="JI607" s="3"/>
      <c r="JJ607" s="3"/>
      <c r="JK607" s="3"/>
      <c r="JL607" s="3"/>
      <c r="JM607" s="3"/>
      <c r="JN607" s="3"/>
      <c r="JO607" s="3"/>
      <c r="JP607" s="3"/>
      <c r="JQ607" s="3"/>
      <c r="JR607" s="3"/>
      <c r="JS607" s="3"/>
      <c r="JT607" s="3"/>
      <c r="JU607" s="3"/>
      <c r="JV607" s="3"/>
      <c r="JW607" s="3"/>
      <c r="JX607" s="3"/>
      <c r="JY607" s="3"/>
      <c r="JZ607" s="3"/>
      <c r="KA607" s="3"/>
      <c r="KB607" s="3"/>
      <c r="KC607" s="3"/>
      <c r="KD607" s="3"/>
      <c r="KE607" s="3"/>
      <c r="KF607" s="3"/>
      <c r="KG607" s="3"/>
      <c r="KH607" s="3"/>
      <c r="KI607" s="3"/>
      <c r="KJ607" s="3"/>
      <c r="KK607" s="3"/>
      <c r="KL607" s="3"/>
      <c r="KM607" s="3"/>
      <c r="KN607" s="3"/>
      <c r="KO607" s="3"/>
      <c r="KP607" s="3"/>
      <c r="KQ607" s="3"/>
      <c r="KR607" s="3"/>
      <c r="KS607" s="3"/>
      <c r="KT607" s="3"/>
      <c r="KU607" s="3"/>
      <c r="KV607" s="3"/>
      <c r="KW607" s="3"/>
      <c r="KX607" s="3"/>
      <c r="KY607" s="3"/>
      <c r="KZ607" s="3"/>
      <c r="LA607" s="3"/>
      <c r="LB607" s="3"/>
      <c r="LC607" s="3"/>
      <c r="LD607" s="3"/>
      <c r="LE607" s="3"/>
      <c r="LF607" s="3"/>
      <c r="LG607" s="3"/>
      <c r="LH607" s="3"/>
      <c r="LI607" s="3"/>
      <c r="LJ607" s="3"/>
      <c r="LK607" s="3"/>
      <c r="LL607" s="3"/>
      <c r="LM607" s="3"/>
      <c r="LN607" s="3"/>
      <c r="LO607" s="3"/>
      <c r="LP607" s="3"/>
      <c r="LQ607" s="3"/>
      <c r="LR607" s="3"/>
      <c r="LS607" s="3"/>
      <c r="LT607" s="3"/>
      <c r="LU607" s="3"/>
      <c r="LV607" s="3"/>
      <c r="LW607" s="3"/>
      <c r="LX607" s="3"/>
      <c r="LY607" s="3"/>
      <c r="LZ607" s="3"/>
      <c r="MA607" s="3"/>
      <c r="MB607" s="3"/>
      <c r="MC607" s="3"/>
      <c r="MD607" s="3"/>
      <c r="ME607" s="3"/>
      <c r="MF607" s="3"/>
      <c r="MG607" s="3"/>
      <c r="MH607" s="3"/>
      <c r="MI607" s="3"/>
    </row>
    <row r="608" spans="1:347"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c r="HX608" s="3"/>
      <c r="HY608" s="3"/>
      <c r="HZ608" s="3"/>
      <c r="IA608" s="3"/>
      <c r="IB608" s="3"/>
      <c r="IC608" s="3"/>
      <c r="ID608" s="3"/>
      <c r="IE608" s="3"/>
      <c r="IF608" s="3"/>
      <c r="IG608" s="3"/>
      <c r="IH608" s="3"/>
      <c r="II608" s="3"/>
      <c r="IJ608" s="3"/>
      <c r="IK608" s="3"/>
      <c r="IL608" s="3"/>
      <c r="IM608" s="3"/>
      <c r="IN608" s="3"/>
      <c r="IO608" s="3"/>
      <c r="IP608" s="3"/>
      <c r="IQ608" s="3"/>
      <c r="IR608" s="3"/>
      <c r="IS608" s="3"/>
      <c r="IT608" s="3"/>
      <c r="IU608" s="3"/>
      <c r="IV608" s="3"/>
      <c r="IW608" s="3"/>
      <c r="IX608" s="3"/>
      <c r="IY608" s="3"/>
      <c r="IZ608" s="3"/>
      <c r="JA608" s="3"/>
      <c r="JB608" s="3"/>
      <c r="JC608" s="3"/>
      <c r="JD608" s="3"/>
      <c r="JE608" s="3"/>
      <c r="JF608" s="3"/>
      <c r="JG608" s="3"/>
      <c r="JH608" s="3"/>
      <c r="JI608" s="3"/>
      <c r="JJ608" s="3"/>
      <c r="JK608" s="3"/>
      <c r="JL608" s="3"/>
      <c r="JM608" s="3"/>
      <c r="JN608" s="3"/>
      <c r="JO608" s="3"/>
      <c r="JP608" s="3"/>
      <c r="JQ608" s="3"/>
      <c r="JR608" s="3"/>
      <c r="JS608" s="3"/>
      <c r="JT608" s="3"/>
      <c r="JU608" s="3"/>
      <c r="JV608" s="3"/>
      <c r="JW608" s="3"/>
      <c r="JX608" s="3"/>
      <c r="JY608" s="3"/>
      <c r="JZ608" s="3"/>
      <c r="KA608" s="3"/>
      <c r="KB608" s="3"/>
      <c r="KC608" s="3"/>
      <c r="KD608" s="3"/>
      <c r="KE608" s="3"/>
      <c r="KF608" s="3"/>
      <c r="KG608" s="3"/>
      <c r="KH608" s="3"/>
      <c r="KI608" s="3"/>
      <c r="KJ608" s="3"/>
      <c r="KK608" s="3"/>
      <c r="KL608" s="3"/>
      <c r="KM608" s="3"/>
      <c r="KN608" s="3"/>
      <c r="KO608" s="3"/>
      <c r="KP608" s="3"/>
      <c r="KQ608" s="3"/>
      <c r="KR608" s="3"/>
      <c r="KS608" s="3"/>
      <c r="KT608" s="3"/>
      <c r="KU608" s="3"/>
      <c r="KV608" s="3"/>
      <c r="KW608" s="3"/>
      <c r="KX608" s="3"/>
      <c r="KY608" s="3"/>
      <c r="KZ608" s="3"/>
      <c r="LA608" s="3"/>
      <c r="LB608" s="3"/>
      <c r="LC608" s="3"/>
      <c r="LD608" s="3"/>
      <c r="LE608" s="3"/>
      <c r="LF608" s="3"/>
      <c r="LG608" s="3"/>
      <c r="LH608" s="3"/>
      <c r="LI608" s="3"/>
      <c r="LJ608" s="3"/>
      <c r="LK608" s="3"/>
      <c r="LL608" s="3"/>
      <c r="LM608" s="3"/>
      <c r="LN608" s="3"/>
      <c r="LO608" s="3"/>
      <c r="LP608" s="3"/>
      <c r="LQ608" s="3"/>
      <c r="LR608" s="3"/>
      <c r="LS608" s="3"/>
      <c r="LT608" s="3"/>
      <c r="LU608" s="3"/>
      <c r="LV608" s="3"/>
      <c r="LW608" s="3"/>
      <c r="LX608" s="3"/>
      <c r="LY608" s="3"/>
      <c r="LZ608" s="3"/>
      <c r="MA608" s="3"/>
      <c r="MB608" s="3"/>
      <c r="MC608" s="3"/>
      <c r="MD608" s="3"/>
      <c r="ME608" s="3"/>
      <c r="MF608" s="3"/>
      <c r="MG608" s="3"/>
      <c r="MH608" s="3"/>
      <c r="MI608" s="3"/>
    </row>
    <row r="609" spans="1:347"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c r="HX609" s="3"/>
      <c r="HY609" s="3"/>
      <c r="HZ609" s="3"/>
      <c r="IA609" s="3"/>
      <c r="IB609" s="3"/>
      <c r="IC609" s="3"/>
      <c r="ID609" s="3"/>
      <c r="IE609" s="3"/>
      <c r="IF609" s="3"/>
      <c r="IG609" s="3"/>
      <c r="IH609" s="3"/>
      <c r="II609" s="3"/>
      <c r="IJ609" s="3"/>
      <c r="IK609" s="3"/>
      <c r="IL609" s="3"/>
      <c r="IM609" s="3"/>
      <c r="IN609" s="3"/>
      <c r="IO609" s="3"/>
      <c r="IP609" s="3"/>
      <c r="IQ609" s="3"/>
      <c r="IR609" s="3"/>
      <c r="IS609" s="3"/>
      <c r="IT609" s="3"/>
      <c r="IU609" s="3"/>
      <c r="IV609" s="3"/>
      <c r="IW609" s="3"/>
      <c r="IX609" s="3"/>
      <c r="IY609" s="3"/>
      <c r="IZ609" s="3"/>
      <c r="JA609" s="3"/>
      <c r="JB609" s="3"/>
      <c r="JC609" s="3"/>
      <c r="JD609" s="3"/>
      <c r="JE609" s="3"/>
      <c r="JF609" s="3"/>
      <c r="JG609" s="3"/>
      <c r="JH609" s="3"/>
      <c r="JI609" s="3"/>
      <c r="JJ609" s="3"/>
      <c r="JK609" s="3"/>
      <c r="JL609" s="3"/>
      <c r="JM609" s="3"/>
      <c r="JN609" s="3"/>
      <c r="JO609" s="3"/>
      <c r="JP609" s="3"/>
      <c r="JQ609" s="3"/>
      <c r="JR609" s="3"/>
      <c r="JS609" s="3"/>
      <c r="JT609" s="3"/>
      <c r="JU609" s="3"/>
      <c r="JV609" s="3"/>
      <c r="JW609" s="3"/>
      <c r="JX609" s="3"/>
      <c r="JY609" s="3"/>
      <c r="JZ609" s="3"/>
      <c r="KA609" s="3"/>
      <c r="KB609" s="3"/>
      <c r="KC609" s="3"/>
      <c r="KD609" s="3"/>
      <c r="KE609" s="3"/>
      <c r="KF609" s="3"/>
      <c r="KG609" s="3"/>
      <c r="KH609" s="3"/>
      <c r="KI609" s="3"/>
      <c r="KJ609" s="3"/>
      <c r="KK609" s="3"/>
      <c r="KL609" s="3"/>
      <c r="KM609" s="3"/>
      <c r="KN609" s="3"/>
      <c r="KO609" s="3"/>
      <c r="KP609" s="3"/>
      <c r="KQ609" s="3"/>
      <c r="KR609" s="3"/>
      <c r="KS609" s="3"/>
      <c r="KT609" s="3"/>
      <c r="KU609" s="3"/>
      <c r="KV609" s="3"/>
      <c r="KW609" s="3"/>
      <c r="KX609" s="3"/>
      <c r="KY609" s="3"/>
      <c r="KZ609" s="3"/>
      <c r="LA609" s="3"/>
      <c r="LB609" s="3"/>
      <c r="LC609" s="3"/>
      <c r="LD609" s="3"/>
      <c r="LE609" s="3"/>
      <c r="LF609" s="3"/>
      <c r="LG609" s="3"/>
      <c r="LH609" s="3"/>
      <c r="LI609" s="3"/>
      <c r="LJ609" s="3"/>
      <c r="LK609" s="3"/>
      <c r="LL609" s="3"/>
      <c r="LM609" s="3"/>
      <c r="LN609" s="3"/>
      <c r="LO609" s="3"/>
      <c r="LP609" s="3"/>
      <c r="LQ609" s="3"/>
      <c r="LR609" s="3"/>
      <c r="LS609" s="3"/>
      <c r="LT609" s="3"/>
      <c r="LU609" s="3"/>
      <c r="LV609" s="3"/>
      <c r="LW609" s="3"/>
      <c r="LX609" s="3"/>
      <c r="LY609" s="3"/>
      <c r="LZ609" s="3"/>
      <c r="MA609" s="3"/>
      <c r="MB609" s="3"/>
      <c r="MC609" s="3"/>
      <c r="MD609" s="3"/>
      <c r="ME609" s="3"/>
      <c r="MF609" s="3"/>
      <c r="MG609" s="3"/>
      <c r="MH609" s="3"/>
      <c r="MI609" s="3"/>
    </row>
    <row r="610" spans="1:347"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c r="HX610" s="3"/>
      <c r="HY610" s="3"/>
      <c r="HZ610" s="3"/>
      <c r="IA610" s="3"/>
      <c r="IB610" s="3"/>
      <c r="IC610" s="3"/>
      <c r="ID610" s="3"/>
      <c r="IE610" s="3"/>
      <c r="IF610" s="3"/>
      <c r="IG610" s="3"/>
      <c r="IH610" s="3"/>
      <c r="II610" s="3"/>
      <c r="IJ610" s="3"/>
      <c r="IK610" s="3"/>
      <c r="IL610" s="3"/>
      <c r="IM610" s="3"/>
      <c r="IN610" s="3"/>
      <c r="IO610" s="3"/>
      <c r="IP610" s="3"/>
      <c r="IQ610" s="3"/>
      <c r="IR610" s="3"/>
      <c r="IS610" s="3"/>
      <c r="IT610" s="3"/>
      <c r="IU610" s="3"/>
      <c r="IV610" s="3"/>
      <c r="IW610" s="3"/>
      <c r="IX610" s="3"/>
      <c r="IY610" s="3"/>
      <c r="IZ610" s="3"/>
      <c r="JA610" s="3"/>
      <c r="JB610" s="3"/>
      <c r="JC610" s="3"/>
      <c r="JD610" s="3"/>
      <c r="JE610" s="3"/>
      <c r="JF610" s="3"/>
      <c r="JG610" s="3"/>
      <c r="JH610" s="3"/>
      <c r="JI610" s="3"/>
      <c r="JJ610" s="3"/>
      <c r="JK610" s="3"/>
      <c r="JL610" s="3"/>
      <c r="JM610" s="3"/>
      <c r="JN610" s="3"/>
      <c r="JO610" s="3"/>
      <c r="JP610" s="3"/>
      <c r="JQ610" s="3"/>
      <c r="JR610" s="3"/>
      <c r="JS610" s="3"/>
      <c r="JT610" s="3"/>
      <c r="JU610" s="3"/>
      <c r="JV610" s="3"/>
      <c r="JW610" s="3"/>
      <c r="JX610" s="3"/>
      <c r="JY610" s="3"/>
      <c r="JZ610" s="3"/>
      <c r="KA610" s="3"/>
      <c r="KB610" s="3"/>
      <c r="KC610" s="3"/>
      <c r="KD610" s="3"/>
      <c r="KE610" s="3"/>
      <c r="KF610" s="3"/>
      <c r="KG610" s="3"/>
      <c r="KH610" s="3"/>
      <c r="KI610" s="3"/>
      <c r="KJ610" s="3"/>
      <c r="KK610" s="3"/>
      <c r="KL610" s="3"/>
      <c r="KM610" s="3"/>
      <c r="KN610" s="3"/>
      <c r="KO610" s="3"/>
      <c r="KP610" s="3"/>
      <c r="KQ610" s="3"/>
      <c r="KR610" s="3"/>
      <c r="KS610" s="3"/>
      <c r="KT610" s="3"/>
      <c r="KU610" s="3"/>
      <c r="KV610" s="3"/>
      <c r="KW610" s="3"/>
      <c r="KX610" s="3"/>
      <c r="KY610" s="3"/>
      <c r="KZ610" s="3"/>
      <c r="LA610" s="3"/>
      <c r="LB610" s="3"/>
      <c r="LC610" s="3"/>
      <c r="LD610" s="3"/>
      <c r="LE610" s="3"/>
      <c r="LF610" s="3"/>
      <c r="LG610" s="3"/>
      <c r="LH610" s="3"/>
      <c r="LI610" s="3"/>
      <c r="LJ610" s="3"/>
      <c r="LK610" s="3"/>
      <c r="LL610" s="3"/>
      <c r="LM610" s="3"/>
      <c r="LN610" s="3"/>
      <c r="LO610" s="3"/>
      <c r="LP610" s="3"/>
      <c r="LQ610" s="3"/>
      <c r="LR610" s="3"/>
      <c r="LS610" s="3"/>
      <c r="LT610" s="3"/>
      <c r="LU610" s="3"/>
      <c r="LV610" s="3"/>
      <c r="LW610" s="3"/>
      <c r="LX610" s="3"/>
      <c r="LY610" s="3"/>
      <c r="LZ610" s="3"/>
      <c r="MA610" s="3"/>
      <c r="MB610" s="3"/>
      <c r="MC610" s="3"/>
      <c r="MD610" s="3"/>
      <c r="ME610" s="3"/>
      <c r="MF610" s="3"/>
      <c r="MG610" s="3"/>
      <c r="MH610" s="3"/>
      <c r="MI610" s="3"/>
    </row>
    <row r="611" spans="1:347"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c r="HX611" s="3"/>
      <c r="HY611" s="3"/>
      <c r="HZ611" s="3"/>
      <c r="IA611" s="3"/>
      <c r="IB611" s="3"/>
      <c r="IC611" s="3"/>
      <c r="ID611" s="3"/>
      <c r="IE611" s="3"/>
      <c r="IF611" s="3"/>
      <c r="IG611" s="3"/>
      <c r="IH611" s="3"/>
      <c r="II611" s="3"/>
      <c r="IJ611" s="3"/>
      <c r="IK611" s="3"/>
      <c r="IL611" s="3"/>
      <c r="IM611" s="3"/>
      <c r="IN611" s="3"/>
      <c r="IO611" s="3"/>
      <c r="IP611" s="3"/>
      <c r="IQ611" s="3"/>
      <c r="IR611" s="3"/>
      <c r="IS611" s="3"/>
      <c r="IT611" s="3"/>
      <c r="IU611" s="3"/>
      <c r="IV611" s="3"/>
      <c r="IW611" s="3"/>
      <c r="IX611" s="3"/>
      <c r="IY611" s="3"/>
      <c r="IZ611" s="3"/>
      <c r="JA611" s="3"/>
      <c r="JB611" s="3"/>
      <c r="JC611" s="3"/>
      <c r="JD611" s="3"/>
      <c r="JE611" s="3"/>
      <c r="JF611" s="3"/>
      <c r="JG611" s="3"/>
      <c r="JH611" s="3"/>
      <c r="JI611" s="3"/>
      <c r="JJ611" s="3"/>
      <c r="JK611" s="3"/>
      <c r="JL611" s="3"/>
      <c r="JM611" s="3"/>
      <c r="JN611" s="3"/>
      <c r="JO611" s="3"/>
      <c r="JP611" s="3"/>
      <c r="JQ611" s="3"/>
      <c r="JR611" s="3"/>
      <c r="JS611" s="3"/>
      <c r="JT611" s="3"/>
      <c r="JU611" s="3"/>
      <c r="JV611" s="3"/>
      <c r="JW611" s="3"/>
      <c r="JX611" s="3"/>
      <c r="JY611" s="3"/>
      <c r="JZ611" s="3"/>
      <c r="KA611" s="3"/>
      <c r="KB611" s="3"/>
      <c r="KC611" s="3"/>
      <c r="KD611" s="3"/>
      <c r="KE611" s="3"/>
      <c r="KF611" s="3"/>
      <c r="KG611" s="3"/>
      <c r="KH611" s="3"/>
      <c r="KI611" s="3"/>
      <c r="KJ611" s="3"/>
      <c r="KK611" s="3"/>
      <c r="KL611" s="3"/>
      <c r="KM611" s="3"/>
      <c r="KN611" s="3"/>
      <c r="KO611" s="3"/>
      <c r="KP611" s="3"/>
      <c r="KQ611" s="3"/>
      <c r="KR611" s="3"/>
      <c r="KS611" s="3"/>
      <c r="KT611" s="3"/>
      <c r="KU611" s="3"/>
      <c r="KV611" s="3"/>
      <c r="KW611" s="3"/>
      <c r="KX611" s="3"/>
      <c r="KY611" s="3"/>
      <c r="KZ611" s="3"/>
      <c r="LA611" s="3"/>
      <c r="LB611" s="3"/>
      <c r="LC611" s="3"/>
      <c r="LD611" s="3"/>
      <c r="LE611" s="3"/>
      <c r="LF611" s="3"/>
      <c r="LG611" s="3"/>
      <c r="LH611" s="3"/>
      <c r="LI611" s="3"/>
      <c r="LJ611" s="3"/>
      <c r="LK611" s="3"/>
      <c r="LL611" s="3"/>
      <c r="LM611" s="3"/>
      <c r="LN611" s="3"/>
      <c r="LO611" s="3"/>
      <c r="LP611" s="3"/>
      <c r="LQ611" s="3"/>
      <c r="LR611" s="3"/>
      <c r="LS611" s="3"/>
      <c r="LT611" s="3"/>
      <c r="LU611" s="3"/>
      <c r="LV611" s="3"/>
      <c r="LW611" s="3"/>
      <c r="LX611" s="3"/>
      <c r="LY611" s="3"/>
      <c r="LZ611" s="3"/>
      <c r="MA611" s="3"/>
      <c r="MB611" s="3"/>
      <c r="MC611" s="3"/>
      <c r="MD611" s="3"/>
      <c r="ME611" s="3"/>
      <c r="MF611" s="3"/>
      <c r="MG611" s="3"/>
      <c r="MH611" s="3"/>
      <c r="MI611" s="3"/>
    </row>
    <row r="612" spans="1:347"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c r="HX612" s="3"/>
      <c r="HY612" s="3"/>
      <c r="HZ612" s="3"/>
      <c r="IA612" s="3"/>
      <c r="IB612" s="3"/>
      <c r="IC612" s="3"/>
      <c r="ID612" s="3"/>
      <c r="IE612" s="3"/>
      <c r="IF612" s="3"/>
      <c r="IG612" s="3"/>
      <c r="IH612" s="3"/>
      <c r="II612" s="3"/>
      <c r="IJ612" s="3"/>
      <c r="IK612" s="3"/>
      <c r="IL612" s="3"/>
      <c r="IM612" s="3"/>
      <c r="IN612" s="3"/>
      <c r="IO612" s="3"/>
      <c r="IP612" s="3"/>
      <c r="IQ612" s="3"/>
      <c r="IR612" s="3"/>
      <c r="IS612" s="3"/>
      <c r="IT612" s="3"/>
      <c r="IU612" s="3"/>
      <c r="IV612" s="3"/>
      <c r="IW612" s="3"/>
      <c r="IX612" s="3"/>
      <c r="IY612" s="3"/>
      <c r="IZ612" s="3"/>
      <c r="JA612" s="3"/>
      <c r="JB612" s="3"/>
      <c r="JC612" s="3"/>
      <c r="JD612" s="3"/>
      <c r="JE612" s="3"/>
      <c r="JF612" s="3"/>
      <c r="JG612" s="3"/>
      <c r="JH612" s="3"/>
      <c r="JI612" s="3"/>
      <c r="JJ612" s="3"/>
      <c r="JK612" s="3"/>
      <c r="JL612" s="3"/>
      <c r="JM612" s="3"/>
      <c r="JN612" s="3"/>
      <c r="JO612" s="3"/>
      <c r="JP612" s="3"/>
      <c r="JQ612" s="3"/>
      <c r="JR612" s="3"/>
      <c r="JS612" s="3"/>
      <c r="JT612" s="3"/>
      <c r="JU612" s="3"/>
      <c r="JV612" s="3"/>
      <c r="JW612" s="3"/>
      <c r="JX612" s="3"/>
      <c r="JY612" s="3"/>
      <c r="JZ612" s="3"/>
      <c r="KA612" s="3"/>
      <c r="KB612" s="3"/>
      <c r="KC612" s="3"/>
      <c r="KD612" s="3"/>
      <c r="KE612" s="3"/>
      <c r="KF612" s="3"/>
      <c r="KG612" s="3"/>
      <c r="KH612" s="3"/>
      <c r="KI612" s="3"/>
      <c r="KJ612" s="3"/>
      <c r="KK612" s="3"/>
      <c r="KL612" s="3"/>
      <c r="KM612" s="3"/>
      <c r="KN612" s="3"/>
      <c r="KO612" s="3"/>
      <c r="KP612" s="3"/>
      <c r="KQ612" s="3"/>
      <c r="KR612" s="3"/>
      <c r="KS612" s="3"/>
      <c r="KT612" s="3"/>
      <c r="KU612" s="3"/>
      <c r="KV612" s="3"/>
      <c r="KW612" s="3"/>
      <c r="KX612" s="3"/>
      <c r="KY612" s="3"/>
      <c r="KZ612" s="3"/>
      <c r="LA612" s="3"/>
      <c r="LB612" s="3"/>
      <c r="LC612" s="3"/>
      <c r="LD612" s="3"/>
      <c r="LE612" s="3"/>
      <c r="LF612" s="3"/>
      <c r="LG612" s="3"/>
      <c r="LH612" s="3"/>
      <c r="LI612" s="3"/>
      <c r="LJ612" s="3"/>
      <c r="LK612" s="3"/>
      <c r="LL612" s="3"/>
      <c r="LM612" s="3"/>
      <c r="LN612" s="3"/>
      <c r="LO612" s="3"/>
      <c r="LP612" s="3"/>
      <c r="LQ612" s="3"/>
      <c r="LR612" s="3"/>
      <c r="LS612" s="3"/>
      <c r="LT612" s="3"/>
      <c r="LU612" s="3"/>
      <c r="LV612" s="3"/>
      <c r="LW612" s="3"/>
      <c r="LX612" s="3"/>
      <c r="LY612" s="3"/>
      <c r="LZ612" s="3"/>
      <c r="MA612" s="3"/>
      <c r="MB612" s="3"/>
      <c r="MC612" s="3"/>
      <c r="MD612" s="3"/>
      <c r="ME612" s="3"/>
      <c r="MF612" s="3"/>
      <c r="MG612" s="3"/>
      <c r="MH612" s="3"/>
      <c r="MI612" s="3"/>
    </row>
    <row r="613" spans="1:347"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c r="HX613" s="3"/>
      <c r="HY613" s="3"/>
      <c r="HZ613" s="3"/>
      <c r="IA613" s="3"/>
      <c r="IB613" s="3"/>
      <c r="IC613" s="3"/>
      <c r="ID613" s="3"/>
      <c r="IE613" s="3"/>
      <c r="IF613" s="3"/>
      <c r="IG613" s="3"/>
      <c r="IH613" s="3"/>
      <c r="II613" s="3"/>
      <c r="IJ613" s="3"/>
      <c r="IK613" s="3"/>
      <c r="IL613" s="3"/>
      <c r="IM613" s="3"/>
      <c r="IN613" s="3"/>
      <c r="IO613" s="3"/>
      <c r="IP613" s="3"/>
      <c r="IQ613" s="3"/>
      <c r="IR613" s="3"/>
      <c r="IS613" s="3"/>
      <c r="IT613" s="3"/>
      <c r="IU613" s="3"/>
      <c r="IV613" s="3"/>
      <c r="IW613" s="3"/>
      <c r="IX613" s="3"/>
      <c r="IY613" s="3"/>
      <c r="IZ613" s="3"/>
      <c r="JA613" s="3"/>
      <c r="JB613" s="3"/>
      <c r="JC613" s="3"/>
      <c r="JD613" s="3"/>
      <c r="JE613" s="3"/>
      <c r="JF613" s="3"/>
      <c r="JG613" s="3"/>
      <c r="JH613" s="3"/>
      <c r="JI613" s="3"/>
      <c r="JJ613" s="3"/>
      <c r="JK613" s="3"/>
      <c r="JL613" s="3"/>
      <c r="JM613" s="3"/>
      <c r="JN613" s="3"/>
      <c r="JO613" s="3"/>
      <c r="JP613" s="3"/>
      <c r="JQ613" s="3"/>
      <c r="JR613" s="3"/>
      <c r="JS613" s="3"/>
      <c r="JT613" s="3"/>
      <c r="JU613" s="3"/>
      <c r="JV613" s="3"/>
      <c r="JW613" s="3"/>
      <c r="JX613" s="3"/>
      <c r="JY613" s="3"/>
      <c r="JZ613" s="3"/>
      <c r="KA613" s="3"/>
      <c r="KB613" s="3"/>
      <c r="KC613" s="3"/>
      <c r="KD613" s="3"/>
      <c r="KE613" s="3"/>
      <c r="KF613" s="3"/>
      <c r="KG613" s="3"/>
      <c r="KH613" s="3"/>
      <c r="KI613" s="3"/>
      <c r="KJ613" s="3"/>
      <c r="KK613" s="3"/>
      <c r="KL613" s="3"/>
      <c r="KM613" s="3"/>
      <c r="KN613" s="3"/>
      <c r="KO613" s="3"/>
      <c r="KP613" s="3"/>
      <c r="KQ613" s="3"/>
      <c r="KR613" s="3"/>
      <c r="KS613" s="3"/>
      <c r="KT613" s="3"/>
      <c r="KU613" s="3"/>
      <c r="KV613" s="3"/>
      <c r="KW613" s="3"/>
      <c r="KX613" s="3"/>
      <c r="KY613" s="3"/>
      <c r="KZ613" s="3"/>
      <c r="LA613" s="3"/>
      <c r="LB613" s="3"/>
      <c r="LC613" s="3"/>
      <c r="LD613" s="3"/>
      <c r="LE613" s="3"/>
      <c r="LF613" s="3"/>
      <c r="LG613" s="3"/>
      <c r="LH613" s="3"/>
      <c r="LI613" s="3"/>
      <c r="LJ613" s="3"/>
      <c r="LK613" s="3"/>
      <c r="LL613" s="3"/>
      <c r="LM613" s="3"/>
      <c r="LN613" s="3"/>
      <c r="LO613" s="3"/>
      <c r="LP613" s="3"/>
      <c r="LQ613" s="3"/>
      <c r="LR613" s="3"/>
      <c r="LS613" s="3"/>
      <c r="LT613" s="3"/>
      <c r="LU613" s="3"/>
      <c r="LV613" s="3"/>
      <c r="LW613" s="3"/>
      <c r="LX613" s="3"/>
      <c r="LY613" s="3"/>
      <c r="LZ613" s="3"/>
      <c r="MA613" s="3"/>
      <c r="MB613" s="3"/>
      <c r="MC613" s="3"/>
      <c r="MD613" s="3"/>
      <c r="ME613" s="3"/>
      <c r="MF613" s="3"/>
      <c r="MG613" s="3"/>
      <c r="MH613" s="3"/>
      <c r="MI613" s="3"/>
    </row>
    <row r="614" spans="1:347"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c r="HX614" s="3"/>
      <c r="HY614" s="3"/>
      <c r="HZ614" s="3"/>
      <c r="IA614" s="3"/>
      <c r="IB614" s="3"/>
      <c r="IC614" s="3"/>
      <c r="ID614" s="3"/>
      <c r="IE614" s="3"/>
      <c r="IF614" s="3"/>
      <c r="IG614" s="3"/>
      <c r="IH614" s="3"/>
      <c r="II614" s="3"/>
      <c r="IJ614" s="3"/>
      <c r="IK614" s="3"/>
      <c r="IL614" s="3"/>
      <c r="IM614" s="3"/>
      <c r="IN614" s="3"/>
      <c r="IO614" s="3"/>
      <c r="IP614" s="3"/>
      <c r="IQ614" s="3"/>
      <c r="IR614" s="3"/>
      <c r="IS614" s="3"/>
      <c r="IT614" s="3"/>
      <c r="IU614" s="3"/>
      <c r="IV614" s="3"/>
      <c r="IW614" s="3"/>
      <c r="IX614" s="3"/>
      <c r="IY614" s="3"/>
      <c r="IZ614" s="3"/>
      <c r="JA614" s="3"/>
      <c r="JB614" s="3"/>
      <c r="JC614" s="3"/>
      <c r="JD614" s="3"/>
      <c r="JE614" s="3"/>
      <c r="JF614" s="3"/>
      <c r="JG614" s="3"/>
      <c r="JH614" s="3"/>
      <c r="JI614" s="3"/>
      <c r="JJ614" s="3"/>
      <c r="JK614" s="3"/>
      <c r="JL614" s="3"/>
      <c r="JM614" s="3"/>
      <c r="JN614" s="3"/>
      <c r="JO614" s="3"/>
      <c r="JP614" s="3"/>
      <c r="JQ614" s="3"/>
      <c r="JR614" s="3"/>
      <c r="JS614" s="3"/>
      <c r="JT614" s="3"/>
      <c r="JU614" s="3"/>
      <c r="JV614" s="3"/>
      <c r="JW614" s="3"/>
      <c r="JX614" s="3"/>
      <c r="JY614" s="3"/>
      <c r="JZ614" s="3"/>
      <c r="KA614" s="3"/>
      <c r="KB614" s="3"/>
      <c r="KC614" s="3"/>
      <c r="KD614" s="3"/>
      <c r="KE614" s="3"/>
      <c r="KF614" s="3"/>
      <c r="KG614" s="3"/>
      <c r="KH614" s="3"/>
      <c r="KI614" s="3"/>
      <c r="KJ614" s="3"/>
      <c r="KK614" s="3"/>
      <c r="KL614" s="3"/>
      <c r="KM614" s="3"/>
      <c r="KN614" s="3"/>
      <c r="KO614" s="3"/>
      <c r="KP614" s="3"/>
      <c r="KQ614" s="3"/>
      <c r="KR614" s="3"/>
      <c r="KS614" s="3"/>
      <c r="KT614" s="3"/>
      <c r="KU614" s="3"/>
      <c r="KV614" s="3"/>
      <c r="KW614" s="3"/>
      <c r="KX614" s="3"/>
      <c r="KY614" s="3"/>
      <c r="KZ614" s="3"/>
      <c r="LA614" s="3"/>
      <c r="LB614" s="3"/>
      <c r="LC614" s="3"/>
      <c r="LD614" s="3"/>
      <c r="LE614" s="3"/>
      <c r="LF614" s="3"/>
      <c r="LG614" s="3"/>
      <c r="LH614" s="3"/>
      <c r="LI614" s="3"/>
      <c r="LJ614" s="3"/>
      <c r="LK614" s="3"/>
      <c r="LL614" s="3"/>
      <c r="LM614" s="3"/>
      <c r="LN614" s="3"/>
      <c r="LO614" s="3"/>
      <c r="LP614" s="3"/>
      <c r="LQ614" s="3"/>
      <c r="LR614" s="3"/>
      <c r="LS614" s="3"/>
      <c r="LT614" s="3"/>
      <c r="LU614" s="3"/>
      <c r="LV614" s="3"/>
      <c r="LW614" s="3"/>
      <c r="LX614" s="3"/>
      <c r="LY614" s="3"/>
      <c r="LZ614" s="3"/>
      <c r="MA614" s="3"/>
      <c r="MB614" s="3"/>
      <c r="MC614" s="3"/>
      <c r="MD614" s="3"/>
      <c r="ME614" s="3"/>
      <c r="MF614" s="3"/>
      <c r="MG614" s="3"/>
      <c r="MH614" s="3"/>
      <c r="MI614" s="3"/>
    </row>
    <row r="615" spans="1:347"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c r="HX615" s="3"/>
      <c r="HY615" s="3"/>
      <c r="HZ615" s="3"/>
      <c r="IA615" s="3"/>
      <c r="IB615" s="3"/>
      <c r="IC615" s="3"/>
      <c r="ID615" s="3"/>
      <c r="IE615" s="3"/>
      <c r="IF615" s="3"/>
      <c r="IG615" s="3"/>
      <c r="IH615" s="3"/>
      <c r="II615" s="3"/>
      <c r="IJ615" s="3"/>
      <c r="IK615" s="3"/>
      <c r="IL615" s="3"/>
      <c r="IM615" s="3"/>
      <c r="IN615" s="3"/>
      <c r="IO615" s="3"/>
      <c r="IP615" s="3"/>
      <c r="IQ615" s="3"/>
      <c r="IR615" s="3"/>
      <c r="IS615" s="3"/>
      <c r="IT615" s="3"/>
      <c r="IU615" s="3"/>
      <c r="IV615" s="3"/>
      <c r="IW615" s="3"/>
      <c r="IX615" s="3"/>
      <c r="IY615" s="3"/>
      <c r="IZ615" s="3"/>
      <c r="JA615" s="3"/>
      <c r="JB615" s="3"/>
      <c r="JC615" s="3"/>
      <c r="JD615" s="3"/>
      <c r="JE615" s="3"/>
      <c r="JF615" s="3"/>
      <c r="JG615" s="3"/>
      <c r="JH615" s="3"/>
      <c r="JI615" s="3"/>
      <c r="JJ615" s="3"/>
      <c r="JK615" s="3"/>
      <c r="JL615" s="3"/>
      <c r="JM615" s="3"/>
      <c r="JN615" s="3"/>
      <c r="JO615" s="3"/>
      <c r="JP615" s="3"/>
      <c r="JQ615" s="3"/>
      <c r="JR615" s="3"/>
      <c r="JS615" s="3"/>
      <c r="JT615" s="3"/>
      <c r="JU615" s="3"/>
      <c r="JV615" s="3"/>
      <c r="JW615" s="3"/>
      <c r="JX615" s="3"/>
      <c r="JY615" s="3"/>
      <c r="JZ615" s="3"/>
      <c r="KA615" s="3"/>
      <c r="KB615" s="3"/>
      <c r="KC615" s="3"/>
      <c r="KD615" s="3"/>
      <c r="KE615" s="3"/>
      <c r="KF615" s="3"/>
      <c r="KG615" s="3"/>
      <c r="KH615" s="3"/>
      <c r="KI615" s="3"/>
      <c r="KJ615" s="3"/>
      <c r="KK615" s="3"/>
      <c r="KL615" s="3"/>
      <c r="KM615" s="3"/>
      <c r="KN615" s="3"/>
      <c r="KO615" s="3"/>
      <c r="KP615" s="3"/>
      <c r="KQ615" s="3"/>
      <c r="KR615" s="3"/>
      <c r="KS615" s="3"/>
      <c r="KT615" s="3"/>
      <c r="KU615" s="3"/>
      <c r="KV615" s="3"/>
      <c r="KW615" s="3"/>
      <c r="KX615" s="3"/>
      <c r="KY615" s="3"/>
      <c r="KZ615" s="3"/>
      <c r="LA615" s="3"/>
      <c r="LB615" s="3"/>
      <c r="LC615" s="3"/>
      <c r="LD615" s="3"/>
      <c r="LE615" s="3"/>
      <c r="LF615" s="3"/>
      <c r="LG615" s="3"/>
      <c r="LH615" s="3"/>
      <c r="LI615" s="3"/>
      <c r="LJ615" s="3"/>
      <c r="LK615" s="3"/>
      <c r="LL615" s="3"/>
      <c r="LM615" s="3"/>
      <c r="LN615" s="3"/>
      <c r="LO615" s="3"/>
      <c r="LP615" s="3"/>
      <c r="LQ615" s="3"/>
      <c r="LR615" s="3"/>
      <c r="LS615" s="3"/>
      <c r="LT615" s="3"/>
      <c r="LU615" s="3"/>
      <c r="LV615" s="3"/>
      <c r="LW615" s="3"/>
      <c r="LX615" s="3"/>
      <c r="LY615" s="3"/>
      <c r="LZ615" s="3"/>
      <c r="MA615" s="3"/>
      <c r="MB615" s="3"/>
      <c r="MC615" s="3"/>
      <c r="MD615" s="3"/>
      <c r="ME615" s="3"/>
      <c r="MF615" s="3"/>
      <c r="MG615" s="3"/>
      <c r="MH615" s="3"/>
      <c r="MI615" s="3"/>
    </row>
    <row r="616" spans="1:347"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c r="HX616" s="3"/>
      <c r="HY616" s="3"/>
      <c r="HZ616" s="3"/>
      <c r="IA616" s="3"/>
      <c r="IB616" s="3"/>
      <c r="IC616" s="3"/>
      <c r="ID616" s="3"/>
      <c r="IE616" s="3"/>
      <c r="IF616" s="3"/>
      <c r="IG616" s="3"/>
      <c r="IH616" s="3"/>
      <c r="II616" s="3"/>
      <c r="IJ616" s="3"/>
      <c r="IK616" s="3"/>
      <c r="IL616" s="3"/>
      <c r="IM616" s="3"/>
      <c r="IN616" s="3"/>
      <c r="IO616" s="3"/>
      <c r="IP616" s="3"/>
      <c r="IQ616" s="3"/>
      <c r="IR616" s="3"/>
      <c r="IS616" s="3"/>
      <c r="IT616" s="3"/>
      <c r="IU616" s="3"/>
      <c r="IV616" s="3"/>
      <c r="IW616" s="3"/>
      <c r="IX616" s="3"/>
      <c r="IY616" s="3"/>
      <c r="IZ616" s="3"/>
      <c r="JA616" s="3"/>
      <c r="JB616" s="3"/>
      <c r="JC616" s="3"/>
      <c r="JD616" s="3"/>
      <c r="JE616" s="3"/>
      <c r="JF616" s="3"/>
      <c r="JG616" s="3"/>
      <c r="JH616" s="3"/>
      <c r="JI616" s="3"/>
      <c r="JJ616" s="3"/>
      <c r="JK616" s="3"/>
      <c r="JL616" s="3"/>
      <c r="JM616" s="3"/>
      <c r="JN616" s="3"/>
      <c r="JO616" s="3"/>
      <c r="JP616" s="3"/>
      <c r="JQ616" s="3"/>
      <c r="JR616" s="3"/>
      <c r="JS616" s="3"/>
      <c r="JT616" s="3"/>
      <c r="JU616" s="3"/>
      <c r="JV616" s="3"/>
      <c r="JW616" s="3"/>
      <c r="JX616" s="3"/>
      <c r="JY616" s="3"/>
      <c r="JZ616" s="3"/>
      <c r="KA616" s="3"/>
      <c r="KB616" s="3"/>
      <c r="KC616" s="3"/>
      <c r="KD616" s="3"/>
      <c r="KE616" s="3"/>
      <c r="KF616" s="3"/>
      <c r="KG616" s="3"/>
      <c r="KH616" s="3"/>
      <c r="KI616" s="3"/>
      <c r="KJ616" s="3"/>
      <c r="KK616" s="3"/>
      <c r="KL616" s="3"/>
      <c r="KM616" s="3"/>
      <c r="KN616" s="3"/>
      <c r="KO616" s="3"/>
      <c r="KP616" s="3"/>
      <c r="KQ616" s="3"/>
      <c r="KR616" s="3"/>
      <c r="KS616" s="3"/>
      <c r="KT616" s="3"/>
      <c r="KU616" s="3"/>
      <c r="KV616" s="3"/>
      <c r="KW616" s="3"/>
      <c r="KX616" s="3"/>
      <c r="KY616" s="3"/>
      <c r="KZ616" s="3"/>
      <c r="LA616" s="3"/>
      <c r="LB616" s="3"/>
      <c r="LC616" s="3"/>
      <c r="LD616" s="3"/>
      <c r="LE616" s="3"/>
      <c r="LF616" s="3"/>
      <c r="LG616" s="3"/>
      <c r="LH616" s="3"/>
      <c r="LI616" s="3"/>
      <c r="LJ616" s="3"/>
      <c r="LK616" s="3"/>
      <c r="LL616" s="3"/>
      <c r="LM616" s="3"/>
      <c r="LN616" s="3"/>
      <c r="LO616" s="3"/>
      <c r="LP616" s="3"/>
      <c r="LQ616" s="3"/>
      <c r="LR616" s="3"/>
      <c r="LS616" s="3"/>
      <c r="LT616" s="3"/>
      <c r="LU616" s="3"/>
      <c r="LV616" s="3"/>
      <c r="LW616" s="3"/>
      <c r="LX616" s="3"/>
      <c r="LY616" s="3"/>
      <c r="LZ616" s="3"/>
      <c r="MA616" s="3"/>
      <c r="MB616" s="3"/>
      <c r="MC616" s="3"/>
      <c r="MD616" s="3"/>
      <c r="ME616" s="3"/>
      <c r="MF616" s="3"/>
      <c r="MG616" s="3"/>
      <c r="MH616" s="3"/>
      <c r="MI616" s="3"/>
    </row>
    <row r="617" spans="1:347"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c r="HX617" s="3"/>
      <c r="HY617" s="3"/>
      <c r="HZ617" s="3"/>
      <c r="IA617" s="3"/>
      <c r="IB617" s="3"/>
      <c r="IC617" s="3"/>
      <c r="ID617" s="3"/>
      <c r="IE617" s="3"/>
      <c r="IF617" s="3"/>
      <c r="IG617" s="3"/>
      <c r="IH617" s="3"/>
      <c r="II617" s="3"/>
      <c r="IJ617" s="3"/>
      <c r="IK617" s="3"/>
      <c r="IL617" s="3"/>
      <c r="IM617" s="3"/>
      <c r="IN617" s="3"/>
      <c r="IO617" s="3"/>
      <c r="IP617" s="3"/>
      <c r="IQ617" s="3"/>
      <c r="IR617" s="3"/>
      <c r="IS617" s="3"/>
      <c r="IT617" s="3"/>
      <c r="IU617" s="3"/>
      <c r="IV617" s="3"/>
      <c r="IW617" s="3"/>
      <c r="IX617" s="3"/>
      <c r="IY617" s="3"/>
      <c r="IZ617" s="3"/>
      <c r="JA617" s="3"/>
      <c r="JB617" s="3"/>
      <c r="JC617" s="3"/>
      <c r="JD617" s="3"/>
      <c r="JE617" s="3"/>
      <c r="JF617" s="3"/>
      <c r="JG617" s="3"/>
      <c r="JH617" s="3"/>
      <c r="JI617" s="3"/>
      <c r="JJ617" s="3"/>
      <c r="JK617" s="3"/>
      <c r="JL617" s="3"/>
      <c r="JM617" s="3"/>
      <c r="JN617" s="3"/>
      <c r="JO617" s="3"/>
      <c r="JP617" s="3"/>
      <c r="JQ617" s="3"/>
      <c r="JR617" s="3"/>
      <c r="JS617" s="3"/>
      <c r="JT617" s="3"/>
      <c r="JU617" s="3"/>
      <c r="JV617" s="3"/>
      <c r="JW617" s="3"/>
      <c r="JX617" s="3"/>
      <c r="JY617" s="3"/>
      <c r="JZ617" s="3"/>
      <c r="KA617" s="3"/>
      <c r="KB617" s="3"/>
      <c r="KC617" s="3"/>
      <c r="KD617" s="3"/>
      <c r="KE617" s="3"/>
      <c r="KF617" s="3"/>
      <c r="KG617" s="3"/>
      <c r="KH617" s="3"/>
      <c r="KI617" s="3"/>
      <c r="KJ617" s="3"/>
      <c r="KK617" s="3"/>
      <c r="KL617" s="3"/>
      <c r="KM617" s="3"/>
      <c r="KN617" s="3"/>
      <c r="KO617" s="3"/>
      <c r="KP617" s="3"/>
      <c r="KQ617" s="3"/>
      <c r="KR617" s="3"/>
      <c r="KS617" s="3"/>
      <c r="KT617" s="3"/>
      <c r="KU617" s="3"/>
      <c r="KV617" s="3"/>
      <c r="KW617" s="3"/>
      <c r="KX617" s="3"/>
      <c r="KY617" s="3"/>
      <c r="KZ617" s="3"/>
      <c r="LA617" s="3"/>
      <c r="LB617" s="3"/>
      <c r="LC617" s="3"/>
      <c r="LD617" s="3"/>
      <c r="LE617" s="3"/>
      <c r="LF617" s="3"/>
      <c r="LG617" s="3"/>
      <c r="LH617" s="3"/>
      <c r="LI617" s="3"/>
      <c r="LJ617" s="3"/>
      <c r="LK617" s="3"/>
      <c r="LL617" s="3"/>
      <c r="LM617" s="3"/>
      <c r="LN617" s="3"/>
      <c r="LO617" s="3"/>
      <c r="LP617" s="3"/>
      <c r="LQ617" s="3"/>
      <c r="LR617" s="3"/>
      <c r="LS617" s="3"/>
      <c r="LT617" s="3"/>
      <c r="LU617" s="3"/>
      <c r="LV617" s="3"/>
      <c r="LW617" s="3"/>
      <c r="LX617" s="3"/>
      <c r="LY617" s="3"/>
      <c r="LZ617" s="3"/>
      <c r="MA617" s="3"/>
      <c r="MB617" s="3"/>
      <c r="MC617" s="3"/>
      <c r="MD617" s="3"/>
      <c r="ME617" s="3"/>
      <c r="MF617" s="3"/>
      <c r="MG617" s="3"/>
      <c r="MH617" s="3"/>
      <c r="MI617" s="3"/>
    </row>
    <row r="618" spans="1:347"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c r="HX618" s="3"/>
      <c r="HY618" s="3"/>
      <c r="HZ618" s="3"/>
      <c r="IA618" s="3"/>
      <c r="IB618" s="3"/>
      <c r="IC618" s="3"/>
      <c r="ID618" s="3"/>
      <c r="IE618" s="3"/>
      <c r="IF618" s="3"/>
      <c r="IG618" s="3"/>
      <c r="IH618" s="3"/>
      <c r="II618" s="3"/>
      <c r="IJ618" s="3"/>
      <c r="IK618" s="3"/>
      <c r="IL618" s="3"/>
      <c r="IM618" s="3"/>
      <c r="IN618" s="3"/>
      <c r="IO618" s="3"/>
      <c r="IP618" s="3"/>
      <c r="IQ618" s="3"/>
      <c r="IR618" s="3"/>
      <c r="IS618" s="3"/>
      <c r="IT618" s="3"/>
      <c r="IU618" s="3"/>
      <c r="IV618" s="3"/>
      <c r="IW618" s="3"/>
      <c r="IX618" s="3"/>
      <c r="IY618" s="3"/>
      <c r="IZ618" s="3"/>
      <c r="JA618" s="3"/>
      <c r="JB618" s="3"/>
      <c r="JC618" s="3"/>
      <c r="JD618" s="3"/>
      <c r="JE618" s="3"/>
      <c r="JF618" s="3"/>
      <c r="JG618" s="3"/>
      <c r="JH618" s="3"/>
      <c r="JI618" s="3"/>
      <c r="JJ618" s="3"/>
      <c r="JK618" s="3"/>
      <c r="JL618" s="3"/>
      <c r="JM618" s="3"/>
      <c r="JN618" s="3"/>
      <c r="JO618" s="3"/>
      <c r="JP618" s="3"/>
      <c r="JQ618" s="3"/>
      <c r="JR618" s="3"/>
      <c r="JS618" s="3"/>
      <c r="JT618" s="3"/>
      <c r="JU618" s="3"/>
      <c r="JV618" s="3"/>
      <c r="JW618" s="3"/>
      <c r="JX618" s="3"/>
      <c r="JY618" s="3"/>
      <c r="JZ618" s="3"/>
      <c r="KA618" s="3"/>
      <c r="KB618" s="3"/>
      <c r="KC618" s="3"/>
      <c r="KD618" s="3"/>
      <c r="KE618" s="3"/>
      <c r="KF618" s="3"/>
      <c r="KG618" s="3"/>
      <c r="KH618" s="3"/>
      <c r="KI618" s="3"/>
      <c r="KJ618" s="3"/>
      <c r="KK618" s="3"/>
      <c r="KL618" s="3"/>
      <c r="KM618" s="3"/>
      <c r="KN618" s="3"/>
      <c r="KO618" s="3"/>
      <c r="KP618" s="3"/>
      <c r="KQ618" s="3"/>
      <c r="KR618" s="3"/>
      <c r="KS618" s="3"/>
      <c r="KT618" s="3"/>
      <c r="KU618" s="3"/>
      <c r="KV618" s="3"/>
      <c r="KW618" s="3"/>
      <c r="KX618" s="3"/>
      <c r="KY618" s="3"/>
      <c r="KZ618" s="3"/>
      <c r="LA618" s="3"/>
      <c r="LB618" s="3"/>
      <c r="LC618" s="3"/>
      <c r="LD618" s="3"/>
      <c r="LE618" s="3"/>
      <c r="LF618" s="3"/>
      <c r="LG618" s="3"/>
      <c r="LH618" s="3"/>
      <c r="LI618" s="3"/>
      <c r="LJ618" s="3"/>
      <c r="LK618" s="3"/>
      <c r="LL618" s="3"/>
      <c r="LM618" s="3"/>
      <c r="LN618" s="3"/>
      <c r="LO618" s="3"/>
      <c r="LP618" s="3"/>
      <c r="LQ618" s="3"/>
      <c r="LR618" s="3"/>
      <c r="LS618" s="3"/>
      <c r="LT618" s="3"/>
      <c r="LU618" s="3"/>
      <c r="LV618" s="3"/>
      <c r="LW618" s="3"/>
      <c r="LX618" s="3"/>
      <c r="LY618" s="3"/>
      <c r="LZ618" s="3"/>
      <c r="MA618" s="3"/>
      <c r="MB618" s="3"/>
      <c r="MC618" s="3"/>
      <c r="MD618" s="3"/>
      <c r="ME618" s="3"/>
      <c r="MF618" s="3"/>
      <c r="MG618" s="3"/>
      <c r="MH618" s="3"/>
      <c r="MI618" s="3"/>
    </row>
    <row r="619" spans="1:347"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c r="HX619" s="3"/>
      <c r="HY619" s="3"/>
      <c r="HZ619" s="3"/>
      <c r="IA619" s="3"/>
      <c r="IB619" s="3"/>
      <c r="IC619" s="3"/>
      <c r="ID619" s="3"/>
      <c r="IE619" s="3"/>
      <c r="IF619" s="3"/>
      <c r="IG619" s="3"/>
      <c r="IH619" s="3"/>
      <c r="II619" s="3"/>
      <c r="IJ619" s="3"/>
      <c r="IK619" s="3"/>
      <c r="IL619" s="3"/>
      <c r="IM619" s="3"/>
      <c r="IN619" s="3"/>
      <c r="IO619" s="3"/>
      <c r="IP619" s="3"/>
      <c r="IQ619" s="3"/>
      <c r="IR619" s="3"/>
      <c r="IS619" s="3"/>
      <c r="IT619" s="3"/>
      <c r="IU619" s="3"/>
      <c r="IV619" s="3"/>
      <c r="IW619" s="3"/>
      <c r="IX619" s="3"/>
      <c r="IY619" s="3"/>
      <c r="IZ619" s="3"/>
      <c r="JA619" s="3"/>
      <c r="JB619" s="3"/>
      <c r="JC619" s="3"/>
      <c r="JD619" s="3"/>
      <c r="JE619" s="3"/>
      <c r="JF619" s="3"/>
      <c r="JG619" s="3"/>
      <c r="JH619" s="3"/>
      <c r="JI619" s="3"/>
      <c r="JJ619" s="3"/>
      <c r="JK619" s="3"/>
      <c r="JL619" s="3"/>
      <c r="JM619" s="3"/>
      <c r="JN619" s="3"/>
      <c r="JO619" s="3"/>
      <c r="JP619" s="3"/>
      <c r="JQ619" s="3"/>
      <c r="JR619" s="3"/>
      <c r="JS619" s="3"/>
      <c r="JT619" s="3"/>
      <c r="JU619" s="3"/>
      <c r="JV619" s="3"/>
      <c r="JW619" s="3"/>
      <c r="JX619" s="3"/>
      <c r="JY619" s="3"/>
      <c r="JZ619" s="3"/>
      <c r="KA619" s="3"/>
      <c r="KB619" s="3"/>
      <c r="KC619" s="3"/>
      <c r="KD619" s="3"/>
      <c r="KE619" s="3"/>
      <c r="KF619" s="3"/>
      <c r="KG619" s="3"/>
      <c r="KH619" s="3"/>
      <c r="KI619" s="3"/>
      <c r="KJ619" s="3"/>
      <c r="KK619" s="3"/>
      <c r="KL619" s="3"/>
      <c r="KM619" s="3"/>
      <c r="KN619" s="3"/>
      <c r="KO619" s="3"/>
      <c r="KP619" s="3"/>
      <c r="KQ619" s="3"/>
      <c r="KR619" s="3"/>
      <c r="KS619" s="3"/>
      <c r="KT619" s="3"/>
      <c r="KU619" s="3"/>
      <c r="KV619" s="3"/>
      <c r="KW619" s="3"/>
      <c r="KX619" s="3"/>
      <c r="KY619" s="3"/>
      <c r="KZ619" s="3"/>
      <c r="LA619" s="3"/>
      <c r="LB619" s="3"/>
      <c r="LC619" s="3"/>
      <c r="LD619" s="3"/>
      <c r="LE619" s="3"/>
      <c r="LF619" s="3"/>
      <c r="LG619" s="3"/>
      <c r="LH619" s="3"/>
      <c r="LI619" s="3"/>
      <c r="LJ619" s="3"/>
      <c r="LK619" s="3"/>
      <c r="LL619" s="3"/>
      <c r="LM619" s="3"/>
      <c r="LN619" s="3"/>
      <c r="LO619" s="3"/>
      <c r="LP619" s="3"/>
      <c r="LQ619" s="3"/>
      <c r="LR619" s="3"/>
      <c r="LS619" s="3"/>
      <c r="LT619" s="3"/>
      <c r="LU619" s="3"/>
      <c r="LV619" s="3"/>
      <c r="LW619" s="3"/>
      <c r="LX619" s="3"/>
      <c r="LY619" s="3"/>
      <c r="LZ619" s="3"/>
      <c r="MA619" s="3"/>
      <c r="MB619" s="3"/>
      <c r="MC619" s="3"/>
      <c r="MD619" s="3"/>
      <c r="ME619" s="3"/>
      <c r="MF619" s="3"/>
      <c r="MG619" s="3"/>
      <c r="MH619" s="3"/>
      <c r="MI619" s="3"/>
    </row>
    <row r="620" spans="1:347"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c r="HX620" s="3"/>
      <c r="HY620" s="3"/>
      <c r="HZ620" s="3"/>
      <c r="IA620" s="3"/>
      <c r="IB620" s="3"/>
      <c r="IC620" s="3"/>
      <c r="ID620" s="3"/>
      <c r="IE620" s="3"/>
      <c r="IF620" s="3"/>
      <c r="IG620" s="3"/>
      <c r="IH620" s="3"/>
      <c r="II620" s="3"/>
      <c r="IJ620" s="3"/>
      <c r="IK620" s="3"/>
      <c r="IL620" s="3"/>
      <c r="IM620" s="3"/>
      <c r="IN620" s="3"/>
      <c r="IO620" s="3"/>
      <c r="IP620" s="3"/>
      <c r="IQ620" s="3"/>
      <c r="IR620" s="3"/>
      <c r="IS620" s="3"/>
      <c r="IT620" s="3"/>
      <c r="IU620" s="3"/>
      <c r="IV620" s="3"/>
      <c r="IW620" s="3"/>
      <c r="IX620" s="3"/>
      <c r="IY620" s="3"/>
      <c r="IZ620" s="3"/>
      <c r="JA620" s="3"/>
      <c r="JB620" s="3"/>
      <c r="JC620" s="3"/>
      <c r="JD620" s="3"/>
      <c r="JE620" s="3"/>
      <c r="JF620" s="3"/>
      <c r="JG620" s="3"/>
      <c r="JH620" s="3"/>
      <c r="JI620" s="3"/>
      <c r="JJ620" s="3"/>
      <c r="JK620" s="3"/>
      <c r="JL620" s="3"/>
      <c r="JM620" s="3"/>
      <c r="JN620" s="3"/>
      <c r="JO620" s="3"/>
      <c r="JP620" s="3"/>
      <c r="JQ620" s="3"/>
      <c r="JR620" s="3"/>
      <c r="JS620" s="3"/>
      <c r="JT620" s="3"/>
      <c r="JU620" s="3"/>
      <c r="JV620" s="3"/>
      <c r="JW620" s="3"/>
      <c r="JX620" s="3"/>
      <c r="JY620" s="3"/>
      <c r="JZ620" s="3"/>
      <c r="KA620" s="3"/>
      <c r="KB620" s="3"/>
      <c r="KC620" s="3"/>
      <c r="KD620" s="3"/>
      <c r="KE620" s="3"/>
      <c r="KF620" s="3"/>
      <c r="KG620" s="3"/>
      <c r="KH620" s="3"/>
      <c r="KI620" s="3"/>
      <c r="KJ620" s="3"/>
      <c r="KK620" s="3"/>
      <c r="KL620" s="3"/>
      <c r="KM620" s="3"/>
      <c r="KN620" s="3"/>
      <c r="KO620" s="3"/>
      <c r="KP620" s="3"/>
      <c r="KQ620" s="3"/>
      <c r="KR620" s="3"/>
      <c r="KS620" s="3"/>
      <c r="KT620" s="3"/>
      <c r="KU620" s="3"/>
      <c r="KV620" s="3"/>
      <c r="KW620" s="3"/>
      <c r="KX620" s="3"/>
      <c r="KY620" s="3"/>
      <c r="KZ620" s="3"/>
      <c r="LA620" s="3"/>
      <c r="LB620" s="3"/>
      <c r="LC620" s="3"/>
      <c r="LD620" s="3"/>
      <c r="LE620" s="3"/>
      <c r="LF620" s="3"/>
      <c r="LG620" s="3"/>
      <c r="LH620" s="3"/>
      <c r="LI620" s="3"/>
      <c r="LJ620" s="3"/>
      <c r="LK620" s="3"/>
      <c r="LL620" s="3"/>
      <c r="LM620" s="3"/>
      <c r="LN620" s="3"/>
      <c r="LO620" s="3"/>
      <c r="LP620" s="3"/>
      <c r="LQ620" s="3"/>
      <c r="LR620" s="3"/>
      <c r="LS620" s="3"/>
      <c r="LT620" s="3"/>
      <c r="LU620" s="3"/>
      <c r="LV620" s="3"/>
      <c r="LW620" s="3"/>
      <c r="LX620" s="3"/>
      <c r="LY620" s="3"/>
      <c r="LZ620" s="3"/>
      <c r="MA620" s="3"/>
      <c r="MB620" s="3"/>
      <c r="MC620" s="3"/>
      <c r="MD620" s="3"/>
      <c r="ME620" s="3"/>
      <c r="MF620" s="3"/>
      <c r="MG620" s="3"/>
      <c r="MH620" s="3"/>
      <c r="MI620" s="3"/>
    </row>
    <row r="621" spans="1:347"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c r="HX621" s="3"/>
      <c r="HY621" s="3"/>
      <c r="HZ621" s="3"/>
      <c r="IA621" s="3"/>
      <c r="IB621" s="3"/>
      <c r="IC621" s="3"/>
      <c r="ID621" s="3"/>
      <c r="IE621" s="3"/>
      <c r="IF621" s="3"/>
      <c r="IG621" s="3"/>
      <c r="IH621" s="3"/>
      <c r="II621" s="3"/>
      <c r="IJ621" s="3"/>
      <c r="IK621" s="3"/>
      <c r="IL621" s="3"/>
      <c r="IM621" s="3"/>
      <c r="IN621" s="3"/>
      <c r="IO621" s="3"/>
      <c r="IP621" s="3"/>
      <c r="IQ621" s="3"/>
      <c r="IR621" s="3"/>
      <c r="IS621" s="3"/>
      <c r="IT621" s="3"/>
      <c r="IU621" s="3"/>
      <c r="IV621" s="3"/>
      <c r="IW621" s="3"/>
      <c r="IX621" s="3"/>
      <c r="IY621" s="3"/>
      <c r="IZ621" s="3"/>
      <c r="JA621" s="3"/>
      <c r="JB621" s="3"/>
      <c r="JC621" s="3"/>
      <c r="JD621" s="3"/>
      <c r="JE621" s="3"/>
      <c r="JF621" s="3"/>
      <c r="JG621" s="3"/>
      <c r="JH621" s="3"/>
      <c r="JI621" s="3"/>
      <c r="JJ621" s="3"/>
      <c r="JK621" s="3"/>
      <c r="JL621" s="3"/>
      <c r="JM621" s="3"/>
      <c r="JN621" s="3"/>
      <c r="JO621" s="3"/>
      <c r="JP621" s="3"/>
      <c r="JQ621" s="3"/>
      <c r="JR621" s="3"/>
      <c r="JS621" s="3"/>
      <c r="JT621" s="3"/>
      <c r="JU621" s="3"/>
      <c r="JV621" s="3"/>
      <c r="JW621" s="3"/>
      <c r="JX621" s="3"/>
      <c r="JY621" s="3"/>
      <c r="JZ621" s="3"/>
      <c r="KA621" s="3"/>
      <c r="KB621" s="3"/>
      <c r="KC621" s="3"/>
      <c r="KD621" s="3"/>
      <c r="KE621" s="3"/>
      <c r="KF621" s="3"/>
      <c r="KG621" s="3"/>
      <c r="KH621" s="3"/>
      <c r="KI621" s="3"/>
      <c r="KJ621" s="3"/>
      <c r="KK621" s="3"/>
      <c r="KL621" s="3"/>
      <c r="KM621" s="3"/>
      <c r="KN621" s="3"/>
      <c r="KO621" s="3"/>
      <c r="KP621" s="3"/>
      <c r="KQ621" s="3"/>
      <c r="KR621" s="3"/>
      <c r="KS621" s="3"/>
      <c r="KT621" s="3"/>
      <c r="KU621" s="3"/>
      <c r="KV621" s="3"/>
      <c r="KW621" s="3"/>
      <c r="KX621" s="3"/>
      <c r="KY621" s="3"/>
      <c r="KZ621" s="3"/>
      <c r="LA621" s="3"/>
      <c r="LB621" s="3"/>
      <c r="LC621" s="3"/>
      <c r="LD621" s="3"/>
      <c r="LE621" s="3"/>
      <c r="LF621" s="3"/>
      <c r="LG621" s="3"/>
      <c r="LH621" s="3"/>
      <c r="LI621" s="3"/>
      <c r="LJ621" s="3"/>
      <c r="LK621" s="3"/>
      <c r="LL621" s="3"/>
      <c r="LM621" s="3"/>
      <c r="LN621" s="3"/>
      <c r="LO621" s="3"/>
      <c r="LP621" s="3"/>
      <c r="LQ621" s="3"/>
      <c r="LR621" s="3"/>
      <c r="LS621" s="3"/>
      <c r="LT621" s="3"/>
      <c r="LU621" s="3"/>
      <c r="LV621" s="3"/>
      <c r="LW621" s="3"/>
      <c r="LX621" s="3"/>
      <c r="LY621" s="3"/>
      <c r="LZ621" s="3"/>
      <c r="MA621" s="3"/>
      <c r="MB621" s="3"/>
      <c r="MC621" s="3"/>
      <c r="MD621" s="3"/>
      <c r="ME621" s="3"/>
      <c r="MF621" s="3"/>
      <c r="MG621" s="3"/>
      <c r="MH621" s="3"/>
      <c r="MI621" s="3"/>
    </row>
    <row r="622" spans="1:347"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c r="HX622" s="3"/>
      <c r="HY622" s="3"/>
      <c r="HZ622" s="3"/>
      <c r="IA622" s="3"/>
      <c r="IB622" s="3"/>
      <c r="IC622" s="3"/>
      <c r="ID622" s="3"/>
      <c r="IE622" s="3"/>
      <c r="IF622" s="3"/>
      <c r="IG622" s="3"/>
      <c r="IH622" s="3"/>
      <c r="II622" s="3"/>
      <c r="IJ622" s="3"/>
      <c r="IK622" s="3"/>
      <c r="IL622" s="3"/>
      <c r="IM622" s="3"/>
      <c r="IN622" s="3"/>
      <c r="IO622" s="3"/>
      <c r="IP622" s="3"/>
      <c r="IQ622" s="3"/>
      <c r="IR622" s="3"/>
      <c r="IS622" s="3"/>
      <c r="IT622" s="3"/>
      <c r="IU622" s="3"/>
      <c r="IV622" s="3"/>
      <c r="IW622" s="3"/>
      <c r="IX622" s="3"/>
      <c r="IY622" s="3"/>
      <c r="IZ622" s="3"/>
      <c r="JA622" s="3"/>
      <c r="JB622" s="3"/>
      <c r="JC622" s="3"/>
      <c r="JD622" s="3"/>
      <c r="JE622" s="3"/>
      <c r="JF622" s="3"/>
      <c r="JG622" s="3"/>
      <c r="JH622" s="3"/>
      <c r="JI622" s="3"/>
      <c r="JJ622" s="3"/>
      <c r="JK622" s="3"/>
      <c r="JL622" s="3"/>
      <c r="JM622" s="3"/>
      <c r="JN622" s="3"/>
      <c r="JO622" s="3"/>
      <c r="JP622" s="3"/>
      <c r="JQ622" s="3"/>
      <c r="JR622" s="3"/>
      <c r="JS622" s="3"/>
      <c r="JT622" s="3"/>
      <c r="JU622" s="3"/>
      <c r="JV622" s="3"/>
      <c r="JW622" s="3"/>
      <c r="JX622" s="3"/>
      <c r="JY622" s="3"/>
      <c r="JZ622" s="3"/>
      <c r="KA622" s="3"/>
      <c r="KB622" s="3"/>
      <c r="KC622" s="3"/>
      <c r="KD622" s="3"/>
      <c r="KE622" s="3"/>
      <c r="KF622" s="3"/>
      <c r="KG622" s="3"/>
      <c r="KH622" s="3"/>
      <c r="KI622" s="3"/>
      <c r="KJ622" s="3"/>
      <c r="KK622" s="3"/>
      <c r="KL622" s="3"/>
      <c r="KM622" s="3"/>
      <c r="KN622" s="3"/>
      <c r="KO622" s="3"/>
      <c r="KP622" s="3"/>
      <c r="KQ622" s="3"/>
      <c r="KR622" s="3"/>
      <c r="KS622" s="3"/>
      <c r="KT622" s="3"/>
      <c r="KU622" s="3"/>
      <c r="KV622" s="3"/>
      <c r="KW622" s="3"/>
      <c r="KX622" s="3"/>
      <c r="KY622" s="3"/>
      <c r="KZ622" s="3"/>
      <c r="LA622" s="3"/>
      <c r="LB622" s="3"/>
      <c r="LC622" s="3"/>
      <c r="LD622" s="3"/>
      <c r="LE622" s="3"/>
      <c r="LF622" s="3"/>
      <c r="LG622" s="3"/>
      <c r="LH622" s="3"/>
      <c r="LI622" s="3"/>
      <c r="LJ622" s="3"/>
      <c r="LK622" s="3"/>
      <c r="LL622" s="3"/>
      <c r="LM622" s="3"/>
      <c r="LN622" s="3"/>
      <c r="LO622" s="3"/>
      <c r="LP622" s="3"/>
      <c r="LQ622" s="3"/>
      <c r="LR622" s="3"/>
      <c r="LS622" s="3"/>
      <c r="LT622" s="3"/>
      <c r="LU622" s="3"/>
      <c r="LV622" s="3"/>
      <c r="LW622" s="3"/>
      <c r="LX622" s="3"/>
      <c r="LY622" s="3"/>
      <c r="LZ622" s="3"/>
      <c r="MA622" s="3"/>
      <c r="MB622" s="3"/>
      <c r="MC622" s="3"/>
      <c r="MD622" s="3"/>
      <c r="ME622" s="3"/>
      <c r="MF622" s="3"/>
      <c r="MG622" s="3"/>
      <c r="MH622" s="3"/>
      <c r="MI622" s="3"/>
    </row>
    <row r="623" spans="1:347"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c r="HX623" s="3"/>
      <c r="HY623" s="3"/>
      <c r="HZ623" s="3"/>
      <c r="IA623" s="3"/>
      <c r="IB623" s="3"/>
      <c r="IC623" s="3"/>
      <c r="ID623" s="3"/>
      <c r="IE623" s="3"/>
      <c r="IF623" s="3"/>
      <c r="IG623" s="3"/>
      <c r="IH623" s="3"/>
      <c r="II623" s="3"/>
      <c r="IJ623" s="3"/>
      <c r="IK623" s="3"/>
      <c r="IL623" s="3"/>
      <c r="IM623" s="3"/>
      <c r="IN623" s="3"/>
      <c r="IO623" s="3"/>
      <c r="IP623" s="3"/>
      <c r="IQ623" s="3"/>
      <c r="IR623" s="3"/>
      <c r="IS623" s="3"/>
      <c r="IT623" s="3"/>
      <c r="IU623" s="3"/>
      <c r="IV623" s="3"/>
      <c r="IW623" s="3"/>
      <c r="IX623" s="3"/>
      <c r="IY623" s="3"/>
      <c r="IZ623" s="3"/>
      <c r="JA623" s="3"/>
      <c r="JB623" s="3"/>
      <c r="JC623" s="3"/>
      <c r="JD623" s="3"/>
      <c r="JE623" s="3"/>
      <c r="JF623" s="3"/>
      <c r="JG623" s="3"/>
      <c r="JH623" s="3"/>
      <c r="JI623" s="3"/>
      <c r="JJ623" s="3"/>
      <c r="JK623" s="3"/>
      <c r="JL623" s="3"/>
      <c r="JM623" s="3"/>
      <c r="JN623" s="3"/>
      <c r="JO623" s="3"/>
      <c r="JP623" s="3"/>
      <c r="JQ623" s="3"/>
      <c r="JR623" s="3"/>
      <c r="JS623" s="3"/>
      <c r="JT623" s="3"/>
      <c r="JU623" s="3"/>
      <c r="JV623" s="3"/>
      <c r="JW623" s="3"/>
      <c r="JX623" s="3"/>
      <c r="JY623" s="3"/>
      <c r="JZ623" s="3"/>
      <c r="KA623" s="3"/>
      <c r="KB623" s="3"/>
      <c r="KC623" s="3"/>
      <c r="KD623" s="3"/>
      <c r="KE623" s="3"/>
      <c r="KF623" s="3"/>
      <c r="KG623" s="3"/>
      <c r="KH623" s="3"/>
      <c r="KI623" s="3"/>
      <c r="KJ623" s="3"/>
      <c r="KK623" s="3"/>
      <c r="KL623" s="3"/>
      <c r="KM623" s="3"/>
      <c r="KN623" s="3"/>
      <c r="KO623" s="3"/>
      <c r="KP623" s="3"/>
      <c r="KQ623" s="3"/>
      <c r="KR623" s="3"/>
      <c r="KS623" s="3"/>
      <c r="KT623" s="3"/>
      <c r="KU623" s="3"/>
      <c r="KV623" s="3"/>
      <c r="KW623" s="3"/>
      <c r="KX623" s="3"/>
      <c r="KY623" s="3"/>
      <c r="KZ623" s="3"/>
      <c r="LA623" s="3"/>
      <c r="LB623" s="3"/>
      <c r="LC623" s="3"/>
      <c r="LD623" s="3"/>
      <c r="LE623" s="3"/>
      <c r="LF623" s="3"/>
      <c r="LG623" s="3"/>
      <c r="LH623" s="3"/>
      <c r="LI623" s="3"/>
      <c r="LJ623" s="3"/>
      <c r="LK623" s="3"/>
      <c r="LL623" s="3"/>
      <c r="LM623" s="3"/>
      <c r="LN623" s="3"/>
      <c r="LO623" s="3"/>
      <c r="LP623" s="3"/>
      <c r="LQ623" s="3"/>
      <c r="LR623" s="3"/>
      <c r="LS623" s="3"/>
      <c r="LT623" s="3"/>
      <c r="LU623" s="3"/>
      <c r="LV623" s="3"/>
      <c r="LW623" s="3"/>
      <c r="LX623" s="3"/>
      <c r="LY623" s="3"/>
      <c r="LZ623" s="3"/>
      <c r="MA623" s="3"/>
      <c r="MB623" s="3"/>
      <c r="MC623" s="3"/>
      <c r="MD623" s="3"/>
      <c r="ME623" s="3"/>
      <c r="MF623" s="3"/>
      <c r="MG623" s="3"/>
      <c r="MH623" s="3"/>
      <c r="MI623" s="3"/>
    </row>
    <row r="624" spans="1:347"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c r="HX624" s="3"/>
      <c r="HY624" s="3"/>
      <c r="HZ624" s="3"/>
      <c r="IA624" s="3"/>
      <c r="IB624" s="3"/>
      <c r="IC624" s="3"/>
      <c r="ID624" s="3"/>
      <c r="IE624" s="3"/>
      <c r="IF624" s="3"/>
      <c r="IG624" s="3"/>
      <c r="IH624" s="3"/>
      <c r="II624" s="3"/>
      <c r="IJ624" s="3"/>
      <c r="IK624" s="3"/>
      <c r="IL624" s="3"/>
      <c r="IM624" s="3"/>
      <c r="IN624" s="3"/>
      <c r="IO624" s="3"/>
      <c r="IP624" s="3"/>
      <c r="IQ624" s="3"/>
      <c r="IR624" s="3"/>
      <c r="IS624" s="3"/>
      <c r="IT624" s="3"/>
      <c r="IU624" s="3"/>
      <c r="IV624" s="3"/>
      <c r="IW624" s="3"/>
      <c r="IX624" s="3"/>
      <c r="IY624" s="3"/>
      <c r="IZ624" s="3"/>
      <c r="JA624" s="3"/>
      <c r="JB624" s="3"/>
      <c r="JC624" s="3"/>
      <c r="JD624" s="3"/>
      <c r="JE624" s="3"/>
      <c r="JF624" s="3"/>
      <c r="JG624" s="3"/>
      <c r="JH624" s="3"/>
      <c r="JI624" s="3"/>
      <c r="JJ624" s="3"/>
      <c r="JK624" s="3"/>
      <c r="JL624" s="3"/>
      <c r="JM624" s="3"/>
      <c r="JN624" s="3"/>
      <c r="JO624" s="3"/>
      <c r="JP624" s="3"/>
      <c r="JQ624" s="3"/>
      <c r="JR624" s="3"/>
      <c r="JS624" s="3"/>
      <c r="JT624" s="3"/>
      <c r="JU624" s="3"/>
      <c r="JV624" s="3"/>
      <c r="JW624" s="3"/>
      <c r="JX624" s="3"/>
      <c r="JY624" s="3"/>
      <c r="JZ624" s="3"/>
      <c r="KA624" s="3"/>
      <c r="KB624" s="3"/>
      <c r="KC624" s="3"/>
      <c r="KD624" s="3"/>
      <c r="KE624" s="3"/>
      <c r="KF624" s="3"/>
      <c r="KG624" s="3"/>
      <c r="KH624" s="3"/>
      <c r="KI624" s="3"/>
      <c r="KJ624" s="3"/>
      <c r="KK624" s="3"/>
      <c r="KL624" s="3"/>
      <c r="KM624" s="3"/>
      <c r="KN624" s="3"/>
      <c r="KO624" s="3"/>
      <c r="KP624" s="3"/>
      <c r="KQ624" s="3"/>
      <c r="KR624" s="3"/>
      <c r="KS624" s="3"/>
      <c r="KT624" s="3"/>
      <c r="KU624" s="3"/>
      <c r="KV624" s="3"/>
      <c r="KW624" s="3"/>
      <c r="KX624" s="3"/>
      <c r="KY624" s="3"/>
      <c r="KZ624" s="3"/>
      <c r="LA624" s="3"/>
      <c r="LB624" s="3"/>
      <c r="LC624" s="3"/>
      <c r="LD624" s="3"/>
      <c r="LE624" s="3"/>
      <c r="LF624" s="3"/>
      <c r="LG624" s="3"/>
      <c r="LH624" s="3"/>
      <c r="LI624" s="3"/>
      <c r="LJ624" s="3"/>
      <c r="LK624" s="3"/>
      <c r="LL624" s="3"/>
      <c r="LM624" s="3"/>
      <c r="LN624" s="3"/>
      <c r="LO624" s="3"/>
      <c r="LP624" s="3"/>
      <c r="LQ624" s="3"/>
      <c r="LR624" s="3"/>
      <c r="LS624" s="3"/>
      <c r="LT624" s="3"/>
      <c r="LU624" s="3"/>
      <c r="LV624" s="3"/>
      <c r="LW624" s="3"/>
      <c r="LX624" s="3"/>
      <c r="LY624" s="3"/>
      <c r="LZ624" s="3"/>
      <c r="MA624" s="3"/>
      <c r="MB624" s="3"/>
      <c r="MC624" s="3"/>
      <c r="MD624" s="3"/>
      <c r="ME624" s="3"/>
      <c r="MF624" s="3"/>
      <c r="MG624" s="3"/>
      <c r="MH624" s="3"/>
      <c r="MI624" s="3"/>
    </row>
    <row r="625" spans="1:347"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c r="HX625" s="3"/>
      <c r="HY625" s="3"/>
      <c r="HZ625" s="3"/>
      <c r="IA625" s="3"/>
      <c r="IB625" s="3"/>
      <c r="IC625" s="3"/>
      <c r="ID625" s="3"/>
      <c r="IE625" s="3"/>
      <c r="IF625" s="3"/>
      <c r="IG625" s="3"/>
      <c r="IH625" s="3"/>
      <c r="II625" s="3"/>
      <c r="IJ625" s="3"/>
      <c r="IK625" s="3"/>
      <c r="IL625" s="3"/>
      <c r="IM625" s="3"/>
      <c r="IN625" s="3"/>
      <c r="IO625" s="3"/>
      <c r="IP625" s="3"/>
      <c r="IQ625" s="3"/>
      <c r="IR625" s="3"/>
      <c r="IS625" s="3"/>
      <c r="IT625" s="3"/>
      <c r="IU625" s="3"/>
      <c r="IV625" s="3"/>
      <c r="IW625" s="3"/>
      <c r="IX625" s="3"/>
      <c r="IY625" s="3"/>
      <c r="IZ625" s="3"/>
      <c r="JA625" s="3"/>
      <c r="JB625" s="3"/>
      <c r="JC625" s="3"/>
      <c r="JD625" s="3"/>
      <c r="JE625" s="3"/>
      <c r="JF625" s="3"/>
      <c r="JG625" s="3"/>
      <c r="JH625" s="3"/>
      <c r="JI625" s="3"/>
      <c r="JJ625" s="3"/>
      <c r="JK625" s="3"/>
      <c r="JL625" s="3"/>
      <c r="JM625" s="3"/>
      <c r="JN625" s="3"/>
      <c r="JO625" s="3"/>
      <c r="JP625" s="3"/>
      <c r="JQ625" s="3"/>
      <c r="JR625" s="3"/>
      <c r="JS625" s="3"/>
      <c r="JT625" s="3"/>
      <c r="JU625" s="3"/>
      <c r="JV625" s="3"/>
      <c r="JW625" s="3"/>
      <c r="JX625" s="3"/>
      <c r="JY625" s="3"/>
      <c r="JZ625" s="3"/>
      <c r="KA625" s="3"/>
      <c r="KB625" s="3"/>
      <c r="KC625" s="3"/>
      <c r="KD625" s="3"/>
      <c r="KE625" s="3"/>
      <c r="KF625" s="3"/>
      <c r="KG625" s="3"/>
      <c r="KH625" s="3"/>
      <c r="KI625" s="3"/>
      <c r="KJ625" s="3"/>
      <c r="KK625" s="3"/>
      <c r="KL625" s="3"/>
      <c r="KM625" s="3"/>
      <c r="KN625" s="3"/>
      <c r="KO625" s="3"/>
      <c r="KP625" s="3"/>
      <c r="KQ625" s="3"/>
      <c r="KR625" s="3"/>
      <c r="KS625" s="3"/>
      <c r="KT625" s="3"/>
      <c r="KU625" s="3"/>
      <c r="KV625" s="3"/>
      <c r="KW625" s="3"/>
      <c r="KX625" s="3"/>
      <c r="KY625" s="3"/>
      <c r="KZ625" s="3"/>
      <c r="LA625" s="3"/>
      <c r="LB625" s="3"/>
      <c r="LC625" s="3"/>
      <c r="LD625" s="3"/>
      <c r="LE625" s="3"/>
      <c r="LF625" s="3"/>
      <c r="LG625" s="3"/>
      <c r="LH625" s="3"/>
      <c r="LI625" s="3"/>
      <c r="LJ625" s="3"/>
      <c r="LK625" s="3"/>
      <c r="LL625" s="3"/>
      <c r="LM625" s="3"/>
      <c r="LN625" s="3"/>
      <c r="LO625" s="3"/>
      <c r="LP625" s="3"/>
      <c r="LQ625" s="3"/>
      <c r="LR625" s="3"/>
      <c r="LS625" s="3"/>
      <c r="LT625" s="3"/>
      <c r="LU625" s="3"/>
      <c r="LV625" s="3"/>
      <c r="LW625" s="3"/>
      <c r="LX625" s="3"/>
      <c r="LY625" s="3"/>
      <c r="LZ625" s="3"/>
      <c r="MA625" s="3"/>
      <c r="MB625" s="3"/>
      <c r="MC625" s="3"/>
      <c r="MD625" s="3"/>
      <c r="ME625" s="3"/>
      <c r="MF625" s="3"/>
      <c r="MG625" s="3"/>
      <c r="MH625" s="3"/>
      <c r="MI625" s="3"/>
    </row>
    <row r="626" spans="1:347"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c r="HX626" s="3"/>
      <c r="HY626" s="3"/>
      <c r="HZ626" s="3"/>
      <c r="IA626" s="3"/>
      <c r="IB626" s="3"/>
      <c r="IC626" s="3"/>
      <c r="ID626" s="3"/>
      <c r="IE626" s="3"/>
      <c r="IF626" s="3"/>
      <c r="IG626" s="3"/>
      <c r="IH626" s="3"/>
      <c r="II626" s="3"/>
      <c r="IJ626" s="3"/>
      <c r="IK626" s="3"/>
      <c r="IL626" s="3"/>
      <c r="IM626" s="3"/>
      <c r="IN626" s="3"/>
      <c r="IO626" s="3"/>
      <c r="IP626" s="3"/>
      <c r="IQ626" s="3"/>
      <c r="IR626" s="3"/>
      <c r="IS626" s="3"/>
      <c r="IT626" s="3"/>
      <c r="IU626" s="3"/>
      <c r="IV626" s="3"/>
      <c r="IW626" s="3"/>
      <c r="IX626" s="3"/>
      <c r="IY626" s="3"/>
      <c r="IZ626" s="3"/>
      <c r="JA626" s="3"/>
      <c r="JB626" s="3"/>
      <c r="JC626" s="3"/>
      <c r="JD626" s="3"/>
      <c r="JE626" s="3"/>
      <c r="JF626" s="3"/>
      <c r="JG626" s="3"/>
      <c r="JH626" s="3"/>
      <c r="JI626" s="3"/>
      <c r="JJ626" s="3"/>
      <c r="JK626" s="3"/>
      <c r="JL626" s="3"/>
      <c r="JM626" s="3"/>
      <c r="JN626" s="3"/>
      <c r="JO626" s="3"/>
      <c r="JP626" s="3"/>
      <c r="JQ626" s="3"/>
      <c r="JR626" s="3"/>
      <c r="JS626" s="3"/>
      <c r="JT626" s="3"/>
      <c r="JU626" s="3"/>
      <c r="JV626" s="3"/>
      <c r="JW626" s="3"/>
      <c r="JX626" s="3"/>
      <c r="JY626" s="3"/>
      <c r="JZ626" s="3"/>
      <c r="KA626" s="3"/>
      <c r="KB626" s="3"/>
      <c r="KC626" s="3"/>
      <c r="KD626" s="3"/>
      <c r="KE626" s="3"/>
      <c r="KF626" s="3"/>
      <c r="KG626" s="3"/>
      <c r="KH626" s="3"/>
      <c r="KI626" s="3"/>
      <c r="KJ626" s="3"/>
      <c r="KK626" s="3"/>
      <c r="KL626" s="3"/>
      <c r="KM626" s="3"/>
      <c r="KN626" s="3"/>
      <c r="KO626" s="3"/>
      <c r="KP626" s="3"/>
      <c r="KQ626" s="3"/>
      <c r="KR626" s="3"/>
      <c r="KS626" s="3"/>
      <c r="KT626" s="3"/>
      <c r="KU626" s="3"/>
      <c r="KV626" s="3"/>
      <c r="KW626" s="3"/>
      <c r="KX626" s="3"/>
      <c r="KY626" s="3"/>
      <c r="KZ626" s="3"/>
      <c r="LA626" s="3"/>
      <c r="LB626" s="3"/>
      <c r="LC626" s="3"/>
      <c r="LD626" s="3"/>
      <c r="LE626" s="3"/>
      <c r="LF626" s="3"/>
      <c r="LG626" s="3"/>
      <c r="LH626" s="3"/>
      <c r="LI626" s="3"/>
      <c r="LJ626" s="3"/>
      <c r="LK626" s="3"/>
      <c r="LL626" s="3"/>
      <c r="LM626" s="3"/>
      <c r="LN626" s="3"/>
      <c r="LO626" s="3"/>
      <c r="LP626" s="3"/>
      <c r="LQ626" s="3"/>
      <c r="LR626" s="3"/>
      <c r="LS626" s="3"/>
      <c r="LT626" s="3"/>
      <c r="LU626" s="3"/>
      <c r="LV626" s="3"/>
      <c r="LW626" s="3"/>
      <c r="LX626" s="3"/>
      <c r="LY626" s="3"/>
      <c r="LZ626" s="3"/>
      <c r="MA626" s="3"/>
      <c r="MB626" s="3"/>
      <c r="MC626" s="3"/>
      <c r="MD626" s="3"/>
      <c r="ME626" s="3"/>
      <c r="MF626" s="3"/>
      <c r="MG626" s="3"/>
      <c r="MH626" s="3"/>
      <c r="MI626" s="3"/>
    </row>
    <row r="627" spans="1:347"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c r="HX627" s="3"/>
      <c r="HY627" s="3"/>
      <c r="HZ627" s="3"/>
      <c r="IA627" s="3"/>
      <c r="IB627" s="3"/>
      <c r="IC627" s="3"/>
      <c r="ID627" s="3"/>
      <c r="IE627" s="3"/>
      <c r="IF627" s="3"/>
      <c r="IG627" s="3"/>
      <c r="IH627" s="3"/>
      <c r="II627" s="3"/>
      <c r="IJ627" s="3"/>
      <c r="IK627" s="3"/>
      <c r="IL627" s="3"/>
      <c r="IM627" s="3"/>
      <c r="IN627" s="3"/>
      <c r="IO627" s="3"/>
      <c r="IP627" s="3"/>
      <c r="IQ627" s="3"/>
      <c r="IR627" s="3"/>
      <c r="IS627" s="3"/>
      <c r="IT627" s="3"/>
      <c r="IU627" s="3"/>
      <c r="IV627" s="3"/>
      <c r="IW627" s="3"/>
      <c r="IX627" s="3"/>
      <c r="IY627" s="3"/>
      <c r="IZ627" s="3"/>
      <c r="JA627" s="3"/>
      <c r="JB627" s="3"/>
      <c r="JC627" s="3"/>
      <c r="JD627" s="3"/>
      <c r="JE627" s="3"/>
      <c r="JF627" s="3"/>
      <c r="JG627" s="3"/>
      <c r="JH627" s="3"/>
      <c r="JI627" s="3"/>
      <c r="JJ627" s="3"/>
      <c r="JK627" s="3"/>
      <c r="JL627" s="3"/>
      <c r="JM627" s="3"/>
      <c r="JN627" s="3"/>
      <c r="JO627" s="3"/>
      <c r="JP627" s="3"/>
      <c r="JQ627" s="3"/>
      <c r="JR627" s="3"/>
      <c r="JS627" s="3"/>
      <c r="JT627" s="3"/>
      <c r="JU627" s="3"/>
      <c r="JV627" s="3"/>
      <c r="JW627" s="3"/>
      <c r="JX627" s="3"/>
      <c r="JY627" s="3"/>
      <c r="JZ627" s="3"/>
      <c r="KA627" s="3"/>
      <c r="KB627" s="3"/>
      <c r="KC627" s="3"/>
      <c r="KD627" s="3"/>
      <c r="KE627" s="3"/>
      <c r="KF627" s="3"/>
      <c r="KG627" s="3"/>
      <c r="KH627" s="3"/>
      <c r="KI627" s="3"/>
      <c r="KJ627" s="3"/>
      <c r="KK627" s="3"/>
      <c r="KL627" s="3"/>
      <c r="KM627" s="3"/>
      <c r="KN627" s="3"/>
      <c r="KO627" s="3"/>
      <c r="KP627" s="3"/>
      <c r="KQ627" s="3"/>
      <c r="KR627" s="3"/>
      <c r="KS627" s="3"/>
      <c r="KT627" s="3"/>
      <c r="KU627" s="3"/>
      <c r="KV627" s="3"/>
      <c r="KW627" s="3"/>
      <c r="KX627" s="3"/>
      <c r="KY627" s="3"/>
      <c r="KZ627" s="3"/>
      <c r="LA627" s="3"/>
      <c r="LB627" s="3"/>
      <c r="LC627" s="3"/>
      <c r="LD627" s="3"/>
      <c r="LE627" s="3"/>
      <c r="LF627" s="3"/>
      <c r="LG627" s="3"/>
      <c r="LH627" s="3"/>
      <c r="LI627" s="3"/>
      <c r="LJ627" s="3"/>
      <c r="LK627" s="3"/>
      <c r="LL627" s="3"/>
      <c r="LM627" s="3"/>
      <c r="LN627" s="3"/>
      <c r="LO627" s="3"/>
      <c r="LP627" s="3"/>
      <c r="LQ627" s="3"/>
      <c r="LR627" s="3"/>
      <c r="LS627" s="3"/>
      <c r="LT627" s="3"/>
      <c r="LU627" s="3"/>
      <c r="LV627" s="3"/>
      <c r="LW627" s="3"/>
      <c r="LX627" s="3"/>
      <c r="LY627" s="3"/>
      <c r="LZ627" s="3"/>
      <c r="MA627" s="3"/>
      <c r="MB627" s="3"/>
      <c r="MC627" s="3"/>
      <c r="MD627" s="3"/>
      <c r="ME627" s="3"/>
      <c r="MF627" s="3"/>
      <c r="MG627" s="3"/>
      <c r="MH627" s="3"/>
      <c r="MI627" s="3"/>
    </row>
    <row r="628" spans="1:347"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c r="HX628" s="3"/>
      <c r="HY628" s="3"/>
      <c r="HZ628" s="3"/>
      <c r="IA628" s="3"/>
      <c r="IB628" s="3"/>
      <c r="IC628" s="3"/>
      <c r="ID628" s="3"/>
      <c r="IE628" s="3"/>
      <c r="IF628" s="3"/>
      <c r="IG628" s="3"/>
      <c r="IH628" s="3"/>
      <c r="II628" s="3"/>
      <c r="IJ628" s="3"/>
      <c r="IK628" s="3"/>
      <c r="IL628" s="3"/>
      <c r="IM628" s="3"/>
      <c r="IN628" s="3"/>
      <c r="IO628" s="3"/>
      <c r="IP628" s="3"/>
      <c r="IQ628" s="3"/>
      <c r="IR628" s="3"/>
      <c r="IS628" s="3"/>
      <c r="IT628" s="3"/>
      <c r="IU628" s="3"/>
      <c r="IV628" s="3"/>
      <c r="IW628" s="3"/>
      <c r="IX628" s="3"/>
      <c r="IY628" s="3"/>
      <c r="IZ628" s="3"/>
      <c r="JA628" s="3"/>
      <c r="JB628" s="3"/>
      <c r="JC628" s="3"/>
      <c r="JD628" s="3"/>
      <c r="JE628" s="3"/>
      <c r="JF628" s="3"/>
      <c r="JG628" s="3"/>
      <c r="JH628" s="3"/>
      <c r="JI628" s="3"/>
      <c r="JJ628" s="3"/>
      <c r="JK628" s="3"/>
      <c r="JL628" s="3"/>
      <c r="JM628" s="3"/>
      <c r="JN628" s="3"/>
      <c r="JO628" s="3"/>
      <c r="JP628" s="3"/>
      <c r="JQ628" s="3"/>
      <c r="JR628" s="3"/>
      <c r="JS628" s="3"/>
      <c r="JT628" s="3"/>
      <c r="JU628" s="3"/>
      <c r="JV628" s="3"/>
      <c r="JW628" s="3"/>
      <c r="JX628" s="3"/>
      <c r="JY628" s="3"/>
      <c r="JZ628" s="3"/>
      <c r="KA628" s="3"/>
      <c r="KB628" s="3"/>
      <c r="KC628" s="3"/>
      <c r="KD628" s="3"/>
      <c r="KE628" s="3"/>
      <c r="KF628" s="3"/>
      <c r="KG628" s="3"/>
      <c r="KH628" s="3"/>
      <c r="KI628" s="3"/>
      <c r="KJ628" s="3"/>
      <c r="KK628" s="3"/>
      <c r="KL628" s="3"/>
      <c r="KM628" s="3"/>
      <c r="KN628" s="3"/>
      <c r="KO628" s="3"/>
      <c r="KP628" s="3"/>
      <c r="KQ628" s="3"/>
      <c r="KR628" s="3"/>
      <c r="KS628" s="3"/>
      <c r="KT628" s="3"/>
      <c r="KU628" s="3"/>
      <c r="KV628" s="3"/>
      <c r="KW628" s="3"/>
      <c r="KX628" s="3"/>
      <c r="KY628" s="3"/>
      <c r="KZ628" s="3"/>
      <c r="LA628" s="3"/>
      <c r="LB628" s="3"/>
      <c r="LC628" s="3"/>
      <c r="LD628" s="3"/>
      <c r="LE628" s="3"/>
      <c r="LF628" s="3"/>
      <c r="LG628" s="3"/>
      <c r="LH628" s="3"/>
      <c r="LI628" s="3"/>
      <c r="LJ628" s="3"/>
      <c r="LK628" s="3"/>
      <c r="LL628" s="3"/>
      <c r="LM628" s="3"/>
      <c r="LN628" s="3"/>
      <c r="LO628" s="3"/>
      <c r="LP628" s="3"/>
      <c r="LQ628" s="3"/>
      <c r="LR628" s="3"/>
      <c r="LS628" s="3"/>
      <c r="LT628" s="3"/>
      <c r="LU628" s="3"/>
      <c r="LV628" s="3"/>
      <c r="LW628" s="3"/>
      <c r="LX628" s="3"/>
      <c r="LY628" s="3"/>
      <c r="LZ628" s="3"/>
      <c r="MA628" s="3"/>
      <c r="MB628" s="3"/>
      <c r="MC628" s="3"/>
      <c r="MD628" s="3"/>
      <c r="ME628" s="3"/>
      <c r="MF628" s="3"/>
      <c r="MG628" s="3"/>
      <c r="MH628" s="3"/>
      <c r="MI628" s="3"/>
    </row>
    <row r="629" spans="1:347"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c r="HX629" s="3"/>
      <c r="HY629" s="3"/>
      <c r="HZ629" s="3"/>
      <c r="IA629" s="3"/>
      <c r="IB629" s="3"/>
      <c r="IC629" s="3"/>
      <c r="ID629" s="3"/>
      <c r="IE629" s="3"/>
      <c r="IF629" s="3"/>
      <c r="IG629" s="3"/>
      <c r="IH629" s="3"/>
      <c r="II629" s="3"/>
      <c r="IJ629" s="3"/>
      <c r="IK629" s="3"/>
      <c r="IL629" s="3"/>
      <c r="IM629" s="3"/>
      <c r="IN629" s="3"/>
      <c r="IO629" s="3"/>
      <c r="IP629" s="3"/>
      <c r="IQ629" s="3"/>
      <c r="IR629" s="3"/>
      <c r="IS629" s="3"/>
      <c r="IT629" s="3"/>
      <c r="IU629" s="3"/>
      <c r="IV629" s="3"/>
      <c r="IW629" s="3"/>
      <c r="IX629" s="3"/>
      <c r="IY629" s="3"/>
      <c r="IZ629" s="3"/>
      <c r="JA629" s="3"/>
      <c r="JB629" s="3"/>
      <c r="JC629" s="3"/>
      <c r="JD629" s="3"/>
      <c r="JE629" s="3"/>
      <c r="JF629" s="3"/>
      <c r="JG629" s="3"/>
      <c r="JH629" s="3"/>
      <c r="JI629" s="3"/>
      <c r="JJ629" s="3"/>
      <c r="JK629" s="3"/>
      <c r="JL629" s="3"/>
      <c r="JM629" s="3"/>
      <c r="JN629" s="3"/>
      <c r="JO629" s="3"/>
      <c r="JP629" s="3"/>
      <c r="JQ629" s="3"/>
      <c r="JR629" s="3"/>
      <c r="JS629" s="3"/>
      <c r="JT629" s="3"/>
      <c r="JU629" s="3"/>
      <c r="JV629" s="3"/>
      <c r="JW629" s="3"/>
      <c r="JX629" s="3"/>
      <c r="JY629" s="3"/>
      <c r="JZ629" s="3"/>
      <c r="KA629" s="3"/>
      <c r="KB629" s="3"/>
      <c r="KC629" s="3"/>
      <c r="KD629" s="3"/>
      <c r="KE629" s="3"/>
      <c r="KF629" s="3"/>
      <c r="KG629" s="3"/>
      <c r="KH629" s="3"/>
      <c r="KI629" s="3"/>
      <c r="KJ629" s="3"/>
      <c r="KK629" s="3"/>
      <c r="KL629" s="3"/>
      <c r="KM629" s="3"/>
      <c r="KN629" s="3"/>
      <c r="KO629" s="3"/>
      <c r="KP629" s="3"/>
      <c r="KQ629" s="3"/>
      <c r="KR629" s="3"/>
      <c r="KS629" s="3"/>
      <c r="KT629" s="3"/>
      <c r="KU629" s="3"/>
      <c r="KV629" s="3"/>
      <c r="KW629" s="3"/>
      <c r="KX629" s="3"/>
      <c r="KY629" s="3"/>
      <c r="KZ629" s="3"/>
      <c r="LA629" s="3"/>
      <c r="LB629" s="3"/>
      <c r="LC629" s="3"/>
      <c r="LD629" s="3"/>
      <c r="LE629" s="3"/>
      <c r="LF629" s="3"/>
      <c r="LG629" s="3"/>
      <c r="LH629" s="3"/>
      <c r="LI629" s="3"/>
      <c r="LJ629" s="3"/>
      <c r="LK629" s="3"/>
      <c r="LL629" s="3"/>
      <c r="LM629" s="3"/>
      <c r="LN629" s="3"/>
      <c r="LO629" s="3"/>
      <c r="LP629" s="3"/>
      <c r="LQ629" s="3"/>
      <c r="LR629" s="3"/>
      <c r="LS629" s="3"/>
      <c r="LT629" s="3"/>
      <c r="LU629" s="3"/>
      <c r="LV629" s="3"/>
      <c r="LW629" s="3"/>
      <c r="LX629" s="3"/>
      <c r="LY629" s="3"/>
      <c r="LZ629" s="3"/>
      <c r="MA629" s="3"/>
      <c r="MB629" s="3"/>
      <c r="MC629" s="3"/>
      <c r="MD629" s="3"/>
      <c r="ME629" s="3"/>
      <c r="MF629" s="3"/>
      <c r="MG629" s="3"/>
      <c r="MH629" s="3"/>
      <c r="MI629" s="3"/>
    </row>
    <row r="630" spans="1:347"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c r="HX630" s="3"/>
      <c r="HY630" s="3"/>
      <c r="HZ630" s="3"/>
      <c r="IA630" s="3"/>
      <c r="IB630" s="3"/>
      <c r="IC630" s="3"/>
      <c r="ID630" s="3"/>
      <c r="IE630" s="3"/>
      <c r="IF630" s="3"/>
      <c r="IG630" s="3"/>
      <c r="IH630" s="3"/>
      <c r="II630" s="3"/>
      <c r="IJ630" s="3"/>
      <c r="IK630" s="3"/>
      <c r="IL630" s="3"/>
      <c r="IM630" s="3"/>
      <c r="IN630" s="3"/>
      <c r="IO630" s="3"/>
      <c r="IP630" s="3"/>
      <c r="IQ630" s="3"/>
      <c r="IR630" s="3"/>
      <c r="IS630" s="3"/>
      <c r="IT630" s="3"/>
      <c r="IU630" s="3"/>
      <c r="IV630" s="3"/>
      <c r="IW630" s="3"/>
      <c r="IX630" s="3"/>
      <c r="IY630" s="3"/>
      <c r="IZ630" s="3"/>
      <c r="JA630" s="3"/>
      <c r="JB630" s="3"/>
      <c r="JC630" s="3"/>
      <c r="JD630" s="3"/>
      <c r="JE630" s="3"/>
      <c r="JF630" s="3"/>
      <c r="JG630" s="3"/>
      <c r="JH630" s="3"/>
      <c r="JI630" s="3"/>
      <c r="JJ630" s="3"/>
      <c r="JK630" s="3"/>
      <c r="JL630" s="3"/>
      <c r="JM630" s="3"/>
      <c r="JN630" s="3"/>
      <c r="JO630" s="3"/>
      <c r="JP630" s="3"/>
      <c r="JQ630" s="3"/>
      <c r="JR630" s="3"/>
      <c r="JS630" s="3"/>
      <c r="JT630" s="3"/>
      <c r="JU630" s="3"/>
      <c r="JV630" s="3"/>
      <c r="JW630" s="3"/>
      <c r="JX630" s="3"/>
      <c r="JY630" s="3"/>
      <c r="JZ630" s="3"/>
      <c r="KA630" s="3"/>
      <c r="KB630" s="3"/>
      <c r="KC630" s="3"/>
      <c r="KD630" s="3"/>
      <c r="KE630" s="3"/>
      <c r="KF630" s="3"/>
      <c r="KG630" s="3"/>
      <c r="KH630" s="3"/>
      <c r="KI630" s="3"/>
      <c r="KJ630" s="3"/>
      <c r="KK630" s="3"/>
      <c r="KL630" s="3"/>
      <c r="KM630" s="3"/>
      <c r="KN630" s="3"/>
      <c r="KO630" s="3"/>
      <c r="KP630" s="3"/>
      <c r="KQ630" s="3"/>
      <c r="KR630" s="3"/>
      <c r="KS630" s="3"/>
      <c r="KT630" s="3"/>
      <c r="KU630" s="3"/>
      <c r="KV630" s="3"/>
      <c r="KW630" s="3"/>
      <c r="KX630" s="3"/>
      <c r="KY630" s="3"/>
      <c r="KZ630" s="3"/>
      <c r="LA630" s="3"/>
      <c r="LB630" s="3"/>
      <c r="LC630" s="3"/>
      <c r="LD630" s="3"/>
      <c r="LE630" s="3"/>
      <c r="LF630" s="3"/>
      <c r="LG630" s="3"/>
      <c r="LH630" s="3"/>
      <c r="LI630" s="3"/>
      <c r="LJ630" s="3"/>
      <c r="LK630" s="3"/>
      <c r="LL630" s="3"/>
      <c r="LM630" s="3"/>
      <c r="LN630" s="3"/>
      <c r="LO630" s="3"/>
      <c r="LP630" s="3"/>
      <c r="LQ630" s="3"/>
      <c r="LR630" s="3"/>
      <c r="LS630" s="3"/>
      <c r="LT630" s="3"/>
      <c r="LU630" s="3"/>
      <c r="LV630" s="3"/>
      <c r="LW630" s="3"/>
      <c r="LX630" s="3"/>
      <c r="LY630" s="3"/>
      <c r="LZ630" s="3"/>
      <c r="MA630" s="3"/>
      <c r="MB630" s="3"/>
      <c r="MC630" s="3"/>
      <c r="MD630" s="3"/>
      <c r="ME630" s="3"/>
      <c r="MF630" s="3"/>
      <c r="MG630" s="3"/>
      <c r="MH630" s="3"/>
      <c r="MI630" s="3"/>
    </row>
    <row r="631" spans="1:347"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c r="HX631" s="3"/>
      <c r="HY631" s="3"/>
      <c r="HZ631" s="3"/>
      <c r="IA631" s="3"/>
      <c r="IB631" s="3"/>
      <c r="IC631" s="3"/>
      <c r="ID631" s="3"/>
      <c r="IE631" s="3"/>
      <c r="IF631" s="3"/>
      <c r="IG631" s="3"/>
      <c r="IH631" s="3"/>
      <c r="II631" s="3"/>
      <c r="IJ631" s="3"/>
      <c r="IK631" s="3"/>
      <c r="IL631" s="3"/>
      <c r="IM631" s="3"/>
      <c r="IN631" s="3"/>
      <c r="IO631" s="3"/>
      <c r="IP631" s="3"/>
      <c r="IQ631" s="3"/>
      <c r="IR631" s="3"/>
      <c r="IS631" s="3"/>
      <c r="IT631" s="3"/>
      <c r="IU631" s="3"/>
      <c r="IV631" s="3"/>
      <c r="IW631" s="3"/>
      <c r="IX631" s="3"/>
      <c r="IY631" s="3"/>
      <c r="IZ631" s="3"/>
      <c r="JA631" s="3"/>
      <c r="JB631" s="3"/>
      <c r="JC631" s="3"/>
      <c r="JD631" s="3"/>
      <c r="JE631" s="3"/>
      <c r="JF631" s="3"/>
      <c r="JG631" s="3"/>
      <c r="JH631" s="3"/>
      <c r="JI631" s="3"/>
      <c r="JJ631" s="3"/>
      <c r="JK631" s="3"/>
      <c r="JL631" s="3"/>
      <c r="JM631" s="3"/>
      <c r="JN631" s="3"/>
      <c r="JO631" s="3"/>
      <c r="JP631" s="3"/>
      <c r="JQ631" s="3"/>
      <c r="JR631" s="3"/>
      <c r="JS631" s="3"/>
      <c r="JT631" s="3"/>
      <c r="JU631" s="3"/>
      <c r="JV631" s="3"/>
      <c r="JW631" s="3"/>
      <c r="JX631" s="3"/>
      <c r="JY631" s="3"/>
      <c r="JZ631" s="3"/>
      <c r="KA631" s="3"/>
      <c r="KB631" s="3"/>
      <c r="KC631" s="3"/>
      <c r="KD631" s="3"/>
      <c r="KE631" s="3"/>
      <c r="KF631" s="3"/>
      <c r="KG631" s="3"/>
      <c r="KH631" s="3"/>
      <c r="KI631" s="3"/>
      <c r="KJ631" s="3"/>
      <c r="KK631" s="3"/>
      <c r="KL631" s="3"/>
      <c r="KM631" s="3"/>
      <c r="KN631" s="3"/>
      <c r="KO631" s="3"/>
      <c r="KP631" s="3"/>
      <c r="KQ631" s="3"/>
      <c r="KR631" s="3"/>
      <c r="KS631" s="3"/>
      <c r="KT631" s="3"/>
      <c r="KU631" s="3"/>
      <c r="KV631" s="3"/>
      <c r="KW631" s="3"/>
      <c r="KX631" s="3"/>
      <c r="KY631" s="3"/>
      <c r="KZ631" s="3"/>
      <c r="LA631" s="3"/>
      <c r="LB631" s="3"/>
      <c r="LC631" s="3"/>
      <c r="LD631" s="3"/>
      <c r="LE631" s="3"/>
      <c r="LF631" s="3"/>
      <c r="LG631" s="3"/>
      <c r="LH631" s="3"/>
      <c r="LI631" s="3"/>
      <c r="LJ631" s="3"/>
      <c r="LK631" s="3"/>
      <c r="LL631" s="3"/>
      <c r="LM631" s="3"/>
      <c r="LN631" s="3"/>
      <c r="LO631" s="3"/>
      <c r="LP631" s="3"/>
      <c r="LQ631" s="3"/>
      <c r="LR631" s="3"/>
      <c r="LS631" s="3"/>
      <c r="LT631" s="3"/>
      <c r="LU631" s="3"/>
      <c r="LV631" s="3"/>
      <c r="LW631" s="3"/>
      <c r="LX631" s="3"/>
      <c r="LY631" s="3"/>
      <c r="LZ631" s="3"/>
      <c r="MA631" s="3"/>
      <c r="MB631" s="3"/>
      <c r="MC631" s="3"/>
      <c r="MD631" s="3"/>
      <c r="ME631" s="3"/>
      <c r="MF631" s="3"/>
      <c r="MG631" s="3"/>
      <c r="MH631" s="3"/>
      <c r="MI631" s="3"/>
    </row>
    <row r="632" spans="1:347"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c r="HX632" s="3"/>
      <c r="HY632" s="3"/>
      <c r="HZ632" s="3"/>
      <c r="IA632" s="3"/>
      <c r="IB632" s="3"/>
      <c r="IC632" s="3"/>
      <c r="ID632" s="3"/>
      <c r="IE632" s="3"/>
      <c r="IF632" s="3"/>
      <c r="IG632" s="3"/>
      <c r="IH632" s="3"/>
      <c r="II632" s="3"/>
      <c r="IJ632" s="3"/>
      <c r="IK632" s="3"/>
      <c r="IL632" s="3"/>
      <c r="IM632" s="3"/>
      <c r="IN632" s="3"/>
      <c r="IO632" s="3"/>
      <c r="IP632" s="3"/>
      <c r="IQ632" s="3"/>
      <c r="IR632" s="3"/>
      <c r="IS632" s="3"/>
      <c r="IT632" s="3"/>
      <c r="IU632" s="3"/>
      <c r="IV632" s="3"/>
      <c r="IW632" s="3"/>
      <c r="IX632" s="3"/>
      <c r="IY632" s="3"/>
      <c r="IZ632" s="3"/>
      <c r="JA632" s="3"/>
      <c r="JB632" s="3"/>
      <c r="JC632" s="3"/>
      <c r="JD632" s="3"/>
      <c r="JE632" s="3"/>
      <c r="JF632" s="3"/>
      <c r="JG632" s="3"/>
      <c r="JH632" s="3"/>
      <c r="JI632" s="3"/>
      <c r="JJ632" s="3"/>
      <c r="JK632" s="3"/>
      <c r="JL632" s="3"/>
      <c r="JM632" s="3"/>
      <c r="JN632" s="3"/>
      <c r="JO632" s="3"/>
      <c r="JP632" s="3"/>
      <c r="JQ632" s="3"/>
      <c r="JR632" s="3"/>
      <c r="JS632" s="3"/>
      <c r="JT632" s="3"/>
      <c r="JU632" s="3"/>
      <c r="JV632" s="3"/>
      <c r="JW632" s="3"/>
      <c r="JX632" s="3"/>
      <c r="JY632" s="3"/>
      <c r="JZ632" s="3"/>
      <c r="KA632" s="3"/>
      <c r="KB632" s="3"/>
      <c r="KC632" s="3"/>
      <c r="KD632" s="3"/>
      <c r="KE632" s="3"/>
      <c r="KF632" s="3"/>
      <c r="KG632" s="3"/>
      <c r="KH632" s="3"/>
      <c r="KI632" s="3"/>
      <c r="KJ632" s="3"/>
      <c r="KK632" s="3"/>
      <c r="KL632" s="3"/>
      <c r="KM632" s="3"/>
      <c r="KN632" s="3"/>
      <c r="KO632" s="3"/>
      <c r="KP632" s="3"/>
      <c r="KQ632" s="3"/>
      <c r="KR632" s="3"/>
      <c r="KS632" s="3"/>
      <c r="KT632" s="3"/>
      <c r="KU632" s="3"/>
      <c r="KV632" s="3"/>
      <c r="KW632" s="3"/>
      <c r="KX632" s="3"/>
      <c r="KY632" s="3"/>
      <c r="KZ632" s="3"/>
      <c r="LA632" s="3"/>
      <c r="LB632" s="3"/>
      <c r="LC632" s="3"/>
      <c r="LD632" s="3"/>
      <c r="LE632" s="3"/>
      <c r="LF632" s="3"/>
      <c r="LG632" s="3"/>
      <c r="LH632" s="3"/>
      <c r="LI632" s="3"/>
      <c r="LJ632" s="3"/>
      <c r="LK632" s="3"/>
      <c r="LL632" s="3"/>
      <c r="LM632" s="3"/>
      <c r="LN632" s="3"/>
      <c r="LO632" s="3"/>
      <c r="LP632" s="3"/>
      <c r="LQ632" s="3"/>
      <c r="LR632" s="3"/>
      <c r="LS632" s="3"/>
      <c r="LT632" s="3"/>
      <c r="LU632" s="3"/>
      <c r="LV632" s="3"/>
      <c r="LW632" s="3"/>
      <c r="LX632" s="3"/>
      <c r="LY632" s="3"/>
      <c r="LZ632" s="3"/>
      <c r="MA632" s="3"/>
      <c r="MB632" s="3"/>
      <c r="MC632" s="3"/>
      <c r="MD632" s="3"/>
      <c r="ME632" s="3"/>
      <c r="MF632" s="3"/>
      <c r="MG632" s="3"/>
      <c r="MH632" s="3"/>
      <c r="MI632" s="3"/>
    </row>
    <row r="633" spans="1:347"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c r="HX633" s="3"/>
      <c r="HY633" s="3"/>
      <c r="HZ633" s="3"/>
      <c r="IA633" s="3"/>
      <c r="IB633" s="3"/>
      <c r="IC633" s="3"/>
      <c r="ID633" s="3"/>
      <c r="IE633" s="3"/>
      <c r="IF633" s="3"/>
      <c r="IG633" s="3"/>
      <c r="IH633" s="3"/>
      <c r="II633" s="3"/>
      <c r="IJ633" s="3"/>
      <c r="IK633" s="3"/>
      <c r="IL633" s="3"/>
      <c r="IM633" s="3"/>
      <c r="IN633" s="3"/>
      <c r="IO633" s="3"/>
      <c r="IP633" s="3"/>
      <c r="IQ633" s="3"/>
      <c r="IR633" s="3"/>
      <c r="IS633" s="3"/>
      <c r="IT633" s="3"/>
      <c r="IU633" s="3"/>
      <c r="IV633" s="3"/>
      <c r="IW633" s="3"/>
      <c r="IX633" s="3"/>
      <c r="IY633" s="3"/>
      <c r="IZ633" s="3"/>
      <c r="JA633" s="3"/>
      <c r="JB633" s="3"/>
      <c r="JC633" s="3"/>
      <c r="JD633" s="3"/>
      <c r="JE633" s="3"/>
      <c r="JF633" s="3"/>
      <c r="JG633" s="3"/>
      <c r="JH633" s="3"/>
      <c r="JI633" s="3"/>
      <c r="JJ633" s="3"/>
      <c r="JK633" s="3"/>
      <c r="JL633" s="3"/>
      <c r="JM633" s="3"/>
      <c r="JN633" s="3"/>
      <c r="JO633" s="3"/>
      <c r="JP633" s="3"/>
      <c r="JQ633" s="3"/>
      <c r="JR633" s="3"/>
      <c r="JS633" s="3"/>
      <c r="JT633" s="3"/>
      <c r="JU633" s="3"/>
      <c r="JV633" s="3"/>
      <c r="JW633" s="3"/>
      <c r="JX633" s="3"/>
      <c r="JY633" s="3"/>
      <c r="JZ633" s="3"/>
      <c r="KA633" s="3"/>
      <c r="KB633" s="3"/>
      <c r="KC633" s="3"/>
      <c r="KD633" s="3"/>
      <c r="KE633" s="3"/>
      <c r="KF633" s="3"/>
      <c r="KG633" s="3"/>
      <c r="KH633" s="3"/>
      <c r="KI633" s="3"/>
      <c r="KJ633" s="3"/>
      <c r="KK633" s="3"/>
      <c r="KL633" s="3"/>
      <c r="KM633" s="3"/>
      <c r="KN633" s="3"/>
      <c r="KO633" s="3"/>
      <c r="KP633" s="3"/>
      <c r="KQ633" s="3"/>
      <c r="KR633" s="3"/>
      <c r="KS633" s="3"/>
      <c r="KT633" s="3"/>
      <c r="KU633" s="3"/>
      <c r="KV633" s="3"/>
      <c r="KW633" s="3"/>
      <c r="KX633" s="3"/>
      <c r="KY633" s="3"/>
      <c r="KZ633" s="3"/>
      <c r="LA633" s="3"/>
      <c r="LB633" s="3"/>
      <c r="LC633" s="3"/>
      <c r="LD633" s="3"/>
      <c r="LE633" s="3"/>
      <c r="LF633" s="3"/>
      <c r="LG633" s="3"/>
      <c r="LH633" s="3"/>
      <c r="LI633" s="3"/>
      <c r="LJ633" s="3"/>
      <c r="LK633" s="3"/>
      <c r="LL633" s="3"/>
      <c r="LM633" s="3"/>
      <c r="LN633" s="3"/>
      <c r="LO633" s="3"/>
      <c r="LP633" s="3"/>
      <c r="LQ633" s="3"/>
      <c r="LR633" s="3"/>
      <c r="LS633" s="3"/>
      <c r="LT633" s="3"/>
      <c r="LU633" s="3"/>
      <c r="LV633" s="3"/>
      <c r="LW633" s="3"/>
      <c r="LX633" s="3"/>
      <c r="LY633" s="3"/>
      <c r="LZ633" s="3"/>
      <c r="MA633" s="3"/>
      <c r="MB633" s="3"/>
      <c r="MC633" s="3"/>
      <c r="MD633" s="3"/>
      <c r="ME633" s="3"/>
      <c r="MF633" s="3"/>
      <c r="MG633" s="3"/>
      <c r="MH633" s="3"/>
      <c r="MI633" s="3"/>
    </row>
    <row r="634" spans="1:347"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c r="HX634" s="3"/>
      <c r="HY634" s="3"/>
      <c r="HZ634" s="3"/>
      <c r="IA634" s="3"/>
      <c r="IB634" s="3"/>
      <c r="IC634" s="3"/>
      <c r="ID634" s="3"/>
      <c r="IE634" s="3"/>
      <c r="IF634" s="3"/>
      <c r="IG634" s="3"/>
      <c r="IH634" s="3"/>
      <c r="II634" s="3"/>
      <c r="IJ634" s="3"/>
      <c r="IK634" s="3"/>
      <c r="IL634" s="3"/>
      <c r="IM634" s="3"/>
      <c r="IN634" s="3"/>
      <c r="IO634" s="3"/>
      <c r="IP634" s="3"/>
      <c r="IQ634" s="3"/>
      <c r="IR634" s="3"/>
      <c r="IS634" s="3"/>
      <c r="IT634" s="3"/>
      <c r="IU634" s="3"/>
      <c r="IV634" s="3"/>
      <c r="IW634" s="3"/>
      <c r="IX634" s="3"/>
      <c r="IY634" s="3"/>
      <c r="IZ634" s="3"/>
      <c r="JA634" s="3"/>
      <c r="JB634" s="3"/>
      <c r="JC634" s="3"/>
      <c r="JD634" s="3"/>
      <c r="JE634" s="3"/>
      <c r="JF634" s="3"/>
      <c r="JG634" s="3"/>
      <c r="JH634" s="3"/>
      <c r="JI634" s="3"/>
      <c r="JJ634" s="3"/>
      <c r="JK634" s="3"/>
      <c r="JL634" s="3"/>
      <c r="JM634" s="3"/>
      <c r="JN634" s="3"/>
      <c r="JO634" s="3"/>
      <c r="JP634" s="3"/>
      <c r="JQ634" s="3"/>
      <c r="JR634" s="3"/>
      <c r="JS634" s="3"/>
      <c r="JT634" s="3"/>
      <c r="JU634" s="3"/>
      <c r="JV634" s="3"/>
      <c r="JW634" s="3"/>
      <c r="JX634" s="3"/>
      <c r="JY634" s="3"/>
      <c r="JZ634" s="3"/>
      <c r="KA634" s="3"/>
      <c r="KB634" s="3"/>
      <c r="KC634" s="3"/>
      <c r="KD634" s="3"/>
      <c r="KE634" s="3"/>
      <c r="KF634" s="3"/>
      <c r="KG634" s="3"/>
      <c r="KH634" s="3"/>
      <c r="KI634" s="3"/>
      <c r="KJ634" s="3"/>
      <c r="KK634" s="3"/>
      <c r="KL634" s="3"/>
      <c r="KM634" s="3"/>
      <c r="KN634" s="3"/>
      <c r="KO634" s="3"/>
      <c r="KP634" s="3"/>
      <c r="KQ634" s="3"/>
      <c r="KR634" s="3"/>
      <c r="KS634" s="3"/>
      <c r="KT634" s="3"/>
      <c r="KU634" s="3"/>
      <c r="KV634" s="3"/>
      <c r="KW634" s="3"/>
      <c r="KX634" s="3"/>
      <c r="KY634" s="3"/>
      <c r="KZ634" s="3"/>
      <c r="LA634" s="3"/>
      <c r="LB634" s="3"/>
      <c r="LC634" s="3"/>
      <c r="LD634" s="3"/>
      <c r="LE634" s="3"/>
      <c r="LF634" s="3"/>
      <c r="LG634" s="3"/>
      <c r="LH634" s="3"/>
      <c r="LI634" s="3"/>
      <c r="LJ634" s="3"/>
      <c r="LK634" s="3"/>
      <c r="LL634" s="3"/>
      <c r="LM634" s="3"/>
      <c r="LN634" s="3"/>
      <c r="LO634" s="3"/>
      <c r="LP634" s="3"/>
      <c r="LQ634" s="3"/>
      <c r="LR634" s="3"/>
      <c r="LS634" s="3"/>
      <c r="LT634" s="3"/>
      <c r="LU634" s="3"/>
      <c r="LV634" s="3"/>
      <c r="LW634" s="3"/>
      <c r="LX634" s="3"/>
      <c r="LY634" s="3"/>
      <c r="LZ634" s="3"/>
      <c r="MA634" s="3"/>
      <c r="MB634" s="3"/>
      <c r="MC634" s="3"/>
      <c r="MD634" s="3"/>
      <c r="ME634" s="3"/>
      <c r="MF634" s="3"/>
      <c r="MG634" s="3"/>
      <c r="MH634" s="3"/>
      <c r="MI634" s="3"/>
    </row>
    <row r="635" spans="1:347"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c r="HX635" s="3"/>
      <c r="HY635" s="3"/>
      <c r="HZ635" s="3"/>
      <c r="IA635" s="3"/>
      <c r="IB635" s="3"/>
      <c r="IC635" s="3"/>
      <c r="ID635" s="3"/>
      <c r="IE635" s="3"/>
      <c r="IF635" s="3"/>
      <c r="IG635" s="3"/>
      <c r="IH635" s="3"/>
      <c r="II635" s="3"/>
      <c r="IJ635" s="3"/>
      <c r="IK635" s="3"/>
      <c r="IL635" s="3"/>
      <c r="IM635" s="3"/>
      <c r="IN635" s="3"/>
      <c r="IO635" s="3"/>
      <c r="IP635" s="3"/>
      <c r="IQ635" s="3"/>
      <c r="IR635" s="3"/>
      <c r="IS635" s="3"/>
      <c r="IT635" s="3"/>
      <c r="IU635" s="3"/>
      <c r="IV635" s="3"/>
      <c r="IW635" s="3"/>
      <c r="IX635" s="3"/>
      <c r="IY635" s="3"/>
      <c r="IZ635" s="3"/>
      <c r="JA635" s="3"/>
      <c r="JB635" s="3"/>
      <c r="JC635" s="3"/>
      <c r="JD635" s="3"/>
      <c r="JE635" s="3"/>
      <c r="JF635" s="3"/>
      <c r="JG635" s="3"/>
      <c r="JH635" s="3"/>
      <c r="JI635" s="3"/>
      <c r="JJ635" s="3"/>
      <c r="JK635" s="3"/>
      <c r="JL635" s="3"/>
      <c r="JM635" s="3"/>
      <c r="JN635" s="3"/>
      <c r="JO635" s="3"/>
      <c r="JP635" s="3"/>
      <c r="JQ635" s="3"/>
      <c r="JR635" s="3"/>
      <c r="JS635" s="3"/>
      <c r="JT635" s="3"/>
      <c r="JU635" s="3"/>
      <c r="JV635" s="3"/>
      <c r="JW635" s="3"/>
      <c r="JX635" s="3"/>
      <c r="JY635" s="3"/>
      <c r="JZ635" s="3"/>
      <c r="KA635" s="3"/>
      <c r="KB635" s="3"/>
      <c r="KC635" s="3"/>
      <c r="KD635" s="3"/>
      <c r="KE635" s="3"/>
      <c r="KF635" s="3"/>
      <c r="KG635" s="3"/>
      <c r="KH635" s="3"/>
      <c r="KI635" s="3"/>
      <c r="KJ635" s="3"/>
      <c r="KK635" s="3"/>
      <c r="KL635" s="3"/>
      <c r="KM635" s="3"/>
      <c r="KN635" s="3"/>
      <c r="KO635" s="3"/>
      <c r="KP635" s="3"/>
      <c r="KQ635" s="3"/>
      <c r="KR635" s="3"/>
      <c r="KS635" s="3"/>
      <c r="KT635" s="3"/>
      <c r="KU635" s="3"/>
      <c r="KV635" s="3"/>
      <c r="KW635" s="3"/>
      <c r="KX635" s="3"/>
      <c r="KY635" s="3"/>
      <c r="KZ635" s="3"/>
      <c r="LA635" s="3"/>
      <c r="LB635" s="3"/>
      <c r="LC635" s="3"/>
      <c r="LD635" s="3"/>
      <c r="LE635" s="3"/>
      <c r="LF635" s="3"/>
      <c r="LG635" s="3"/>
      <c r="LH635" s="3"/>
      <c r="LI635" s="3"/>
      <c r="LJ635" s="3"/>
      <c r="LK635" s="3"/>
      <c r="LL635" s="3"/>
      <c r="LM635" s="3"/>
      <c r="LN635" s="3"/>
      <c r="LO635" s="3"/>
      <c r="LP635" s="3"/>
      <c r="LQ635" s="3"/>
      <c r="LR635" s="3"/>
      <c r="LS635" s="3"/>
      <c r="LT635" s="3"/>
      <c r="LU635" s="3"/>
      <c r="LV635" s="3"/>
      <c r="LW635" s="3"/>
      <c r="LX635" s="3"/>
      <c r="LY635" s="3"/>
      <c r="LZ635" s="3"/>
      <c r="MA635" s="3"/>
      <c r="MB635" s="3"/>
      <c r="MC635" s="3"/>
      <c r="MD635" s="3"/>
      <c r="ME635" s="3"/>
      <c r="MF635" s="3"/>
      <c r="MG635" s="3"/>
      <c r="MH635" s="3"/>
      <c r="MI635" s="3"/>
    </row>
    <row r="636" spans="1:347"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c r="HX636" s="3"/>
      <c r="HY636" s="3"/>
      <c r="HZ636" s="3"/>
      <c r="IA636" s="3"/>
      <c r="IB636" s="3"/>
      <c r="IC636" s="3"/>
      <c r="ID636" s="3"/>
      <c r="IE636" s="3"/>
      <c r="IF636" s="3"/>
      <c r="IG636" s="3"/>
      <c r="IH636" s="3"/>
      <c r="II636" s="3"/>
      <c r="IJ636" s="3"/>
      <c r="IK636" s="3"/>
      <c r="IL636" s="3"/>
      <c r="IM636" s="3"/>
      <c r="IN636" s="3"/>
      <c r="IO636" s="3"/>
      <c r="IP636" s="3"/>
      <c r="IQ636" s="3"/>
      <c r="IR636" s="3"/>
      <c r="IS636" s="3"/>
      <c r="IT636" s="3"/>
      <c r="IU636" s="3"/>
      <c r="IV636" s="3"/>
      <c r="IW636" s="3"/>
      <c r="IX636" s="3"/>
      <c r="IY636" s="3"/>
      <c r="IZ636" s="3"/>
      <c r="JA636" s="3"/>
      <c r="JB636" s="3"/>
      <c r="JC636" s="3"/>
      <c r="JD636" s="3"/>
      <c r="JE636" s="3"/>
      <c r="JF636" s="3"/>
      <c r="JG636" s="3"/>
      <c r="JH636" s="3"/>
      <c r="JI636" s="3"/>
      <c r="JJ636" s="3"/>
      <c r="JK636" s="3"/>
      <c r="JL636" s="3"/>
      <c r="JM636" s="3"/>
      <c r="JN636" s="3"/>
      <c r="JO636" s="3"/>
      <c r="JP636" s="3"/>
      <c r="JQ636" s="3"/>
      <c r="JR636" s="3"/>
      <c r="JS636" s="3"/>
      <c r="JT636" s="3"/>
      <c r="JU636" s="3"/>
      <c r="JV636" s="3"/>
      <c r="JW636" s="3"/>
      <c r="JX636" s="3"/>
      <c r="JY636" s="3"/>
      <c r="JZ636" s="3"/>
      <c r="KA636" s="3"/>
      <c r="KB636" s="3"/>
      <c r="KC636" s="3"/>
      <c r="KD636" s="3"/>
      <c r="KE636" s="3"/>
      <c r="KF636" s="3"/>
      <c r="KG636" s="3"/>
      <c r="KH636" s="3"/>
      <c r="KI636" s="3"/>
      <c r="KJ636" s="3"/>
      <c r="KK636" s="3"/>
      <c r="KL636" s="3"/>
      <c r="KM636" s="3"/>
      <c r="KN636" s="3"/>
      <c r="KO636" s="3"/>
      <c r="KP636" s="3"/>
      <c r="KQ636" s="3"/>
      <c r="KR636" s="3"/>
      <c r="KS636" s="3"/>
      <c r="KT636" s="3"/>
      <c r="KU636" s="3"/>
      <c r="KV636" s="3"/>
      <c r="KW636" s="3"/>
      <c r="KX636" s="3"/>
      <c r="KY636" s="3"/>
      <c r="KZ636" s="3"/>
      <c r="LA636" s="3"/>
      <c r="LB636" s="3"/>
      <c r="LC636" s="3"/>
      <c r="LD636" s="3"/>
      <c r="LE636" s="3"/>
      <c r="LF636" s="3"/>
      <c r="LG636" s="3"/>
      <c r="LH636" s="3"/>
      <c r="LI636" s="3"/>
      <c r="LJ636" s="3"/>
      <c r="LK636" s="3"/>
      <c r="LL636" s="3"/>
      <c r="LM636" s="3"/>
      <c r="LN636" s="3"/>
      <c r="LO636" s="3"/>
      <c r="LP636" s="3"/>
      <c r="LQ636" s="3"/>
      <c r="LR636" s="3"/>
      <c r="LS636" s="3"/>
      <c r="LT636" s="3"/>
      <c r="LU636" s="3"/>
      <c r="LV636" s="3"/>
      <c r="LW636" s="3"/>
      <c r="LX636" s="3"/>
      <c r="LY636" s="3"/>
      <c r="LZ636" s="3"/>
      <c r="MA636" s="3"/>
      <c r="MB636" s="3"/>
      <c r="MC636" s="3"/>
      <c r="MD636" s="3"/>
      <c r="ME636" s="3"/>
      <c r="MF636" s="3"/>
      <c r="MG636" s="3"/>
      <c r="MH636" s="3"/>
      <c r="MI636" s="3"/>
    </row>
    <row r="637" spans="1:347"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c r="HX637" s="3"/>
      <c r="HY637" s="3"/>
      <c r="HZ637" s="3"/>
      <c r="IA637" s="3"/>
      <c r="IB637" s="3"/>
      <c r="IC637" s="3"/>
      <c r="ID637" s="3"/>
      <c r="IE637" s="3"/>
      <c r="IF637" s="3"/>
      <c r="IG637" s="3"/>
      <c r="IH637" s="3"/>
      <c r="II637" s="3"/>
      <c r="IJ637" s="3"/>
      <c r="IK637" s="3"/>
      <c r="IL637" s="3"/>
      <c r="IM637" s="3"/>
      <c r="IN637" s="3"/>
      <c r="IO637" s="3"/>
      <c r="IP637" s="3"/>
      <c r="IQ637" s="3"/>
      <c r="IR637" s="3"/>
      <c r="IS637" s="3"/>
      <c r="IT637" s="3"/>
      <c r="IU637" s="3"/>
      <c r="IV637" s="3"/>
      <c r="IW637" s="3"/>
      <c r="IX637" s="3"/>
      <c r="IY637" s="3"/>
      <c r="IZ637" s="3"/>
      <c r="JA637" s="3"/>
      <c r="JB637" s="3"/>
      <c r="JC637" s="3"/>
      <c r="JD637" s="3"/>
      <c r="JE637" s="3"/>
      <c r="JF637" s="3"/>
      <c r="JG637" s="3"/>
      <c r="JH637" s="3"/>
      <c r="JI637" s="3"/>
      <c r="JJ637" s="3"/>
      <c r="JK637" s="3"/>
      <c r="JL637" s="3"/>
      <c r="JM637" s="3"/>
      <c r="JN637" s="3"/>
      <c r="JO637" s="3"/>
      <c r="JP637" s="3"/>
      <c r="JQ637" s="3"/>
      <c r="JR637" s="3"/>
      <c r="JS637" s="3"/>
      <c r="JT637" s="3"/>
      <c r="JU637" s="3"/>
      <c r="JV637" s="3"/>
      <c r="JW637" s="3"/>
      <c r="JX637" s="3"/>
      <c r="JY637" s="3"/>
      <c r="JZ637" s="3"/>
      <c r="KA637" s="3"/>
      <c r="KB637" s="3"/>
      <c r="KC637" s="3"/>
      <c r="KD637" s="3"/>
      <c r="KE637" s="3"/>
      <c r="KF637" s="3"/>
      <c r="KG637" s="3"/>
      <c r="KH637" s="3"/>
      <c r="KI637" s="3"/>
      <c r="KJ637" s="3"/>
      <c r="KK637" s="3"/>
      <c r="KL637" s="3"/>
      <c r="KM637" s="3"/>
      <c r="KN637" s="3"/>
      <c r="KO637" s="3"/>
      <c r="KP637" s="3"/>
      <c r="KQ637" s="3"/>
      <c r="KR637" s="3"/>
      <c r="KS637" s="3"/>
      <c r="KT637" s="3"/>
      <c r="KU637" s="3"/>
      <c r="KV637" s="3"/>
      <c r="KW637" s="3"/>
      <c r="KX637" s="3"/>
      <c r="KY637" s="3"/>
      <c r="KZ637" s="3"/>
      <c r="LA637" s="3"/>
      <c r="LB637" s="3"/>
      <c r="LC637" s="3"/>
      <c r="LD637" s="3"/>
      <c r="LE637" s="3"/>
      <c r="LF637" s="3"/>
      <c r="LG637" s="3"/>
      <c r="LH637" s="3"/>
      <c r="LI637" s="3"/>
      <c r="LJ637" s="3"/>
      <c r="LK637" s="3"/>
      <c r="LL637" s="3"/>
      <c r="LM637" s="3"/>
      <c r="LN637" s="3"/>
      <c r="LO637" s="3"/>
      <c r="LP637" s="3"/>
      <c r="LQ637" s="3"/>
      <c r="LR637" s="3"/>
      <c r="LS637" s="3"/>
      <c r="LT637" s="3"/>
      <c r="LU637" s="3"/>
      <c r="LV637" s="3"/>
      <c r="LW637" s="3"/>
      <c r="LX637" s="3"/>
      <c r="LY637" s="3"/>
      <c r="LZ637" s="3"/>
      <c r="MA637" s="3"/>
      <c r="MB637" s="3"/>
      <c r="MC637" s="3"/>
      <c r="MD637" s="3"/>
      <c r="ME637" s="3"/>
      <c r="MF637" s="3"/>
      <c r="MG637" s="3"/>
      <c r="MH637" s="3"/>
      <c r="MI637" s="3"/>
    </row>
    <row r="638" spans="1:347"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c r="HX638" s="3"/>
      <c r="HY638" s="3"/>
      <c r="HZ638" s="3"/>
      <c r="IA638" s="3"/>
      <c r="IB638" s="3"/>
      <c r="IC638" s="3"/>
      <c r="ID638" s="3"/>
      <c r="IE638" s="3"/>
      <c r="IF638" s="3"/>
      <c r="IG638" s="3"/>
      <c r="IH638" s="3"/>
      <c r="II638" s="3"/>
      <c r="IJ638" s="3"/>
      <c r="IK638" s="3"/>
      <c r="IL638" s="3"/>
      <c r="IM638" s="3"/>
      <c r="IN638" s="3"/>
      <c r="IO638" s="3"/>
      <c r="IP638" s="3"/>
      <c r="IQ638" s="3"/>
      <c r="IR638" s="3"/>
      <c r="IS638" s="3"/>
      <c r="IT638" s="3"/>
      <c r="IU638" s="3"/>
      <c r="IV638" s="3"/>
      <c r="IW638" s="3"/>
      <c r="IX638" s="3"/>
      <c r="IY638" s="3"/>
      <c r="IZ638" s="3"/>
      <c r="JA638" s="3"/>
      <c r="JB638" s="3"/>
      <c r="JC638" s="3"/>
      <c r="JD638" s="3"/>
      <c r="JE638" s="3"/>
      <c r="JF638" s="3"/>
      <c r="JG638" s="3"/>
      <c r="JH638" s="3"/>
      <c r="JI638" s="3"/>
      <c r="JJ638" s="3"/>
      <c r="JK638" s="3"/>
      <c r="JL638" s="3"/>
      <c r="JM638" s="3"/>
      <c r="JN638" s="3"/>
      <c r="JO638" s="3"/>
      <c r="JP638" s="3"/>
      <c r="JQ638" s="3"/>
      <c r="JR638" s="3"/>
      <c r="JS638" s="3"/>
      <c r="JT638" s="3"/>
      <c r="JU638" s="3"/>
      <c r="JV638" s="3"/>
      <c r="JW638" s="3"/>
      <c r="JX638" s="3"/>
      <c r="JY638" s="3"/>
      <c r="JZ638" s="3"/>
      <c r="KA638" s="3"/>
      <c r="KB638" s="3"/>
      <c r="KC638" s="3"/>
      <c r="KD638" s="3"/>
      <c r="KE638" s="3"/>
      <c r="KF638" s="3"/>
      <c r="KG638" s="3"/>
      <c r="KH638" s="3"/>
      <c r="KI638" s="3"/>
      <c r="KJ638" s="3"/>
      <c r="KK638" s="3"/>
      <c r="KL638" s="3"/>
      <c r="KM638" s="3"/>
      <c r="KN638" s="3"/>
      <c r="KO638" s="3"/>
      <c r="KP638" s="3"/>
      <c r="KQ638" s="3"/>
      <c r="KR638" s="3"/>
      <c r="KS638" s="3"/>
      <c r="KT638" s="3"/>
      <c r="KU638" s="3"/>
      <c r="KV638" s="3"/>
      <c r="KW638" s="3"/>
      <c r="KX638" s="3"/>
      <c r="KY638" s="3"/>
      <c r="KZ638" s="3"/>
      <c r="LA638" s="3"/>
      <c r="LB638" s="3"/>
      <c r="LC638" s="3"/>
      <c r="LD638" s="3"/>
      <c r="LE638" s="3"/>
      <c r="LF638" s="3"/>
      <c r="LG638" s="3"/>
      <c r="LH638" s="3"/>
      <c r="LI638" s="3"/>
      <c r="LJ638" s="3"/>
      <c r="LK638" s="3"/>
      <c r="LL638" s="3"/>
      <c r="LM638" s="3"/>
      <c r="LN638" s="3"/>
      <c r="LO638" s="3"/>
      <c r="LP638" s="3"/>
      <c r="LQ638" s="3"/>
      <c r="LR638" s="3"/>
      <c r="LS638" s="3"/>
      <c r="LT638" s="3"/>
      <c r="LU638" s="3"/>
      <c r="LV638" s="3"/>
      <c r="LW638" s="3"/>
      <c r="LX638" s="3"/>
      <c r="LY638" s="3"/>
      <c r="LZ638" s="3"/>
      <c r="MA638" s="3"/>
      <c r="MB638" s="3"/>
      <c r="MC638" s="3"/>
      <c r="MD638" s="3"/>
      <c r="ME638" s="3"/>
      <c r="MF638" s="3"/>
      <c r="MG638" s="3"/>
      <c r="MH638" s="3"/>
      <c r="MI638" s="3"/>
    </row>
    <row r="639" spans="1:347"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c r="HX639" s="3"/>
      <c r="HY639" s="3"/>
      <c r="HZ639" s="3"/>
      <c r="IA639" s="3"/>
      <c r="IB639" s="3"/>
      <c r="IC639" s="3"/>
      <c r="ID639" s="3"/>
      <c r="IE639" s="3"/>
      <c r="IF639" s="3"/>
      <c r="IG639" s="3"/>
      <c r="IH639" s="3"/>
      <c r="II639" s="3"/>
      <c r="IJ639" s="3"/>
      <c r="IK639" s="3"/>
      <c r="IL639" s="3"/>
      <c r="IM639" s="3"/>
      <c r="IN639" s="3"/>
      <c r="IO639" s="3"/>
      <c r="IP639" s="3"/>
      <c r="IQ639" s="3"/>
      <c r="IR639" s="3"/>
      <c r="IS639" s="3"/>
      <c r="IT639" s="3"/>
      <c r="IU639" s="3"/>
      <c r="IV639" s="3"/>
      <c r="IW639" s="3"/>
      <c r="IX639" s="3"/>
      <c r="IY639" s="3"/>
      <c r="IZ639" s="3"/>
      <c r="JA639" s="3"/>
      <c r="JB639" s="3"/>
      <c r="JC639" s="3"/>
      <c r="JD639" s="3"/>
      <c r="JE639" s="3"/>
      <c r="JF639" s="3"/>
      <c r="JG639" s="3"/>
      <c r="JH639" s="3"/>
      <c r="JI639" s="3"/>
      <c r="JJ639" s="3"/>
      <c r="JK639" s="3"/>
      <c r="JL639" s="3"/>
      <c r="JM639" s="3"/>
      <c r="JN639" s="3"/>
      <c r="JO639" s="3"/>
      <c r="JP639" s="3"/>
      <c r="JQ639" s="3"/>
      <c r="JR639" s="3"/>
      <c r="JS639" s="3"/>
      <c r="JT639" s="3"/>
      <c r="JU639" s="3"/>
      <c r="JV639" s="3"/>
      <c r="JW639" s="3"/>
      <c r="JX639" s="3"/>
      <c r="JY639" s="3"/>
      <c r="JZ639" s="3"/>
      <c r="KA639" s="3"/>
      <c r="KB639" s="3"/>
      <c r="KC639" s="3"/>
      <c r="KD639" s="3"/>
      <c r="KE639" s="3"/>
      <c r="KF639" s="3"/>
      <c r="KG639" s="3"/>
      <c r="KH639" s="3"/>
      <c r="KI639" s="3"/>
      <c r="KJ639" s="3"/>
      <c r="KK639" s="3"/>
      <c r="KL639" s="3"/>
      <c r="KM639" s="3"/>
      <c r="KN639" s="3"/>
      <c r="KO639" s="3"/>
      <c r="KP639" s="3"/>
      <c r="KQ639" s="3"/>
      <c r="KR639" s="3"/>
      <c r="KS639" s="3"/>
      <c r="KT639" s="3"/>
      <c r="KU639" s="3"/>
      <c r="KV639" s="3"/>
      <c r="KW639" s="3"/>
      <c r="KX639" s="3"/>
      <c r="KY639" s="3"/>
      <c r="KZ639" s="3"/>
      <c r="LA639" s="3"/>
      <c r="LB639" s="3"/>
      <c r="LC639" s="3"/>
      <c r="LD639" s="3"/>
      <c r="LE639" s="3"/>
      <c r="LF639" s="3"/>
      <c r="LG639" s="3"/>
      <c r="LH639" s="3"/>
      <c r="LI639" s="3"/>
      <c r="LJ639" s="3"/>
      <c r="LK639" s="3"/>
      <c r="LL639" s="3"/>
      <c r="LM639" s="3"/>
      <c r="LN639" s="3"/>
      <c r="LO639" s="3"/>
      <c r="LP639" s="3"/>
      <c r="LQ639" s="3"/>
      <c r="LR639" s="3"/>
      <c r="LS639" s="3"/>
      <c r="LT639" s="3"/>
      <c r="LU639" s="3"/>
      <c r="LV639" s="3"/>
      <c r="LW639" s="3"/>
      <c r="LX639" s="3"/>
      <c r="LY639" s="3"/>
      <c r="LZ639" s="3"/>
      <c r="MA639" s="3"/>
      <c r="MB639" s="3"/>
      <c r="MC639" s="3"/>
      <c r="MD639" s="3"/>
      <c r="ME639" s="3"/>
      <c r="MF639" s="3"/>
      <c r="MG639" s="3"/>
      <c r="MH639" s="3"/>
      <c r="MI639" s="3"/>
    </row>
    <row r="640" spans="1:347"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c r="HX640" s="3"/>
      <c r="HY640" s="3"/>
      <c r="HZ640" s="3"/>
      <c r="IA640" s="3"/>
      <c r="IB640" s="3"/>
      <c r="IC640" s="3"/>
      <c r="ID640" s="3"/>
      <c r="IE640" s="3"/>
      <c r="IF640" s="3"/>
      <c r="IG640" s="3"/>
      <c r="IH640" s="3"/>
      <c r="II640" s="3"/>
      <c r="IJ640" s="3"/>
      <c r="IK640" s="3"/>
      <c r="IL640" s="3"/>
      <c r="IM640" s="3"/>
      <c r="IN640" s="3"/>
      <c r="IO640" s="3"/>
      <c r="IP640" s="3"/>
      <c r="IQ640" s="3"/>
      <c r="IR640" s="3"/>
      <c r="IS640" s="3"/>
      <c r="IT640" s="3"/>
      <c r="IU640" s="3"/>
      <c r="IV640" s="3"/>
      <c r="IW640" s="3"/>
      <c r="IX640" s="3"/>
      <c r="IY640" s="3"/>
      <c r="IZ640" s="3"/>
      <c r="JA640" s="3"/>
      <c r="JB640" s="3"/>
      <c r="JC640" s="3"/>
      <c r="JD640" s="3"/>
      <c r="JE640" s="3"/>
      <c r="JF640" s="3"/>
      <c r="JG640" s="3"/>
      <c r="JH640" s="3"/>
      <c r="JI640" s="3"/>
      <c r="JJ640" s="3"/>
      <c r="JK640" s="3"/>
      <c r="JL640" s="3"/>
      <c r="JM640" s="3"/>
      <c r="JN640" s="3"/>
      <c r="JO640" s="3"/>
      <c r="JP640" s="3"/>
      <c r="JQ640" s="3"/>
      <c r="JR640" s="3"/>
      <c r="JS640" s="3"/>
      <c r="JT640" s="3"/>
      <c r="JU640" s="3"/>
      <c r="JV640" s="3"/>
      <c r="JW640" s="3"/>
      <c r="JX640" s="3"/>
      <c r="JY640" s="3"/>
      <c r="JZ640" s="3"/>
      <c r="KA640" s="3"/>
      <c r="KB640" s="3"/>
      <c r="KC640" s="3"/>
      <c r="KD640" s="3"/>
      <c r="KE640" s="3"/>
      <c r="KF640" s="3"/>
      <c r="KG640" s="3"/>
      <c r="KH640" s="3"/>
      <c r="KI640" s="3"/>
      <c r="KJ640" s="3"/>
      <c r="KK640" s="3"/>
      <c r="KL640" s="3"/>
      <c r="KM640" s="3"/>
      <c r="KN640" s="3"/>
      <c r="KO640" s="3"/>
      <c r="KP640" s="3"/>
      <c r="KQ640" s="3"/>
      <c r="KR640" s="3"/>
      <c r="KS640" s="3"/>
      <c r="KT640" s="3"/>
      <c r="KU640" s="3"/>
      <c r="KV640" s="3"/>
      <c r="KW640" s="3"/>
      <c r="KX640" s="3"/>
      <c r="KY640" s="3"/>
      <c r="KZ640" s="3"/>
      <c r="LA640" s="3"/>
      <c r="LB640" s="3"/>
      <c r="LC640" s="3"/>
      <c r="LD640" s="3"/>
      <c r="LE640" s="3"/>
      <c r="LF640" s="3"/>
      <c r="LG640" s="3"/>
      <c r="LH640" s="3"/>
      <c r="LI640" s="3"/>
      <c r="LJ640" s="3"/>
      <c r="LK640" s="3"/>
      <c r="LL640" s="3"/>
      <c r="LM640" s="3"/>
      <c r="LN640" s="3"/>
      <c r="LO640" s="3"/>
      <c r="LP640" s="3"/>
      <c r="LQ640" s="3"/>
      <c r="LR640" s="3"/>
      <c r="LS640" s="3"/>
      <c r="LT640" s="3"/>
      <c r="LU640" s="3"/>
      <c r="LV640" s="3"/>
      <c r="LW640" s="3"/>
      <c r="LX640" s="3"/>
      <c r="LY640" s="3"/>
      <c r="LZ640" s="3"/>
      <c r="MA640" s="3"/>
      <c r="MB640" s="3"/>
      <c r="MC640" s="3"/>
      <c r="MD640" s="3"/>
      <c r="ME640" s="3"/>
      <c r="MF640" s="3"/>
      <c r="MG640" s="3"/>
      <c r="MH640" s="3"/>
      <c r="MI640" s="3"/>
    </row>
    <row r="641" spans="1:347"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c r="HX641" s="3"/>
      <c r="HY641" s="3"/>
      <c r="HZ641" s="3"/>
      <c r="IA641" s="3"/>
      <c r="IB641" s="3"/>
      <c r="IC641" s="3"/>
      <c r="ID641" s="3"/>
      <c r="IE641" s="3"/>
      <c r="IF641" s="3"/>
      <c r="IG641" s="3"/>
      <c r="IH641" s="3"/>
      <c r="II641" s="3"/>
      <c r="IJ641" s="3"/>
      <c r="IK641" s="3"/>
      <c r="IL641" s="3"/>
      <c r="IM641" s="3"/>
      <c r="IN641" s="3"/>
      <c r="IO641" s="3"/>
      <c r="IP641" s="3"/>
      <c r="IQ641" s="3"/>
      <c r="IR641" s="3"/>
      <c r="IS641" s="3"/>
      <c r="IT641" s="3"/>
      <c r="IU641" s="3"/>
      <c r="IV641" s="3"/>
      <c r="IW641" s="3"/>
      <c r="IX641" s="3"/>
      <c r="IY641" s="3"/>
      <c r="IZ641" s="3"/>
      <c r="JA641" s="3"/>
      <c r="JB641" s="3"/>
      <c r="JC641" s="3"/>
      <c r="JD641" s="3"/>
      <c r="JE641" s="3"/>
      <c r="JF641" s="3"/>
      <c r="JG641" s="3"/>
      <c r="JH641" s="3"/>
      <c r="JI641" s="3"/>
      <c r="JJ641" s="3"/>
      <c r="JK641" s="3"/>
      <c r="JL641" s="3"/>
      <c r="JM641" s="3"/>
      <c r="JN641" s="3"/>
      <c r="JO641" s="3"/>
      <c r="JP641" s="3"/>
      <c r="JQ641" s="3"/>
      <c r="JR641" s="3"/>
      <c r="JS641" s="3"/>
      <c r="JT641" s="3"/>
      <c r="JU641" s="3"/>
      <c r="JV641" s="3"/>
      <c r="JW641" s="3"/>
      <c r="JX641" s="3"/>
      <c r="JY641" s="3"/>
      <c r="JZ641" s="3"/>
      <c r="KA641" s="3"/>
      <c r="KB641" s="3"/>
      <c r="KC641" s="3"/>
      <c r="KD641" s="3"/>
      <c r="KE641" s="3"/>
      <c r="KF641" s="3"/>
      <c r="KG641" s="3"/>
      <c r="KH641" s="3"/>
      <c r="KI641" s="3"/>
      <c r="KJ641" s="3"/>
      <c r="KK641" s="3"/>
      <c r="KL641" s="3"/>
      <c r="KM641" s="3"/>
      <c r="KN641" s="3"/>
      <c r="KO641" s="3"/>
      <c r="KP641" s="3"/>
      <c r="KQ641" s="3"/>
      <c r="KR641" s="3"/>
      <c r="KS641" s="3"/>
      <c r="KT641" s="3"/>
      <c r="KU641" s="3"/>
      <c r="KV641" s="3"/>
      <c r="KW641" s="3"/>
      <c r="KX641" s="3"/>
      <c r="KY641" s="3"/>
      <c r="KZ641" s="3"/>
      <c r="LA641" s="3"/>
      <c r="LB641" s="3"/>
      <c r="LC641" s="3"/>
      <c r="LD641" s="3"/>
      <c r="LE641" s="3"/>
      <c r="LF641" s="3"/>
      <c r="LG641" s="3"/>
      <c r="LH641" s="3"/>
      <c r="LI641" s="3"/>
      <c r="LJ641" s="3"/>
      <c r="LK641" s="3"/>
      <c r="LL641" s="3"/>
      <c r="LM641" s="3"/>
      <c r="LN641" s="3"/>
      <c r="LO641" s="3"/>
      <c r="LP641" s="3"/>
      <c r="LQ641" s="3"/>
      <c r="LR641" s="3"/>
      <c r="LS641" s="3"/>
      <c r="LT641" s="3"/>
      <c r="LU641" s="3"/>
      <c r="LV641" s="3"/>
      <c r="LW641" s="3"/>
      <c r="LX641" s="3"/>
      <c r="LY641" s="3"/>
      <c r="LZ641" s="3"/>
      <c r="MA641" s="3"/>
      <c r="MB641" s="3"/>
      <c r="MC641" s="3"/>
      <c r="MD641" s="3"/>
      <c r="ME641" s="3"/>
      <c r="MF641" s="3"/>
      <c r="MG641" s="3"/>
      <c r="MH641" s="3"/>
      <c r="MI641" s="3"/>
    </row>
    <row r="642" spans="1:347"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c r="HX642" s="3"/>
      <c r="HY642" s="3"/>
      <c r="HZ642" s="3"/>
      <c r="IA642" s="3"/>
      <c r="IB642" s="3"/>
      <c r="IC642" s="3"/>
      <c r="ID642" s="3"/>
      <c r="IE642" s="3"/>
      <c r="IF642" s="3"/>
      <c r="IG642" s="3"/>
      <c r="IH642" s="3"/>
      <c r="II642" s="3"/>
      <c r="IJ642" s="3"/>
      <c r="IK642" s="3"/>
      <c r="IL642" s="3"/>
      <c r="IM642" s="3"/>
      <c r="IN642" s="3"/>
      <c r="IO642" s="3"/>
      <c r="IP642" s="3"/>
      <c r="IQ642" s="3"/>
      <c r="IR642" s="3"/>
      <c r="IS642" s="3"/>
      <c r="IT642" s="3"/>
      <c r="IU642" s="3"/>
      <c r="IV642" s="3"/>
      <c r="IW642" s="3"/>
      <c r="IX642" s="3"/>
      <c r="IY642" s="3"/>
      <c r="IZ642" s="3"/>
      <c r="JA642" s="3"/>
      <c r="JB642" s="3"/>
      <c r="JC642" s="3"/>
      <c r="JD642" s="3"/>
      <c r="JE642" s="3"/>
      <c r="JF642" s="3"/>
      <c r="JG642" s="3"/>
      <c r="JH642" s="3"/>
      <c r="JI642" s="3"/>
      <c r="JJ642" s="3"/>
      <c r="JK642" s="3"/>
      <c r="JL642" s="3"/>
      <c r="JM642" s="3"/>
      <c r="JN642" s="3"/>
      <c r="JO642" s="3"/>
      <c r="JP642" s="3"/>
      <c r="JQ642" s="3"/>
      <c r="JR642" s="3"/>
      <c r="JS642" s="3"/>
      <c r="JT642" s="3"/>
      <c r="JU642" s="3"/>
      <c r="JV642" s="3"/>
      <c r="JW642" s="3"/>
      <c r="JX642" s="3"/>
      <c r="JY642" s="3"/>
      <c r="JZ642" s="3"/>
      <c r="KA642" s="3"/>
      <c r="KB642" s="3"/>
      <c r="KC642" s="3"/>
      <c r="KD642" s="3"/>
      <c r="KE642" s="3"/>
      <c r="KF642" s="3"/>
      <c r="KG642" s="3"/>
      <c r="KH642" s="3"/>
      <c r="KI642" s="3"/>
      <c r="KJ642" s="3"/>
      <c r="KK642" s="3"/>
      <c r="KL642" s="3"/>
      <c r="KM642" s="3"/>
      <c r="KN642" s="3"/>
      <c r="KO642" s="3"/>
      <c r="KP642" s="3"/>
      <c r="KQ642" s="3"/>
      <c r="KR642" s="3"/>
      <c r="KS642" s="3"/>
      <c r="KT642" s="3"/>
      <c r="KU642" s="3"/>
      <c r="KV642" s="3"/>
      <c r="KW642" s="3"/>
      <c r="KX642" s="3"/>
      <c r="KY642" s="3"/>
      <c r="KZ642" s="3"/>
      <c r="LA642" s="3"/>
      <c r="LB642" s="3"/>
      <c r="LC642" s="3"/>
      <c r="LD642" s="3"/>
      <c r="LE642" s="3"/>
      <c r="LF642" s="3"/>
      <c r="LG642" s="3"/>
      <c r="LH642" s="3"/>
      <c r="LI642" s="3"/>
      <c r="LJ642" s="3"/>
      <c r="LK642" s="3"/>
      <c r="LL642" s="3"/>
      <c r="LM642" s="3"/>
      <c r="LN642" s="3"/>
      <c r="LO642" s="3"/>
      <c r="LP642" s="3"/>
      <c r="LQ642" s="3"/>
      <c r="LR642" s="3"/>
      <c r="LS642" s="3"/>
      <c r="LT642" s="3"/>
      <c r="LU642" s="3"/>
      <c r="LV642" s="3"/>
      <c r="LW642" s="3"/>
      <c r="LX642" s="3"/>
      <c r="LY642" s="3"/>
      <c r="LZ642" s="3"/>
      <c r="MA642" s="3"/>
      <c r="MB642" s="3"/>
      <c r="MC642" s="3"/>
      <c r="MD642" s="3"/>
      <c r="ME642" s="3"/>
      <c r="MF642" s="3"/>
      <c r="MG642" s="3"/>
      <c r="MH642" s="3"/>
      <c r="MI642" s="3"/>
    </row>
    <row r="643" spans="1:347"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c r="HX643" s="3"/>
      <c r="HY643" s="3"/>
      <c r="HZ643" s="3"/>
      <c r="IA643" s="3"/>
      <c r="IB643" s="3"/>
      <c r="IC643" s="3"/>
      <c r="ID643" s="3"/>
      <c r="IE643" s="3"/>
      <c r="IF643" s="3"/>
      <c r="IG643" s="3"/>
      <c r="IH643" s="3"/>
      <c r="II643" s="3"/>
      <c r="IJ643" s="3"/>
      <c r="IK643" s="3"/>
      <c r="IL643" s="3"/>
      <c r="IM643" s="3"/>
      <c r="IN643" s="3"/>
      <c r="IO643" s="3"/>
      <c r="IP643" s="3"/>
      <c r="IQ643" s="3"/>
      <c r="IR643" s="3"/>
      <c r="IS643" s="3"/>
      <c r="IT643" s="3"/>
      <c r="IU643" s="3"/>
      <c r="IV643" s="3"/>
      <c r="IW643" s="3"/>
      <c r="IX643" s="3"/>
      <c r="IY643" s="3"/>
      <c r="IZ643" s="3"/>
      <c r="JA643" s="3"/>
      <c r="JB643" s="3"/>
      <c r="JC643" s="3"/>
      <c r="JD643" s="3"/>
      <c r="JE643" s="3"/>
      <c r="JF643" s="3"/>
      <c r="JG643" s="3"/>
      <c r="JH643" s="3"/>
      <c r="JI643" s="3"/>
      <c r="JJ643" s="3"/>
      <c r="JK643" s="3"/>
      <c r="JL643" s="3"/>
      <c r="JM643" s="3"/>
      <c r="JN643" s="3"/>
      <c r="JO643" s="3"/>
      <c r="JP643" s="3"/>
      <c r="JQ643" s="3"/>
      <c r="JR643" s="3"/>
      <c r="JS643" s="3"/>
      <c r="JT643" s="3"/>
      <c r="JU643" s="3"/>
      <c r="JV643" s="3"/>
      <c r="JW643" s="3"/>
      <c r="JX643" s="3"/>
      <c r="JY643" s="3"/>
      <c r="JZ643" s="3"/>
      <c r="KA643" s="3"/>
      <c r="KB643" s="3"/>
      <c r="KC643" s="3"/>
      <c r="KD643" s="3"/>
      <c r="KE643" s="3"/>
      <c r="KF643" s="3"/>
      <c r="KG643" s="3"/>
      <c r="KH643" s="3"/>
      <c r="KI643" s="3"/>
      <c r="KJ643" s="3"/>
      <c r="KK643" s="3"/>
      <c r="KL643" s="3"/>
      <c r="KM643" s="3"/>
      <c r="KN643" s="3"/>
      <c r="KO643" s="3"/>
      <c r="KP643" s="3"/>
      <c r="KQ643" s="3"/>
      <c r="KR643" s="3"/>
      <c r="KS643" s="3"/>
      <c r="KT643" s="3"/>
      <c r="KU643" s="3"/>
      <c r="KV643" s="3"/>
      <c r="KW643" s="3"/>
      <c r="KX643" s="3"/>
      <c r="KY643" s="3"/>
      <c r="KZ643" s="3"/>
      <c r="LA643" s="3"/>
      <c r="LB643" s="3"/>
      <c r="LC643" s="3"/>
      <c r="LD643" s="3"/>
      <c r="LE643" s="3"/>
      <c r="LF643" s="3"/>
      <c r="LG643" s="3"/>
      <c r="LH643" s="3"/>
      <c r="LI643" s="3"/>
      <c r="LJ643" s="3"/>
      <c r="LK643" s="3"/>
      <c r="LL643" s="3"/>
      <c r="LM643" s="3"/>
      <c r="LN643" s="3"/>
      <c r="LO643" s="3"/>
      <c r="LP643" s="3"/>
      <c r="LQ643" s="3"/>
      <c r="LR643" s="3"/>
      <c r="LS643" s="3"/>
      <c r="LT643" s="3"/>
      <c r="LU643" s="3"/>
      <c r="LV643" s="3"/>
      <c r="LW643" s="3"/>
      <c r="LX643" s="3"/>
      <c r="LY643" s="3"/>
      <c r="LZ643" s="3"/>
      <c r="MA643" s="3"/>
      <c r="MB643" s="3"/>
      <c r="MC643" s="3"/>
      <c r="MD643" s="3"/>
      <c r="ME643" s="3"/>
      <c r="MF643" s="3"/>
      <c r="MG643" s="3"/>
      <c r="MH643" s="3"/>
      <c r="MI643" s="3"/>
    </row>
    <row r="644" spans="1:347"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c r="HX644" s="3"/>
      <c r="HY644" s="3"/>
      <c r="HZ644" s="3"/>
      <c r="IA644" s="3"/>
      <c r="IB644" s="3"/>
      <c r="IC644" s="3"/>
      <c r="ID644" s="3"/>
      <c r="IE644" s="3"/>
      <c r="IF644" s="3"/>
      <c r="IG644" s="3"/>
      <c r="IH644" s="3"/>
      <c r="II644" s="3"/>
      <c r="IJ644" s="3"/>
      <c r="IK644" s="3"/>
      <c r="IL644" s="3"/>
      <c r="IM644" s="3"/>
      <c r="IN644" s="3"/>
      <c r="IO644" s="3"/>
      <c r="IP644" s="3"/>
      <c r="IQ644" s="3"/>
      <c r="IR644" s="3"/>
      <c r="IS644" s="3"/>
      <c r="IT644" s="3"/>
      <c r="IU644" s="3"/>
      <c r="IV644" s="3"/>
      <c r="IW644" s="3"/>
      <c r="IX644" s="3"/>
      <c r="IY644" s="3"/>
      <c r="IZ644" s="3"/>
      <c r="JA644" s="3"/>
      <c r="JB644" s="3"/>
      <c r="JC644" s="3"/>
      <c r="JD644" s="3"/>
      <c r="JE644" s="3"/>
      <c r="JF644" s="3"/>
      <c r="JG644" s="3"/>
      <c r="JH644" s="3"/>
      <c r="JI644" s="3"/>
      <c r="JJ644" s="3"/>
      <c r="JK644" s="3"/>
      <c r="JL644" s="3"/>
      <c r="JM644" s="3"/>
      <c r="JN644" s="3"/>
      <c r="JO644" s="3"/>
      <c r="JP644" s="3"/>
      <c r="JQ644" s="3"/>
      <c r="JR644" s="3"/>
      <c r="JS644" s="3"/>
      <c r="JT644" s="3"/>
      <c r="JU644" s="3"/>
      <c r="JV644" s="3"/>
      <c r="JW644" s="3"/>
      <c r="JX644" s="3"/>
      <c r="JY644" s="3"/>
      <c r="JZ644" s="3"/>
      <c r="KA644" s="3"/>
      <c r="KB644" s="3"/>
      <c r="KC644" s="3"/>
      <c r="KD644" s="3"/>
      <c r="KE644" s="3"/>
      <c r="KF644" s="3"/>
      <c r="KG644" s="3"/>
      <c r="KH644" s="3"/>
      <c r="KI644" s="3"/>
      <c r="KJ644" s="3"/>
      <c r="KK644" s="3"/>
      <c r="KL644" s="3"/>
      <c r="KM644" s="3"/>
      <c r="KN644" s="3"/>
      <c r="KO644" s="3"/>
      <c r="KP644" s="3"/>
      <c r="KQ644" s="3"/>
      <c r="KR644" s="3"/>
      <c r="KS644" s="3"/>
      <c r="KT644" s="3"/>
      <c r="KU644" s="3"/>
      <c r="KV644" s="3"/>
      <c r="KW644" s="3"/>
      <c r="KX644" s="3"/>
      <c r="KY644" s="3"/>
      <c r="KZ644" s="3"/>
      <c r="LA644" s="3"/>
      <c r="LB644" s="3"/>
      <c r="LC644" s="3"/>
      <c r="LD644" s="3"/>
      <c r="LE644" s="3"/>
      <c r="LF644" s="3"/>
      <c r="LG644" s="3"/>
      <c r="LH644" s="3"/>
      <c r="LI644" s="3"/>
      <c r="LJ644" s="3"/>
      <c r="LK644" s="3"/>
      <c r="LL644" s="3"/>
      <c r="LM644" s="3"/>
      <c r="LN644" s="3"/>
      <c r="LO644" s="3"/>
      <c r="LP644" s="3"/>
      <c r="LQ644" s="3"/>
      <c r="LR644" s="3"/>
      <c r="LS644" s="3"/>
      <c r="LT644" s="3"/>
      <c r="LU644" s="3"/>
      <c r="LV644" s="3"/>
      <c r="LW644" s="3"/>
      <c r="LX644" s="3"/>
      <c r="LY644" s="3"/>
      <c r="LZ644" s="3"/>
      <c r="MA644" s="3"/>
      <c r="MB644" s="3"/>
      <c r="MC644" s="3"/>
      <c r="MD644" s="3"/>
      <c r="ME644" s="3"/>
      <c r="MF644" s="3"/>
      <c r="MG644" s="3"/>
      <c r="MH644" s="3"/>
      <c r="MI644" s="3"/>
    </row>
    <row r="645" spans="1:347"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c r="HX645" s="3"/>
      <c r="HY645" s="3"/>
      <c r="HZ645" s="3"/>
      <c r="IA645" s="3"/>
      <c r="IB645" s="3"/>
      <c r="IC645" s="3"/>
      <c r="ID645" s="3"/>
      <c r="IE645" s="3"/>
      <c r="IF645" s="3"/>
      <c r="IG645" s="3"/>
      <c r="IH645" s="3"/>
      <c r="II645" s="3"/>
      <c r="IJ645" s="3"/>
      <c r="IK645" s="3"/>
      <c r="IL645" s="3"/>
      <c r="IM645" s="3"/>
      <c r="IN645" s="3"/>
      <c r="IO645" s="3"/>
      <c r="IP645" s="3"/>
      <c r="IQ645" s="3"/>
      <c r="IR645" s="3"/>
      <c r="IS645" s="3"/>
      <c r="IT645" s="3"/>
      <c r="IU645" s="3"/>
      <c r="IV645" s="3"/>
      <c r="IW645" s="3"/>
      <c r="IX645" s="3"/>
      <c r="IY645" s="3"/>
      <c r="IZ645" s="3"/>
      <c r="JA645" s="3"/>
      <c r="JB645" s="3"/>
      <c r="JC645" s="3"/>
      <c r="JD645" s="3"/>
      <c r="JE645" s="3"/>
      <c r="JF645" s="3"/>
      <c r="JG645" s="3"/>
      <c r="JH645" s="3"/>
      <c r="JI645" s="3"/>
      <c r="JJ645" s="3"/>
      <c r="JK645" s="3"/>
      <c r="JL645" s="3"/>
      <c r="JM645" s="3"/>
      <c r="JN645" s="3"/>
      <c r="JO645" s="3"/>
      <c r="JP645" s="3"/>
      <c r="JQ645" s="3"/>
      <c r="JR645" s="3"/>
      <c r="JS645" s="3"/>
      <c r="JT645" s="3"/>
      <c r="JU645" s="3"/>
      <c r="JV645" s="3"/>
      <c r="JW645" s="3"/>
      <c r="JX645" s="3"/>
      <c r="JY645" s="3"/>
      <c r="JZ645" s="3"/>
      <c r="KA645" s="3"/>
      <c r="KB645" s="3"/>
      <c r="KC645" s="3"/>
      <c r="KD645" s="3"/>
      <c r="KE645" s="3"/>
      <c r="KF645" s="3"/>
      <c r="KG645" s="3"/>
      <c r="KH645" s="3"/>
      <c r="KI645" s="3"/>
      <c r="KJ645" s="3"/>
      <c r="KK645" s="3"/>
      <c r="KL645" s="3"/>
      <c r="KM645" s="3"/>
      <c r="KN645" s="3"/>
      <c r="KO645" s="3"/>
      <c r="KP645" s="3"/>
      <c r="KQ645" s="3"/>
      <c r="KR645" s="3"/>
      <c r="KS645" s="3"/>
      <c r="KT645" s="3"/>
      <c r="KU645" s="3"/>
      <c r="KV645" s="3"/>
      <c r="KW645" s="3"/>
      <c r="KX645" s="3"/>
      <c r="KY645" s="3"/>
      <c r="KZ645" s="3"/>
      <c r="LA645" s="3"/>
      <c r="LB645" s="3"/>
      <c r="LC645" s="3"/>
      <c r="LD645" s="3"/>
      <c r="LE645" s="3"/>
      <c r="LF645" s="3"/>
      <c r="LG645" s="3"/>
      <c r="LH645" s="3"/>
      <c r="LI645" s="3"/>
      <c r="LJ645" s="3"/>
      <c r="LK645" s="3"/>
      <c r="LL645" s="3"/>
      <c r="LM645" s="3"/>
      <c r="LN645" s="3"/>
      <c r="LO645" s="3"/>
      <c r="LP645" s="3"/>
      <c r="LQ645" s="3"/>
      <c r="LR645" s="3"/>
      <c r="LS645" s="3"/>
      <c r="LT645" s="3"/>
      <c r="LU645" s="3"/>
      <c r="LV645" s="3"/>
      <c r="LW645" s="3"/>
      <c r="LX645" s="3"/>
      <c r="LY645" s="3"/>
      <c r="LZ645" s="3"/>
      <c r="MA645" s="3"/>
      <c r="MB645" s="3"/>
      <c r="MC645" s="3"/>
      <c r="MD645" s="3"/>
      <c r="ME645" s="3"/>
      <c r="MF645" s="3"/>
      <c r="MG645" s="3"/>
      <c r="MH645" s="3"/>
      <c r="MI645" s="3"/>
    </row>
    <row r="646" spans="1:347"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c r="HX646" s="3"/>
      <c r="HY646" s="3"/>
      <c r="HZ646" s="3"/>
      <c r="IA646" s="3"/>
      <c r="IB646" s="3"/>
      <c r="IC646" s="3"/>
      <c r="ID646" s="3"/>
      <c r="IE646" s="3"/>
      <c r="IF646" s="3"/>
      <c r="IG646" s="3"/>
      <c r="IH646" s="3"/>
      <c r="II646" s="3"/>
      <c r="IJ646" s="3"/>
      <c r="IK646" s="3"/>
      <c r="IL646" s="3"/>
      <c r="IM646" s="3"/>
      <c r="IN646" s="3"/>
      <c r="IO646" s="3"/>
      <c r="IP646" s="3"/>
      <c r="IQ646" s="3"/>
      <c r="IR646" s="3"/>
      <c r="IS646" s="3"/>
      <c r="IT646" s="3"/>
      <c r="IU646" s="3"/>
      <c r="IV646" s="3"/>
      <c r="IW646" s="3"/>
      <c r="IX646" s="3"/>
      <c r="IY646" s="3"/>
      <c r="IZ646" s="3"/>
      <c r="JA646" s="3"/>
      <c r="JB646" s="3"/>
      <c r="JC646" s="3"/>
      <c r="JD646" s="3"/>
      <c r="JE646" s="3"/>
      <c r="JF646" s="3"/>
      <c r="JG646" s="3"/>
      <c r="JH646" s="3"/>
      <c r="JI646" s="3"/>
      <c r="JJ646" s="3"/>
      <c r="JK646" s="3"/>
      <c r="JL646" s="3"/>
      <c r="JM646" s="3"/>
      <c r="JN646" s="3"/>
      <c r="JO646" s="3"/>
      <c r="JP646" s="3"/>
      <c r="JQ646" s="3"/>
      <c r="JR646" s="3"/>
      <c r="JS646" s="3"/>
      <c r="JT646" s="3"/>
      <c r="JU646" s="3"/>
      <c r="JV646" s="3"/>
      <c r="JW646" s="3"/>
      <c r="JX646" s="3"/>
      <c r="JY646" s="3"/>
      <c r="JZ646" s="3"/>
      <c r="KA646" s="3"/>
      <c r="KB646" s="3"/>
      <c r="KC646" s="3"/>
      <c r="KD646" s="3"/>
      <c r="KE646" s="3"/>
      <c r="KF646" s="3"/>
      <c r="KG646" s="3"/>
      <c r="KH646" s="3"/>
      <c r="KI646" s="3"/>
      <c r="KJ646" s="3"/>
      <c r="KK646" s="3"/>
      <c r="KL646" s="3"/>
      <c r="KM646" s="3"/>
      <c r="KN646" s="3"/>
      <c r="KO646" s="3"/>
      <c r="KP646" s="3"/>
      <c r="KQ646" s="3"/>
      <c r="KR646" s="3"/>
      <c r="KS646" s="3"/>
      <c r="KT646" s="3"/>
      <c r="KU646" s="3"/>
      <c r="KV646" s="3"/>
      <c r="KW646" s="3"/>
      <c r="KX646" s="3"/>
      <c r="KY646" s="3"/>
      <c r="KZ646" s="3"/>
      <c r="LA646" s="3"/>
      <c r="LB646" s="3"/>
      <c r="LC646" s="3"/>
      <c r="LD646" s="3"/>
      <c r="LE646" s="3"/>
      <c r="LF646" s="3"/>
      <c r="LG646" s="3"/>
      <c r="LH646" s="3"/>
      <c r="LI646" s="3"/>
      <c r="LJ646" s="3"/>
      <c r="LK646" s="3"/>
      <c r="LL646" s="3"/>
      <c r="LM646" s="3"/>
      <c r="LN646" s="3"/>
      <c r="LO646" s="3"/>
      <c r="LP646" s="3"/>
      <c r="LQ646" s="3"/>
      <c r="LR646" s="3"/>
      <c r="LS646" s="3"/>
      <c r="LT646" s="3"/>
      <c r="LU646" s="3"/>
      <c r="LV646" s="3"/>
      <c r="LW646" s="3"/>
      <c r="LX646" s="3"/>
      <c r="LY646" s="3"/>
      <c r="LZ646" s="3"/>
      <c r="MA646" s="3"/>
      <c r="MB646" s="3"/>
      <c r="MC646" s="3"/>
      <c r="MD646" s="3"/>
      <c r="ME646" s="3"/>
      <c r="MF646" s="3"/>
      <c r="MG646" s="3"/>
      <c r="MH646" s="3"/>
      <c r="MI646" s="3"/>
    </row>
    <row r="647" spans="1:347"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c r="HX647" s="3"/>
      <c r="HY647" s="3"/>
      <c r="HZ647" s="3"/>
      <c r="IA647" s="3"/>
      <c r="IB647" s="3"/>
      <c r="IC647" s="3"/>
      <c r="ID647" s="3"/>
      <c r="IE647" s="3"/>
      <c r="IF647" s="3"/>
      <c r="IG647" s="3"/>
      <c r="IH647" s="3"/>
      <c r="II647" s="3"/>
      <c r="IJ647" s="3"/>
      <c r="IK647" s="3"/>
      <c r="IL647" s="3"/>
      <c r="IM647" s="3"/>
      <c r="IN647" s="3"/>
      <c r="IO647" s="3"/>
      <c r="IP647" s="3"/>
      <c r="IQ647" s="3"/>
      <c r="IR647" s="3"/>
      <c r="IS647" s="3"/>
      <c r="IT647" s="3"/>
      <c r="IU647" s="3"/>
      <c r="IV647" s="3"/>
      <c r="IW647" s="3"/>
      <c r="IX647" s="3"/>
      <c r="IY647" s="3"/>
      <c r="IZ647" s="3"/>
      <c r="JA647" s="3"/>
      <c r="JB647" s="3"/>
      <c r="JC647" s="3"/>
      <c r="JD647" s="3"/>
      <c r="JE647" s="3"/>
      <c r="JF647" s="3"/>
      <c r="JG647" s="3"/>
      <c r="JH647" s="3"/>
      <c r="JI647" s="3"/>
      <c r="JJ647" s="3"/>
      <c r="JK647" s="3"/>
      <c r="JL647" s="3"/>
      <c r="JM647" s="3"/>
      <c r="JN647" s="3"/>
      <c r="JO647" s="3"/>
      <c r="JP647" s="3"/>
      <c r="JQ647" s="3"/>
      <c r="JR647" s="3"/>
      <c r="JS647" s="3"/>
      <c r="JT647" s="3"/>
      <c r="JU647" s="3"/>
      <c r="JV647" s="3"/>
      <c r="JW647" s="3"/>
      <c r="JX647" s="3"/>
      <c r="JY647" s="3"/>
      <c r="JZ647" s="3"/>
      <c r="KA647" s="3"/>
      <c r="KB647" s="3"/>
      <c r="KC647" s="3"/>
      <c r="KD647" s="3"/>
      <c r="KE647" s="3"/>
      <c r="KF647" s="3"/>
      <c r="KG647" s="3"/>
      <c r="KH647" s="3"/>
      <c r="KI647" s="3"/>
      <c r="KJ647" s="3"/>
      <c r="KK647" s="3"/>
      <c r="KL647" s="3"/>
      <c r="KM647" s="3"/>
      <c r="KN647" s="3"/>
      <c r="KO647" s="3"/>
      <c r="KP647" s="3"/>
      <c r="KQ647" s="3"/>
      <c r="KR647" s="3"/>
      <c r="KS647" s="3"/>
      <c r="KT647" s="3"/>
      <c r="KU647" s="3"/>
      <c r="KV647" s="3"/>
      <c r="KW647" s="3"/>
      <c r="KX647" s="3"/>
      <c r="KY647" s="3"/>
      <c r="KZ647" s="3"/>
      <c r="LA647" s="3"/>
      <c r="LB647" s="3"/>
      <c r="LC647" s="3"/>
      <c r="LD647" s="3"/>
      <c r="LE647" s="3"/>
      <c r="LF647" s="3"/>
      <c r="LG647" s="3"/>
      <c r="LH647" s="3"/>
      <c r="LI647" s="3"/>
      <c r="LJ647" s="3"/>
      <c r="LK647" s="3"/>
      <c r="LL647" s="3"/>
      <c r="LM647" s="3"/>
      <c r="LN647" s="3"/>
      <c r="LO647" s="3"/>
      <c r="LP647" s="3"/>
      <c r="LQ647" s="3"/>
      <c r="LR647" s="3"/>
      <c r="LS647" s="3"/>
      <c r="LT647" s="3"/>
      <c r="LU647" s="3"/>
      <c r="LV647" s="3"/>
      <c r="LW647" s="3"/>
      <c r="LX647" s="3"/>
      <c r="LY647" s="3"/>
      <c r="LZ647" s="3"/>
      <c r="MA647" s="3"/>
      <c r="MB647" s="3"/>
      <c r="MC647" s="3"/>
      <c r="MD647" s="3"/>
      <c r="ME647" s="3"/>
      <c r="MF647" s="3"/>
      <c r="MG647" s="3"/>
      <c r="MH647" s="3"/>
      <c r="MI647" s="3"/>
    </row>
    <row r="648" spans="1:347"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c r="HX648" s="3"/>
      <c r="HY648" s="3"/>
      <c r="HZ648" s="3"/>
      <c r="IA648" s="3"/>
      <c r="IB648" s="3"/>
      <c r="IC648" s="3"/>
      <c r="ID648" s="3"/>
      <c r="IE648" s="3"/>
      <c r="IF648" s="3"/>
      <c r="IG648" s="3"/>
      <c r="IH648" s="3"/>
      <c r="II648" s="3"/>
      <c r="IJ648" s="3"/>
      <c r="IK648" s="3"/>
      <c r="IL648" s="3"/>
      <c r="IM648" s="3"/>
      <c r="IN648" s="3"/>
      <c r="IO648" s="3"/>
      <c r="IP648" s="3"/>
      <c r="IQ648" s="3"/>
      <c r="IR648" s="3"/>
      <c r="IS648" s="3"/>
      <c r="IT648" s="3"/>
      <c r="IU648" s="3"/>
      <c r="IV648" s="3"/>
      <c r="IW648" s="3"/>
      <c r="IX648" s="3"/>
      <c r="IY648" s="3"/>
      <c r="IZ648" s="3"/>
      <c r="JA648" s="3"/>
      <c r="JB648" s="3"/>
      <c r="JC648" s="3"/>
      <c r="JD648" s="3"/>
      <c r="JE648" s="3"/>
      <c r="JF648" s="3"/>
      <c r="JG648" s="3"/>
      <c r="JH648" s="3"/>
      <c r="JI648" s="3"/>
      <c r="JJ648" s="3"/>
      <c r="JK648" s="3"/>
      <c r="JL648" s="3"/>
      <c r="JM648" s="3"/>
      <c r="JN648" s="3"/>
      <c r="JO648" s="3"/>
      <c r="JP648" s="3"/>
      <c r="JQ648" s="3"/>
      <c r="JR648" s="3"/>
      <c r="JS648" s="3"/>
      <c r="JT648" s="3"/>
      <c r="JU648" s="3"/>
      <c r="JV648" s="3"/>
      <c r="JW648" s="3"/>
      <c r="JX648" s="3"/>
      <c r="JY648" s="3"/>
      <c r="JZ648" s="3"/>
      <c r="KA648" s="3"/>
      <c r="KB648" s="3"/>
      <c r="KC648" s="3"/>
      <c r="KD648" s="3"/>
      <c r="KE648" s="3"/>
      <c r="KF648" s="3"/>
      <c r="KG648" s="3"/>
      <c r="KH648" s="3"/>
      <c r="KI648" s="3"/>
      <c r="KJ648" s="3"/>
      <c r="KK648" s="3"/>
      <c r="KL648" s="3"/>
      <c r="KM648" s="3"/>
      <c r="KN648" s="3"/>
      <c r="KO648" s="3"/>
      <c r="KP648" s="3"/>
      <c r="KQ648" s="3"/>
      <c r="KR648" s="3"/>
      <c r="KS648" s="3"/>
      <c r="KT648" s="3"/>
      <c r="KU648" s="3"/>
      <c r="KV648" s="3"/>
      <c r="KW648" s="3"/>
      <c r="KX648" s="3"/>
      <c r="KY648" s="3"/>
      <c r="KZ648" s="3"/>
      <c r="LA648" s="3"/>
      <c r="LB648" s="3"/>
      <c r="LC648" s="3"/>
      <c r="LD648" s="3"/>
      <c r="LE648" s="3"/>
      <c r="LF648" s="3"/>
      <c r="LG648" s="3"/>
      <c r="LH648" s="3"/>
      <c r="LI648" s="3"/>
      <c r="LJ648" s="3"/>
      <c r="LK648" s="3"/>
      <c r="LL648" s="3"/>
      <c r="LM648" s="3"/>
      <c r="LN648" s="3"/>
      <c r="LO648" s="3"/>
      <c r="LP648" s="3"/>
      <c r="LQ648" s="3"/>
      <c r="LR648" s="3"/>
      <c r="LS648" s="3"/>
      <c r="LT648" s="3"/>
      <c r="LU648" s="3"/>
      <c r="LV648" s="3"/>
      <c r="LW648" s="3"/>
      <c r="LX648" s="3"/>
      <c r="LY648" s="3"/>
      <c r="LZ648" s="3"/>
      <c r="MA648" s="3"/>
      <c r="MB648" s="3"/>
      <c r="MC648" s="3"/>
      <c r="MD648" s="3"/>
      <c r="ME648" s="3"/>
      <c r="MF648" s="3"/>
      <c r="MG648" s="3"/>
      <c r="MH648" s="3"/>
      <c r="MI648" s="3"/>
    </row>
    <row r="649" spans="1:347"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c r="HX649" s="3"/>
      <c r="HY649" s="3"/>
      <c r="HZ649" s="3"/>
      <c r="IA649" s="3"/>
      <c r="IB649" s="3"/>
      <c r="IC649" s="3"/>
      <c r="ID649" s="3"/>
      <c r="IE649" s="3"/>
      <c r="IF649" s="3"/>
      <c r="IG649" s="3"/>
      <c r="IH649" s="3"/>
      <c r="II649" s="3"/>
      <c r="IJ649" s="3"/>
      <c r="IK649" s="3"/>
      <c r="IL649" s="3"/>
      <c r="IM649" s="3"/>
      <c r="IN649" s="3"/>
      <c r="IO649" s="3"/>
      <c r="IP649" s="3"/>
      <c r="IQ649" s="3"/>
      <c r="IR649" s="3"/>
      <c r="IS649" s="3"/>
      <c r="IT649" s="3"/>
      <c r="IU649" s="3"/>
      <c r="IV649" s="3"/>
      <c r="IW649" s="3"/>
      <c r="IX649" s="3"/>
      <c r="IY649" s="3"/>
      <c r="IZ649" s="3"/>
      <c r="JA649" s="3"/>
      <c r="JB649" s="3"/>
      <c r="JC649" s="3"/>
      <c r="JD649" s="3"/>
      <c r="JE649" s="3"/>
      <c r="JF649" s="3"/>
      <c r="JG649" s="3"/>
      <c r="JH649" s="3"/>
      <c r="JI649" s="3"/>
      <c r="JJ649" s="3"/>
      <c r="JK649" s="3"/>
      <c r="JL649" s="3"/>
      <c r="JM649" s="3"/>
      <c r="JN649" s="3"/>
      <c r="JO649" s="3"/>
      <c r="JP649" s="3"/>
      <c r="JQ649" s="3"/>
      <c r="JR649" s="3"/>
      <c r="JS649" s="3"/>
      <c r="JT649" s="3"/>
      <c r="JU649" s="3"/>
      <c r="JV649" s="3"/>
      <c r="JW649" s="3"/>
      <c r="JX649" s="3"/>
      <c r="JY649" s="3"/>
      <c r="JZ649" s="3"/>
      <c r="KA649" s="3"/>
      <c r="KB649" s="3"/>
      <c r="KC649" s="3"/>
      <c r="KD649" s="3"/>
      <c r="KE649" s="3"/>
      <c r="KF649" s="3"/>
      <c r="KG649" s="3"/>
      <c r="KH649" s="3"/>
      <c r="KI649" s="3"/>
      <c r="KJ649" s="3"/>
      <c r="KK649" s="3"/>
      <c r="KL649" s="3"/>
      <c r="KM649" s="3"/>
      <c r="KN649" s="3"/>
      <c r="KO649" s="3"/>
      <c r="KP649" s="3"/>
      <c r="KQ649" s="3"/>
      <c r="KR649" s="3"/>
      <c r="KS649" s="3"/>
      <c r="KT649" s="3"/>
      <c r="KU649" s="3"/>
      <c r="KV649" s="3"/>
      <c r="KW649" s="3"/>
      <c r="KX649" s="3"/>
      <c r="KY649" s="3"/>
      <c r="KZ649" s="3"/>
      <c r="LA649" s="3"/>
      <c r="LB649" s="3"/>
      <c r="LC649" s="3"/>
      <c r="LD649" s="3"/>
      <c r="LE649" s="3"/>
      <c r="LF649" s="3"/>
      <c r="LG649" s="3"/>
      <c r="LH649" s="3"/>
      <c r="LI649" s="3"/>
      <c r="LJ649" s="3"/>
      <c r="LK649" s="3"/>
      <c r="LL649" s="3"/>
      <c r="LM649" s="3"/>
      <c r="LN649" s="3"/>
      <c r="LO649" s="3"/>
      <c r="LP649" s="3"/>
      <c r="LQ649" s="3"/>
      <c r="LR649" s="3"/>
      <c r="LS649" s="3"/>
      <c r="LT649" s="3"/>
      <c r="LU649" s="3"/>
      <c r="LV649" s="3"/>
      <c r="LW649" s="3"/>
      <c r="LX649" s="3"/>
      <c r="LY649" s="3"/>
      <c r="LZ649" s="3"/>
      <c r="MA649" s="3"/>
      <c r="MB649" s="3"/>
      <c r="MC649" s="3"/>
      <c r="MD649" s="3"/>
      <c r="ME649" s="3"/>
      <c r="MF649" s="3"/>
      <c r="MG649" s="3"/>
      <c r="MH649" s="3"/>
      <c r="MI649" s="3"/>
    </row>
    <row r="650" spans="1:347"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c r="HX650" s="3"/>
      <c r="HY650" s="3"/>
      <c r="HZ650" s="3"/>
      <c r="IA650" s="3"/>
      <c r="IB650" s="3"/>
      <c r="IC650" s="3"/>
      <c r="ID650" s="3"/>
      <c r="IE650" s="3"/>
      <c r="IF650" s="3"/>
      <c r="IG650" s="3"/>
      <c r="IH650" s="3"/>
      <c r="II650" s="3"/>
      <c r="IJ650" s="3"/>
      <c r="IK650" s="3"/>
      <c r="IL650" s="3"/>
      <c r="IM650" s="3"/>
      <c r="IN650" s="3"/>
      <c r="IO650" s="3"/>
      <c r="IP650" s="3"/>
      <c r="IQ650" s="3"/>
      <c r="IR650" s="3"/>
      <c r="IS650" s="3"/>
      <c r="IT650" s="3"/>
      <c r="IU650" s="3"/>
      <c r="IV650" s="3"/>
      <c r="IW650" s="3"/>
      <c r="IX650" s="3"/>
      <c r="IY650" s="3"/>
      <c r="IZ650" s="3"/>
      <c r="JA650" s="3"/>
      <c r="JB650" s="3"/>
      <c r="JC650" s="3"/>
      <c r="JD650" s="3"/>
      <c r="JE650" s="3"/>
      <c r="JF650" s="3"/>
      <c r="JG650" s="3"/>
      <c r="JH650" s="3"/>
      <c r="JI650" s="3"/>
      <c r="JJ650" s="3"/>
      <c r="JK650" s="3"/>
      <c r="JL650" s="3"/>
      <c r="JM650" s="3"/>
      <c r="JN650" s="3"/>
      <c r="JO650" s="3"/>
      <c r="JP650" s="3"/>
      <c r="JQ650" s="3"/>
      <c r="JR650" s="3"/>
      <c r="JS650" s="3"/>
      <c r="JT650" s="3"/>
      <c r="JU650" s="3"/>
      <c r="JV650" s="3"/>
      <c r="JW650" s="3"/>
      <c r="JX650" s="3"/>
      <c r="JY650" s="3"/>
      <c r="JZ650" s="3"/>
      <c r="KA650" s="3"/>
      <c r="KB650" s="3"/>
      <c r="KC650" s="3"/>
      <c r="KD650" s="3"/>
      <c r="KE650" s="3"/>
      <c r="KF650" s="3"/>
      <c r="KG650" s="3"/>
      <c r="KH650" s="3"/>
      <c r="KI650" s="3"/>
      <c r="KJ650" s="3"/>
      <c r="KK650" s="3"/>
      <c r="KL650" s="3"/>
      <c r="KM650" s="3"/>
      <c r="KN650" s="3"/>
      <c r="KO650" s="3"/>
      <c r="KP650" s="3"/>
      <c r="KQ650" s="3"/>
      <c r="KR650" s="3"/>
      <c r="KS650" s="3"/>
      <c r="KT650" s="3"/>
      <c r="KU650" s="3"/>
      <c r="KV650" s="3"/>
      <c r="KW650" s="3"/>
      <c r="KX650" s="3"/>
      <c r="KY650" s="3"/>
      <c r="KZ650" s="3"/>
      <c r="LA650" s="3"/>
      <c r="LB650" s="3"/>
      <c r="LC650" s="3"/>
      <c r="LD650" s="3"/>
      <c r="LE650" s="3"/>
      <c r="LF650" s="3"/>
      <c r="LG650" s="3"/>
      <c r="LH650" s="3"/>
      <c r="LI650" s="3"/>
      <c r="LJ650" s="3"/>
      <c r="LK650" s="3"/>
      <c r="LL650" s="3"/>
      <c r="LM650" s="3"/>
      <c r="LN650" s="3"/>
      <c r="LO650" s="3"/>
      <c r="LP650" s="3"/>
      <c r="LQ650" s="3"/>
      <c r="LR650" s="3"/>
      <c r="LS650" s="3"/>
      <c r="LT650" s="3"/>
      <c r="LU650" s="3"/>
      <c r="LV650" s="3"/>
      <c r="LW650" s="3"/>
      <c r="LX650" s="3"/>
      <c r="LY650" s="3"/>
      <c r="LZ650" s="3"/>
      <c r="MA650" s="3"/>
      <c r="MB650" s="3"/>
      <c r="MC650" s="3"/>
      <c r="MD650" s="3"/>
      <c r="ME650" s="3"/>
      <c r="MF650" s="3"/>
      <c r="MG650" s="3"/>
      <c r="MH650" s="3"/>
      <c r="MI650" s="3"/>
    </row>
    <row r="651" spans="1:347"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c r="HX651" s="3"/>
      <c r="HY651" s="3"/>
      <c r="HZ651" s="3"/>
      <c r="IA651" s="3"/>
      <c r="IB651" s="3"/>
      <c r="IC651" s="3"/>
      <c r="ID651" s="3"/>
      <c r="IE651" s="3"/>
      <c r="IF651" s="3"/>
      <c r="IG651" s="3"/>
      <c r="IH651" s="3"/>
      <c r="II651" s="3"/>
      <c r="IJ651" s="3"/>
      <c r="IK651" s="3"/>
      <c r="IL651" s="3"/>
      <c r="IM651" s="3"/>
      <c r="IN651" s="3"/>
      <c r="IO651" s="3"/>
      <c r="IP651" s="3"/>
      <c r="IQ651" s="3"/>
      <c r="IR651" s="3"/>
      <c r="IS651" s="3"/>
      <c r="IT651" s="3"/>
      <c r="IU651" s="3"/>
      <c r="IV651" s="3"/>
      <c r="IW651" s="3"/>
      <c r="IX651" s="3"/>
      <c r="IY651" s="3"/>
      <c r="IZ651" s="3"/>
      <c r="JA651" s="3"/>
      <c r="JB651" s="3"/>
      <c r="JC651" s="3"/>
      <c r="JD651" s="3"/>
      <c r="JE651" s="3"/>
      <c r="JF651" s="3"/>
      <c r="JG651" s="3"/>
      <c r="JH651" s="3"/>
      <c r="JI651" s="3"/>
      <c r="JJ651" s="3"/>
      <c r="JK651" s="3"/>
      <c r="JL651" s="3"/>
      <c r="JM651" s="3"/>
      <c r="JN651" s="3"/>
      <c r="JO651" s="3"/>
      <c r="JP651" s="3"/>
      <c r="JQ651" s="3"/>
      <c r="JR651" s="3"/>
      <c r="JS651" s="3"/>
      <c r="JT651" s="3"/>
      <c r="JU651" s="3"/>
      <c r="JV651" s="3"/>
      <c r="JW651" s="3"/>
      <c r="JX651" s="3"/>
      <c r="JY651" s="3"/>
      <c r="JZ651" s="3"/>
      <c r="KA651" s="3"/>
      <c r="KB651" s="3"/>
      <c r="KC651" s="3"/>
      <c r="KD651" s="3"/>
      <c r="KE651" s="3"/>
      <c r="KF651" s="3"/>
      <c r="KG651" s="3"/>
      <c r="KH651" s="3"/>
      <c r="KI651" s="3"/>
      <c r="KJ651" s="3"/>
      <c r="KK651" s="3"/>
      <c r="KL651" s="3"/>
      <c r="KM651" s="3"/>
      <c r="KN651" s="3"/>
      <c r="KO651" s="3"/>
      <c r="KP651" s="3"/>
      <c r="KQ651" s="3"/>
      <c r="KR651" s="3"/>
      <c r="KS651" s="3"/>
      <c r="KT651" s="3"/>
      <c r="KU651" s="3"/>
      <c r="KV651" s="3"/>
      <c r="KW651" s="3"/>
      <c r="KX651" s="3"/>
      <c r="KY651" s="3"/>
      <c r="KZ651" s="3"/>
      <c r="LA651" s="3"/>
      <c r="LB651" s="3"/>
      <c r="LC651" s="3"/>
      <c r="LD651" s="3"/>
      <c r="LE651" s="3"/>
      <c r="LF651" s="3"/>
      <c r="LG651" s="3"/>
      <c r="LH651" s="3"/>
      <c r="LI651" s="3"/>
      <c r="LJ651" s="3"/>
      <c r="LK651" s="3"/>
      <c r="LL651" s="3"/>
      <c r="LM651" s="3"/>
      <c r="LN651" s="3"/>
      <c r="LO651" s="3"/>
      <c r="LP651" s="3"/>
      <c r="LQ651" s="3"/>
      <c r="LR651" s="3"/>
      <c r="LS651" s="3"/>
      <c r="LT651" s="3"/>
      <c r="LU651" s="3"/>
      <c r="LV651" s="3"/>
      <c r="LW651" s="3"/>
      <c r="LX651" s="3"/>
      <c r="LY651" s="3"/>
      <c r="LZ651" s="3"/>
      <c r="MA651" s="3"/>
      <c r="MB651" s="3"/>
      <c r="MC651" s="3"/>
      <c r="MD651" s="3"/>
      <c r="ME651" s="3"/>
      <c r="MF651" s="3"/>
      <c r="MG651" s="3"/>
      <c r="MH651" s="3"/>
      <c r="MI651" s="3"/>
    </row>
    <row r="652" spans="1:347"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c r="HX652" s="3"/>
      <c r="HY652" s="3"/>
      <c r="HZ652" s="3"/>
      <c r="IA652" s="3"/>
      <c r="IB652" s="3"/>
      <c r="IC652" s="3"/>
      <c r="ID652" s="3"/>
      <c r="IE652" s="3"/>
      <c r="IF652" s="3"/>
      <c r="IG652" s="3"/>
      <c r="IH652" s="3"/>
      <c r="II652" s="3"/>
      <c r="IJ652" s="3"/>
      <c r="IK652" s="3"/>
      <c r="IL652" s="3"/>
      <c r="IM652" s="3"/>
      <c r="IN652" s="3"/>
      <c r="IO652" s="3"/>
      <c r="IP652" s="3"/>
      <c r="IQ652" s="3"/>
      <c r="IR652" s="3"/>
      <c r="IS652" s="3"/>
      <c r="IT652" s="3"/>
      <c r="IU652" s="3"/>
      <c r="IV652" s="3"/>
      <c r="IW652" s="3"/>
      <c r="IX652" s="3"/>
      <c r="IY652" s="3"/>
      <c r="IZ652" s="3"/>
      <c r="JA652" s="3"/>
      <c r="JB652" s="3"/>
      <c r="JC652" s="3"/>
      <c r="JD652" s="3"/>
      <c r="JE652" s="3"/>
      <c r="JF652" s="3"/>
      <c r="JG652" s="3"/>
      <c r="JH652" s="3"/>
      <c r="JI652" s="3"/>
      <c r="JJ652" s="3"/>
      <c r="JK652" s="3"/>
      <c r="JL652" s="3"/>
      <c r="JM652" s="3"/>
      <c r="JN652" s="3"/>
      <c r="JO652" s="3"/>
      <c r="JP652" s="3"/>
      <c r="JQ652" s="3"/>
      <c r="JR652" s="3"/>
      <c r="JS652" s="3"/>
      <c r="JT652" s="3"/>
      <c r="JU652" s="3"/>
      <c r="JV652" s="3"/>
      <c r="JW652" s="3"/>
      <c r="JX652" s="3"/>
      <c r="JY652" s="3"/>
      <c r="JZ652" s="3"/>
      <c r="KA652" s="3"/>
      <c r="KB652" s="3"/>
      <c r="KC652" s="3"/>
      <c r="KD652" s="3"/>
      <c r="KE652" s="3"/>
      <c r="KF652" s="3"/>
      <c r="KG652" s="3"/>
      <c r="KH652" s="3"/>
      <c r="KI652" s="3"/>
      <c r="KJ652" s="3"/>
      <c r="KK652" s="3"/>
      <c r="KL652" s="3"/>
      <c r="KM652" s="3"/>
      <c r="KN652" s="3"/>
      <c r="KO652" s="3"/>
      <c r="KP652" s="3"/>
      <c r="KQ652" s="3"/>
      <c r="KR652" s="3"/>
      <c r="KS652" s="3"/>
      <c r="KT652" s="3"/>
      <c r="KU652" s="3"/>
      <c r="KV652" s="3"/>
      <c r="KW652" s="3"/>
      <c r="KX652" s="3"/>
      <c r="KY652" s="3"/>
      <c r="KZ652" s="3"/>
      <c r="LA652" s="3"/>
      <c r="LB652" s="3"/>
      <c r="LC652" s="3"/>
      <c r="LD652" s="3"/>
      <c r="LE652" s="3"/>
      <c r="LF652" s="3"/>
      <c r="LG652" s="3"/>
      <c r="LH652" s="3"/>
      <c r="LI652" s="3"/>
      <c r="LJ652" s="3"/>
      <c r="LK652" s="3"/>
      <c r="LL652" s="3"/>
      <c r="LM652" s="3"/>
      <c r="LN652" s="3"/>
      <c r="LO652" s="3"/>
      <c r="LP652" s="3"/>
      <c r="LQ652" s="3"/>
      <c r="LR652" s="3"/>
      <c r="LS652" s="3"/>
      <c r="LT652" s="3"/>
      <c r="LU652" s="3"/>
      <c r="LV652" s="3"/>
      <c r="LW652" s="3"/>
      <c r="LX652" s="3"/>
      <c r="LY652" s="3"/>
      <c r="LZ652" s="3"/>
      <c r="MA652" s="3"/>
      <c r="MB652" s="3"/>
      <c r="MC652" s="3"/>
      <c r="MD652" s="3"/>
      <c r="ME652" s="3"/>
      <c r="MF652" s="3"/>
      <c r="MG652" s="3"/>
      <c r="MH652" s="3"/>
      <c r="MI652" s="3"/>
    </row>
    <row r="653" spans="1:347"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c r="HX653" s="3"/>
      <c r="HY653" s="3"/>
      <c r="HZ653" s="3"/>
      <c r="IA653" s="3"/>
      <c r="IB653" s="3"/>
      <c r="IC653" s="3"/>
      <c r="ID653" s="3"/>
      <c r="IE653" s="3"/>
      <c r="IF653" s="3"/>
      <c r="IG653" s="3"/>
      <c r="IH653" s="3"/>
      <c r="II653" s="3"/>
      <c r="IJ653" s="3"/>
      <c r="IK653" s="3"/>
      <c r="IL653" s="3"/>
      <c r="IM653" s="3"/>
      <c r="IN653" s="3"/>
      <c r="IO653" s="3"/>
      <c r="IP653" s="3"/>
      <c r="IQ653" s="3"/>
      <c r="IR653" s="3"/>
      <c r="IS653" s="3"/>
      <c r="IT653" s="3"/>
      <c r="IU653" s="3"/>
      <c r="IV653" s="3"/>
      <c r="IW653" s="3"/>
      <c r="IX653" s="3"/>
      <c r="IY653" s="3"/>
      <c r="IZ653" s="3"/>
      <c r="JA653" s="3"/>
      <c r="JB653" s="3"/>
      <c r="JC653" s="3"/>
      <c r="JD653" s="3"/>
      <c r="JE653" s="3"/>
      <c r="JF653" s="3"/>
      <c r="JG653" s="3"/>
      <c r="JH653" s="3"/>
      <c r="JI653" s="3"/>
      <c r="JJ653" s="3"/>
      <c r="JK653" s="3"/>
      <c r="JL653" s="3"/>
      <c r="JM653" s="3"/>
      <c r="JN653" s="3"/>
      <c r="JO653" s="3"/>
      <c r="JP653" s="3"/>
      <c r="JQ653" s="3"/>
      <c r="JR653" s="3"/>
      <c r="JS653" s="3"/>
      <c r="JT653" s="3"/>
      <c r="JU653" s="3"/>
      <c r="JV653" s="3"/>
      <c r="JW653" s="3"/>
      <c r="JX653" s="3"/>
      <c r="JY653" s="3"/>
      <c r="JZ653" s="3"/>
      <c r="KA653" s="3"/>
      <c r="KB653" s="3"/>
      <c r="KC653" s="3"/>
      <c r="KD653" s="3"/>
      <c r="KE653" s="3"/>
      <c r="KF653" s="3"/>
      <c r="KG653" s="3"/>
      <c r="KH653" s="3"/>
      <c r="KI653" s="3"/>
      <c r="KJ653" s="3"/>
      <c r="KK653" s="3"/>
      <c r="KL653" s="3"/>
      <c r="KM653" s="3"/>
      <c r="KN653" s="3"/>
      <c r="KO653" s="3"/>
      <c r="KP653" s="3"/>
      <c r="KQ653" s="3"/>
      <c r="KR653" s="3"/>
      <c r="KS653" s="3"/>
      <c r="KT653" s="3"/>
      <c r="KU653" s="3"/>
      <c r="KV653" s="3"/>
      <c r="KW653" s="3"/>
      <c r="KX653" s="3"/>
      <c r="KY653" s="3"/>
      <c r="KZ653" s="3"/>
      <c r="LA653" s="3"/>
      <c r="LB653" s="3"/>
      <c r="LC653" s="3"/>
      <c r="LD653" s="3"/>
      <c r="LE653" s="3"/>
      <c r="LF653" s="3"/>
      <c r="LG653" s="3"/>
      <c r="LH653" s="3"/>
      <c r="LI653" s="3"/>
      <c r="LJ653" s="3"/>
      <c r="LK653" s="3"/>
      <c r="LL653" s="3"/>
      <c r="LM653" s="3"/>
      <c r="LN653" s="3"/>
      <c r="LO653" s="3"/>
      <c r="LP653" s="3"/>
      <c r="LQ653" s="3"/>
      <c r="LR653" s="3"/>
      <c r="LS653" s="3"/>
      <c r="LT653" s="3"/>
      <c r="LU653" s="3"/>
      <c r="LV653" s="3"/>
      <c r="LW653" s="3"/>
      <c r="LX653" s="3"/>
      <c r="LY653" s="3"/>
      <c r="LZ653" s="3"/>
      <c r="MA653" s="3"/>
      <c r="MB653" s="3"/>
      <c r="MC653" s="3"/>
      <c r="MD653" s="3"/>
      <c r="ME653" s="3"/>
      <c r="MF653" s="3"/>
      <c r="MG653" s="3"/>
      <c r="MH653" s="3"/>
      <c r="MI653" s="3"/>
    </row>
    <row r="654" spans="1:347"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c r="HX654" s="3"/>
      <c r="HY654" s="3"/>
      <c r="HZ654" s="3"/>
      <c r="IA654" s="3"/>
      <c r="IB654" s="3"/>
      <c r="IC654" s="3"/>
      <c r="ID654" s="3"/>
      <c r="IE654" s="3"/>
      <c r="IF654" s="3"/>
      <c r="IG654" s="3"/>
      <c r="IH654" s="3"/>
      <c r="II654" s="3"/>
      <c r="IJ654" s="3"/>
      <c r="IK654" s="3"/>
      <c r="IL654" s="3"/>
      <c r="IM654" s="3"/>
      <c r="IN654" s="3"/>
      <c r="IO654" s="3"/>
      <c r="IP654" s="3"/>
      <c r="IQ654" s="3"/>
      <c r="IR654" s="3"/>
      <c r="IS654" s="3"/>
      <c r="IT654" s="3"/>
      <c r="IU654" s="3"/>
      <c r="IV654" s="3"/>
      <c r="IW654" s="3"/>
      <c r="IX654" s="3"/>
      <c r="IY654" s="3"/>
      <c r="IZ654" s="3"/>
      <c r="JA654" s="3"/>
      <c r="JB654" s="3"/>
      <c r="JC654" s="3"/>
      <c r="JD654" s="3"/>
      <c r="JE654" s="3"/>
      <c r="JF654" s="3"/>
      <c r="JG654" s="3"/>
      <c r="JH654" s="3"/>
      <c r="JI654" s="3"/>
      <c r="JJ654" s="3"/>
      <c r="JK654" s="3"/>
      <c r="JL654" s="3"/>
      <c r="JM654" s="3"/>
      <c r="JN654" s="3"/>
      <c r="JO654" s="3"/>
      <c r="JP654" s="3"/>
      <c r="JQ654" s="3"/>
      <c r="JR654" s="3"/>
      <c r="JS654" s="3"/>
      <c r="JT654" s="3"/>
      <c r="JU654" s="3"/>
      <c r="JV654" s="3"/>
      <c r="JW654" s="3"/>
      <c r="JX654" s="3"/>
      <c r="JY654" s="3"/>
      <c r="JZ654" s="3"/>
      <c r="KA654" s="3"/>
      <c r="KB654" s="3"/>
      <c r="KC654" s="3"/>
      <c r="KD654" s="3"/>
      <c r="KE654" s="3"/>
      <c r="KF654" s="3"/>
      <c r="KG654" s="3"/>
      <c r="KH654" s="3"/>
      <c r="KI654" s="3"/>
      <c r="KJ654" s="3"/>
      <c r="KK654" s="3"/>
      <c r="KL654" s="3"/>
      <c r="KM654" s="3"/>
      <c r="KN654" s="3"/>
      <c r="KO654" s="3"/>
      <c r="KP654" s="3"/>
      <c r="KQ654" s="3"/>
      <c r="KR654" s="3"/>
      <c r="KS654" s="3"/>
      <c r="KT654" s="3"/>
      <c r="KU654" s="3"/>
      <c r="KV654" s="3"/>
      <c r="KW654" s="3"/>
      <c r="KX654" s="3"/>
      <c r="KY654" s="3"/>
      <c r="KZ654" s="3"/>
      <c r="LA654" s="3"/>
      <c r="LB654" s="3"/>
      <c r="LC654" s="3"/>
      <c r="LD654" s="3"/>
      <c r="LE654" s="3"/>
      <c r="LF654" s="3"/>
      <c r="LG654" s="3"/>
      <c r="LH654" s="3"/>
      <c r="LI654" s="3"/>
      <c r="LJ654" s="3"/>
      <c r="LK654" s="3"/>
      <c r="LL654" s="3"/>
      <c r="LM654" s="3"/>
      <c r="LN654" s="3"/>
      <c r="LO654" s="3"/>
      <c r="LP654" s="3"/>
      <c r="LQ654" s="3"/>
      <c r="LR654" s="3"/>
      <c r="LS654" s="3"/>
      <c r="LT654" s="3"/>
      <c r="LU654" s="3"/>
      <c r="LV654" s="3"/>
      <c r="LW654" s="3"/>
      <c r="LX654" s="3"/>
      <c r="LY654" s="3"/>
      <c r="LZ654" s="3"/>
      <c r="MA654" s="3"/>
      <c r="MB654" s="3"/>
      <c r="MC654" s="3"/>
      <c r="MD654" s="3"/>
      <c r="ME654" s="3"/>
      <c r="MF654" s="3"/>
      <c r="MG654" s="3"/>
      <c r="MH654" s="3"/>
      <c r="MI654" s="3"/>
    </row>
    <row r="655" spans="1:347"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c r="HX655" s="3"/>
      <c r="HY655" s="3"/>
      <c r="HZ655" s="3"/>
      <c r="IA655" s="3"/>
      <c r="IB655" s="3"/>
      <c r="IC655" s="3"/>
      <c r="ID655" s="3"/>
      <c r="IE655" s="3"/>
      <c r="IF655" s="3"/>
      <c r="IG655" s="3"/>
      <c r="IH655" s="3"/>
      <c r="II655" s="3"/>
      <c r="IJ655" s="3"/>
      <c r="IK655" s="3"/>
      <c r="IL655" s="3"/>
      <c r="IM655" s="3"/>
      <c r="IN655" s="3"/>
      <c r="IO655" s="3"/>
      <c r="IP655" s="3"/>
      <c r="IQ655" s="3"/>
      <c r="IR655" s="3"/>
      <c r="IS655" s="3"/>
      <c r="IT655" s="3"/>
      <c r="IU655" s="3"/>
      <c r="IV655" s="3"/>
      <c r="IW655" s="3"/>
      <c r="IX655" s="3"/>
      <c r="IY655" s="3"/>
      <c r="IZ655" s="3"/>
      <c r="JA655" s="3"/>
      <c r="JB655" s="3"/>
      <c r="JC655" s="3"/>
      <c r="JD655" s="3"/>
      <c r="JE655" s="3"/>
      <c r="JF655" s="3"/>
      <c r="JG655" s="3"/>
      <c r="JH655" s="3"/>
      <c r="JI655" s="3"/>
      <c r="JJ655" s="3"/>
      <c r="JK655" s="3"/>
      <c r="JL655" s="3"/>
      <c r="JM655" s="3"/>
      <c r="JN655" s="3"/>
      <c r="JO655" s="3"/>
      <c r="JP655" s="3"/>
      <c r="JQ655" s="3"/>
      <c r="JR655" s="3"/>
      <c r="JS655" s="3"/>
      <c r="JT655" s="3"/>
      <c r="JU655" s="3"/>
      <c r="JV655" s="3"/>
      <c r="JW655" s="3"/>
      <c r="JX655" s="3"/>
      <c r="JY655" s="3"/>
      <c r="JZ655" s="3"/>
      <c r="KA655" s="3"/>
      <c r="KB655" s="3"/>
      <c r="KC655" s="3"/>
      <c r="KD655" s="3"/>
      <c r="KE655" s="3"/>
      <c r="KF655" s="3"/>
      <c r="KG655" s="3"/>
      <c r="KH655" s="3"/>
      <c r="KI655" s="3"/>
      <c r="KJ655" s="3"/>
      <c r="KK655" s="3"/>
      <c r="KL655" s="3"/>
      <c r="KM655" s="3"/>
      <c r="KN655" s="3"/>
      <c r="KO655" s="3"/>
      <c r="KP655" s="3"/>
      <c r="KQ655" s="3"/>
      <c r="KR655" s="3"/>
      <c r="KS655" s="3"/>
      <c r="KT655" s="3"/>
      <c r="KU655" s="3"/>
      <c r="KV655" s="3"/>
      <c r="KW655" s="3"/>
      <c r="KX655" s="3"/>
      <c r="KY655" s="3"/>
      <c r="KZ655" s="3"/>
      <c r="LA655" s="3"/>
      <c r="LB655" s="3"/>
      <c r="LC655" s="3"/>
      <c r="LD655" s="3"/>
      <c r="LE655" s="3"/>
      <c r="LF655" s="3"/>
      <c r="LG655" s="3"/>
      <c r="LH655" s="3"/>
      <c r="LI655" s="3"/>
      <c r="LJ655" s="3"/>
      <c r="LK655" s="3"/>
      <c r="LL655" s="3"/>
      <c r="LM655" s="3"/>
      <c r="LN655" s="3"/>
      <c r="LO655" s="3"/>
      <c r="LP655" s="3"/>
      <c r="LQ655" s="3"/>
      <c r="LR655" s="3"/>
      <c r="LS655" s="3"/>
      <c r="LT655" s="3"/>
      <c r="LU655" s="3"/>
      <c r="LV655" s="3"/>
      <c r="LW655" s="3"/>
      <c r="LX655" s="3"/>
      <c r="LY655" s="3"/>
      <c r="LZ655" s="3"/>
      <c r="MA655" s="3"/>
      <c r="MB655" s="3"/>
      <c r="MC655" s="3"/>
      <c r="MD655" s="3"/>
      <c r="ME655" s="3"/>
      <c r="MF655" s="3"/>
      <c r="MG655" s="3"/>
      <c r="MH655" s="3"/>
      <c r="MI655" s="3"/>
    </row>
    <row r="656" spans="1:347"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c r="HX656" s="3"/>
      <c r="HY656" s="3"/>
      <c r="HZ656" s="3"/>
      <c r="IA656" s="3"/>
      <c r="IB656" s="3"/>
      <c r="IC656" s="3"/>
      <c r="ID656" s="3"/>
      <c r="IE656" s="3"/>
      <c r="IF656" s="3"/>
      <c r="IG656" s="3"/>
      <c r="IH656" s="3"/>
      <c r="II656" s="3"/>
      <c r="IJ656" s="3"/>
      <c r="IK656" s="3"/>
      <c r="IL656" s="3"/>
      <c r="IM656" s="3"/>
      <c r="IN656" s="3"/>
      <c r="IO656" s="3"/>
      <c r="IP656" s="3"/>
      <c r="IQ656" s="3"/>
      <c r="IR656" s="3"/>
      <c r="IS656" s="3"/>
      <c r="IT656" s="3"/>
      <c r="IU656" s="3"/>
      <c r="IV656" s="3"/>
      <c r="IW656" s="3"/>
      <c r="IX656" s="3"/>
      <c r="IY656" s="3"/>
      <c r="IZ656" s="3"/>
      <c r="JA656" s="3"/>
      <c r="JB656" s="3"/>
      <c r="JC656" s="3"/>
      <c r="JD656" s="3"/>
      <c r="JE656" s="3"/>
      <c r="JF656" s="3"/>
      <c r="JG656" s="3"/>
      <c r="JH656" s="3"/>
      <c r="JI656" s="3"/>
      <c r="JJ656" s="3"/>
      <c r="JK656" s="3"/>
      <c r="JL656" s="3"/>
      <c r="JM656" s="3"/>
      <c r="JN656" s="3"/>
      <c r="JO656" s="3"/>
      <c r="JP656" s="3"/>
      <c r="JQ656" s="3"/>
      <c r="JR656" s="3"/>
      <c r="JS656" s="3"/>
      <c r="JT656" s="3"/>
      <c r="JU656" s="3"/>
      <c r="JV656" s="3"/>
      <c r="JW656" s="3"/>
      <c r="JX656" s="3"/>
      <c r="JY656" s="3"/>
      <c r="JZ656" s="3"/>
      <c r="KA656" s="3"/>
      <c r="KB656" s="3"/>
      <c r="KC656" s="3"/>
      <c r="KD656" s="3"/>
      <c r="KE656" s="3"/>
      <c r="KF656" s="3"/>
      <c r="KG656" s="3"/>
      <c r="KH656" s="3"/>
      <c r="KI656" s="3"/>
      <c r="KJ656" s="3"/>
      <c r="KK656" s="3"/>
      <c r="KL656" s="3"/>
      <c r="KM656" s="3"/>
      <c r="KN656" s="3"/>
      <c r="KO656" s="3"/>
      <c r="KP656" s="3"/>
      <c r="KQ656" s="3"/>
      <c r="KR656" s="3"/>
      <c r="KS656" s="3"/>
      <c r="KT656" s="3"/>
      <c r="KU656" s="3"/>
      <c r="KV656" s="3"/>
      <c r="KW656" s="3"/>
      <c r="KX656" s="3"/>
      <c r="KY656" s="3"/>
      <c r="KZ656" s="3"/>
      <c r="LA656" s="3"/>
      <c r="LB656" s="3"/>
      <c r="LC656" s="3"/>
      <c r="LD656" s="3"/>
      <c r="LE656" s="3"/>
      <c r="LF656" s="3"/>
      <c r="LG656" s="3"/>
      <c r="LH656" s="3"/>
      <c r="LI656" s="3"/>
      <c r="LJ656" s="3"/>
      <c r="LK656" s="3"/>
      <c r="LL656" s="3"/>
      <c r="LM656" s="3"/>
      <c r="LN656" s="3"/>
      <c r="LO656" s="3"/>
      <c r="LP656" s="3"/>
      <c r="LQ656" s="3"/>
      <c r="LR656" s="3"/>
      <c r="LS656" s="3"/>
      <c r="LT656" s="3"/>
      <c r="LU656" s="3"/>
      <c r="LV656" s="3"/>
      <c r="LW656" s="3"/>
      <c r="LX656" s="3"/>
      <c r="LY656" s="3"/>
      <c r="LZ656" s="3"/>
      <c r="MA656" s="3"/>
      <c r="MB656" s="3"/>
      <c r="MC656" s="3"/>
      <c r="MD656" s="3"/>
      <c r="ME656" s="3"/>
      <c r="MF656" s="3"/>
      <c r="MG656" s="3"/>
      <c r="MH656" s="3"/>
      <c r="MI656" s="3"/>
    </row>
    <row r="657" spans="1:347"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c r="HX657" s="3"/>
      <c r="HY657" s="3"/>
      <c r="HZ657" s="3"/>
      <c r="IA657" s="3"/>
      <c r="IB657" s="3"/>
      <c r="IC657" s="3"/>
      <c r="ID657" s="3"/>
      <c r="IE657" s="3"/>
      <c r="IF657" s="3"/>
      <c r="IG657" s="3"/>
      <c r="IH657" s="3"/>
      <c r="II657" s="3"/>
      <c r="IJ657" s="3"/>
      <c r="IK657" s="3"/>
      <c r="IL657" s="3"/>
      <c r="IM657" s="3"/>
      <c r="IN657" s="3"/>
      <c r="IO657" s="3"/>
      <c r="IP657" s="3"/>
      <c r="IQ657" s="3"/>
      <c r="IR657" s="3"/>
      <c r="IS657" s="3"/>
      <c r="IT657" s="3"/>
      <c r="IU657" s="3"/>
      <c r="IV657" s="3"/>
      <c r="IW657" s="3"/>
      <c r="IX657" s="3"/>
      <c r="IY657" s="3"/>
      <c r="IZ657" s="3"/>
      <c r="JA657" s="3"/>
      <c r="JB657" s="3"/>
      <c r="JC657" s="3"/>
      <c r="JD657" s="3"/>
      <c r="JE657" s="3"/>
      <c r="JF657" s="3"/>
      <c r="JG657" s="3"/>
      <c r="JH657" s="3"/>
      <c r="JI657" s="3"/>
      <c r="JJ657" s="3"/>
      <c r="JK657" s="3"/>
      <c r="JL657" s="3"/>
      <c r="JM657" s="3"/>
      <c r="JN657" s="3"/>
      <c r="JO657" s="3"/>
      <c r="JP657" s="3"/>
      <c r="JQ657" s="3"/>
      <c r="JR657" s="3"/>
      <c r="JS657" s="3"/>
      <c r="JT657" s="3"/>
      <c r="JU657" s="3"/>
      <c r="JV657" s="3"/>
      <c r="JW657" s="3"/>
      <c r="JX657" s="3"/>
      <c r="JY657" s="3"/>
      <c r="JZ657" s="3"/>
      <c r="KA657" s="3"/>
      <c r="KB657" s="3"/>
      <c r="KC657" s="3"/>
      <c r="KD657" s="3"/>
      <c r="KE657" s="3"/>
      <c r="KF657" s="3"/>
      <c r="KG657" s="3"/>
      <c r="KH657" s="3"/>
      <c r="KI657" s="3"/>
      <c r="KJ657" s="3"/>
      <c r="KK657" s="3"/>
      <c r="KL657" s="3"/>
      <c r="KM657" s="3"/>
      <c r="KN657" s="3"/>
      <c r="KO657" s="3"/>
      <c r="KP657" s="3"/>
      <c r="KQ657" s="3"/>
      <c r="KR657" s="3"/>
      <c r="KS657" s="3"/>
      <c r="KT657" s="3"/>
      <c r="KU657" s="3"/>
      <c r="KV657" s="3"/>
      <c r="KW657" s="3"/>
      <c r="KX657" s="3"/>
      <c r="KY657" s="3"/>
      <c r="KZ657" s="3"/>
      <c r="LA657" s="3"/>
      <c r="LB657" s="3"/>
      <c r="LC657" s="3"/>
      <c r="LD657" s="3"/>
      <c r="LE657" s="3"/>
      <c r="LF657" s="3"/>
      <c r="LG657" s="3"/>
      <c r="LH657" s="3"/>
      <c r="LI657" s="3"/>
      <c r="LJ657" s="3"/>
      <c r="LK657" s="3"/>
      <c r="LL657" s="3"/>
      <c r="LM657" s="3"/>
      <c r="LN657" s="3"/>
      <c r="LO657" s="3"/>
      <c r="LP657" s="3"/>
      <c r="LQ657" s="3"/>
      <c r="LR657" s="3"/>
      <c r="LS657" s="3"/>
      <c r="LT657" s="3"/>
      <c r="LU657" s="3"/>
      <c r="LV657" s="3"/>
      <c r="LW657" s="3"/>
      <c r="LX657" s="3"/>
      <c r="LY657" s="3"/>
      <c r="LZ657" s="3"/>
      <c r="MA657" s="3"/>
      <c r="MB657" s="3"/>
      <c r="MC657" s="3"/>
      <c r="MD657" s="3"/>
      <c r="ME657" s="3"/>
      <c r="MF657" s="3"/>
      <c r="MG657" s="3"/>
      <c r="MH657" s="3"/>
      <c r="MI657" s="3"/>
    </row>
    <row r="658" spans="1:347"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c r="HX658" s="3"/>
      <c r="HY658" s="3"/>
      <c r="HZ658" s="3"/>
      <c r="IA658" s="3"/>
      <c r="IB658" s="3"/>
      <c r="IC658" s="3"/>
      <c r="ID658" s="3"/>
      <c r="IE658" s="3"/>
      <c r="IF658" s="3"/>
      <c r="IG658" s="3"/>
      <c r="IH658" s="3"/>
      <c r="II658" s="3"/>
      <c r="IJ658" s="3"/>
      <c r="IK658" s="3"/>
      <c r="IL658" s="3"/>
      <c r="IM658" s="3"/>
      <c r="IN658" s="3"/>
      <c r="IO658" s="3"/>
      <c r="IP658" s="3"/>
      <c r="IQ658" s="3"/>
      <c r="IR658" s="3"/>
      <c r="IS658" s="3"/>
      <c r="IT658" s="3"/>
      <c r="IU658" s="3"/>
      <c r="IV658" s="3"/>
      <c r="IW658" s="3"/>
      <c r="IX658" s="3"/>
      <c r="IY658" s="3"/>
      <c r="IZ658" s="3"/>
      <c r="JA658" s="3"/>
      <c r="JB658" s="3"/>
      <c r="JC658" s="3"/>
      <c r="JD658" s="3"/>
      <c r="JE658" s="3"/>
      <c r="JF658" s="3"/>
      <c r="JG658" s="3"/>
      <c r="JH658" s="3"/>
      <c r="JI658" s="3"/>
      <c r="JJ658" s="3"/>
      <c r="JK658" s="3"/>
      <c r="JL658" s="3"/>
      <c r="JM658" s="3"/>
      <c r="JN658" s="3"/>
      <c r="JO658" s="3"/>
      <c r="JP658" s="3"/>
      <c r="JQ658" s="3"/>
      <c r="JR658" s="3"/>
      <c r="JS658" s="3"/>
      <c r="JT658" s="3"/>
      <c r="JU658" s="3"/>
      <c r="JV658" s="3"/>
      <c r="JW658" s="3"/>
      <c r="JX658" s="3"/>
      <c r="JY658" s="3"/>
      <c r="JZ658" s="3"/>
      <c r="KA658" s="3"/>
      <c r="KB658" s="3"/>
      <c r="KC658" s="3"/>
      <c r="KD658" s="3"/>
      <c r="KE658" s="3"/>
      <c r="KF658" s="3"/>
      <c r="KG658" s="3"/>
      <c r="KH658" s="3"/>
      <c r="KI658" s="3"/>
      <c r="KJ658" s="3"/>
      <c r="KK658" s="3"/>
      <c r="KL658" s="3"/>
      <c r="KM658" s="3"/>
      <c r="KN658" s="3"/>
      <c r="KO658" s="3"/>
      <c r="KP658" s="3"/>
      <c r="KQ658" s="3"/>
      <c r="KR658" s="3"/>
      <c r="KS658" s="3"/>
      <c r="KT658" s="3"/>
      <c r="KU658" s="3"/>
      <c r="KV658" s="3"/>
      <c r="KW658" s="3"/>
      <c r="KX658" s="3"/>
      <c r="KY658" s="3"/>
      <c r="KZ658" s="3"/>
      <c r="LA658" s="3"/>
      <c r="LB658" s="3"/>
      <c r="LC658" s="3"/>
      <c r="LD658" s="3"/>
      <c r="LE658" s="3"/>
      <c r="LF658" s="3"/>
      <c r="LG658" s="3"/>
      <c r="LH658" s="3"/>
      <c r="LI658" s="3"/>
      <c r="LJ658" s="3"/>
      <c r="LK658" s="3"/>
      <c r="LL658" s="3"/>
      <c r="LM658" s="3"/>
      <c r="LN658" s="3"/>
      <c r="LO658" s="3"/>
      <c r="LP658" s="3"/>
      <c r="LQ658" s="3"/>
      <c r="LR658" s="3"/>
      <c r="LS658" s="3"/>
      <c r="LT658" s="3"/>
      <c r="LU658" s="3"/>
      <c r="LV658" s="3"/>
      <c r="LW658" s="3"/>
      <c r="LX658" s="3"/>
      <c r="LY658" s="3"/>
      <c r="LZ658" s="3"/>
      <c r="MA658" s="3"/>
      <c r="MB658" s="3"/>
      <c r="MC658" s="3"/>
      <c r="MD658" s="3"/>
      <c r="ME658" s="3"/>
      <c r="MF658" s="3"/>
      <c r="MG658" s="3"/>
      <c r="MH658" s="3"/>
      <c r="MI658" s="3"/>
    </row>
    <row r="659" spans="1:347"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c r="HX659" s="3"/>
      <c r="HY659" s="3"/>
      <c r="HZ659" s="3"/>
      <c r="IA659" s="3"/>
      <c r="IB659" s="3"/>
      <c r="IC659" s="3"/>
      <c r="ID659" s="3"/>
      <c r="IE659" s="3"/>
      <c r="IF659" s="3"/>
      <c r="IG659" s="3"/>
      <c r="IH659" s="3"/>
      <c r="II659" s="3"/>
      <c r="IJ659" s="3"/>
      <c r="IK659" s="3"/>
      <c r="IL659" s="3"/>
      <c r="IM659" s="3"/>
      <c r="IN659" s="3"/>
      <c r="IO659" s="3"/>
      <c r="IP659" s="3"/>
      <c r="IQ659" s="3"/>
      <c r="IR659" s="3"/>
      <c r="IS659" s="3"/>
      <c r="IT659" s="3"/>
      <c r="IU659" s="3"/>
      <c r="IV659" s="3"/>
      <c r="IW659" s="3"/>
      <c r="IX659" s="3"/>
      <c r="IY659" s="3"/>
      <c r="IZ659" s="3"/>
      <c r="JA659" s="3"/>
      <c r="JB659" s="3"/>
      <c r="JC659" s="3"/>
      <c r="JD659" s="3"/>
      <c r="JE659" s="3"/>
      <c r="JF659" s="3"/>
      <c r="JG659" s="3"/>
      <c r="JH659" s="3"/>
      <c r="JI659" s="3"/>
      <c r="JJ659" s="3"/>
      <c r="JK659" s="3"/>
      <c r="JL659" s="3"/>
      <c r="JM659" s="3"/>
      <c r="JN659" s="3"/>
      <c r="JO659" s="3"/>
      <c r="JP659" s="3"/>
      <c r="JQ659" s="3"/>
      <c r="JR659" s="3"/>
      <c r="JS659" s="3"/>
      <c r="JT659" s="3"/>
      <c r="JU659" s="3"/>
      <c r="JV659" s="3"/>
      <c r="JW659" s="3"/>
      <c r="JX659" s="3"/>
      <c r="JY659" s="3"/>
      <c r="JZ659" s="3"/>
      <c r="KA659" s="3"/>
      <c r="KB659" s="3"/>
      <c r="KC659" s="3"/>
      <c r="KD659" s="3"/>
      <c r="KE659" s="3"/>
      <c r="KF659" s="3"/>
      <c r="KG659" s="3"/>
      <c r="KH659" s="3"/>
      <c r="KI659" s="3"/>
      <c r="KJ659" s="3"/>
      <c r="KK659" s="3"/>
      <c r="KL659" s="3"/>
      <c r="KM659" s="3"/>
      <c r="KN659" s="3"/>
      <c r="KO659" s="3"/>
      <c r="KP659" s="3"/>
      <c r="KQ659" s="3"/>
      <c r="KR659" s="3"/>
      <c r="KS659" s="3"/>
      <c r="KT659" s="3"/>
      <c r="KU659" s="3"/>
      <c r="KV659" s="3"/>
      <c r="KW659" s="3"/>
      <c r="KX659" s="3"/>
      <c r="KY659" s="3"/>
      <c r="KZ659" s="3"/>
      <c r="LA659" s="3"/>
      <c r="LB659" s="3"/>
      <c r="LC659" s="3"/>
      <c r="LD659" s="3"/>
      <c r="LE659" s="3"/>
      <c r="LF659" s="3"/>
      <c r="LG659" s="3"/>
      <c r="LH659" s="3"/>
      <c r="LI659" s="3"/>
      <c r="LJ659" s="3"/>
      <c r="LK659" s="3"/>
      <c r="LL659" s="3"/>
      <c r="LM659" s="3"/>
      <c r="LN659" s="3"/>
      <c r="LO659" s="3"/>
      <c r="LP659" s="3"/>
      <c r="LQ659" s="3"/>
      <c r="LR659" s="3"/>
      <c r="LS659" s="3"/>
      <c r="LT659" s="3"/>
      <c r="LU659" s="3"/>
      <c r="LV659" s="3"/>
      <c r="LW659" s="3"/>
      <c r="LX659" s="3"/>
      <c r="LY659" s="3"/>
      <c r="LZ659" s="3"/>
      <c r="MA659" s="3"/>
      <c r="MB659" s="3"/>
      <c r="MC659" s="3"/>
      <c r="MD659" s="3"/>
      <c r="ME659" s="3"/>
      <c r="MF659" s="3"/>
      <c r="MG659" s="3"/>
      <c r="MH659" s="3"/>
      <c r="MI659" s="3"/>
    </row>
    <row r="660" spans="1:347"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c r="HX660" s="3"/>
      <c r="HY660" s="3"/>
      <c r="HZ660" s="3"/>
      <c r="IA660" s="3"/>
      <c r="IB660" s="3"/>
      <c r="IC660" s="3"/>
      <c r="ID660" s="3"/>
      <c r="IE660" s="3"/>
      <c r="IF660" s="3"/>
      <c r="IG660" s="3"/>
      <c r="IH660" s="3"/>
      <c r="II660" s="3"/>
      <c r="IJ660" s="3"/>
      <c r="IK660" s="3"/>
      <c r="IL660" s="3"/>
      <c r="IM660" s="3"/>
      <c r="IN660" s="3"/>
      <c r="IO660" s="3"/>
      <c r="IP660" s="3"/>
      <c r="IQ660" s="3"/>
      <c r="IR660" s="3"/>
      <c r="IS660" s="3"/>
      <c r="IT660" s="3"/>
      <c r="IU660" s="3"/>
      <c r="IV660" s="3"/>
      <c r="IW660" s="3"/>
      <c r="IX660" s="3"/>
      <c r="IY660" s="3"/>
      <c r="IZ660" s="3"/>
      <c r="JA660" s="3"/>
      <c r="JB660" s="3"/>
      <c r="JC660" s="3"/>
      <c r="JD660" s="3"/>
      <c r="JE660" s="3"/>
      <c r="JF660" s="3"/>
      <c r="JG660" s="3"/>
      <c r="JH660" s="3"/>
      <c r="JI660" s="3"/>
      <c r="JJ660" s="3"/>
      <c r="JK660" s="3"/>
      <c r="JL660" s="3"/>
      <c r="JM660" s="3"/>
      <c r="JN660" s="3"/>
      <c r="JO660" s="3"/>
      <c r="JP660" s="3"/>
      <c r="JQ660" s="3"/>
      <c r="JR660" s="3"/>
      <c r="JS660" s="3"/>
      <c r="JT660" s="3"/>
      <c r="JU660" s="3"/>
      <c r="JV660" s="3"/>
      <c r="JW660" s="3"/>
      <c r="JX660" s="3"/>
      <c r="JY660" s="3"/>
      <c r="JZ660" s="3"/>
      <c r="KA660" s="3"/>
      <c r="KB660" s="3"/>
      <c r="KC660" s="3"/>
      <c r="KD660" s="3"/>
      <c r="KE660" s="3"/>
      <c r="KF660" s="3"/>
      <c r="KG660" s="3"/>
      <c r="KH660" s="3"/>
      <c r="KI660" s="3"/>
      <c r="KJ660" s="3"/>
      <c r="KK660" s="3"/>
      <c r="KL660" s="3"/>
      <c r="KM660" s="3"/>
      <c r="KN660" s="3"/>
      <c r="KO660" s="3"/>
      <c r="KP660" s="3"/>
      <c r="KQ660" s="3"/>
      <c r="KR660" s="3"/>
      <c r="KS660" s="3"/>
      <c r="KT660" s="3"/>
      <c r="KU660" s="3"/>
      <c r="KV660" s="3"/>
      <c r="KW660" s="3"/>
      <c r="KX660" s="3"/>
      <c r="KY660" s="3"/>
      <c r="KZ660" s="3"/>
      <c r="LA660" s="3"/>
      <c r="LB660" s="3"/>
      <c r="LC660" s="3"/>
      <c r="LD660" s="3"/>
      <c r="LE660" s="3"/>
      <c r="LF660" s="3"/>
      <c r="LG660" s="3"/>
      <c r="LH660" s="3"/>
      <c r="LI660" s="3"/>
      <c r="LJ660" s="3"/>
      <c r="LK660" s="3"/>
      <c r="LL660" s="3"/>
      <c r="LM660" s="3"/>
      <c r="LN660" s="3"/>
      <c r="LO660" s="3"/>
      <c r="LP660" s="3"/>
      <c r="LQ660" s="3"/>
      <c r="LR660" s="3"/>
      <c r="LS660" s="3"/>
      <c r="LT660" s="3"/>
      <c r="LU660" s="3"/>
      <c r="LV660" s="3"/>
      <c r="LW660" s="3"/>
      <c r="LX660" s="3"/>
      <c r="LY660" s="3"/>
      <c r="LZ660" s="3"/>
      <c r="MA660" s="3"/>
      <c r="MB660" s="3"/>
      <c r="MC660" s="3"/>
      <c r="MD660" s="3"/>
      <c r="ME660" s="3"/>
      <c r="MF660" s="3"/>
      <c r="MG660" s="3"/>
      <c r="MH660" s="3"/>
      <c r="MI660" s="3"/>
    </row>
    <row r="661" spans="1:347"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c r="HX661" s="3"/>
      <c r="HY661" s="3"/>
      <c r="HZ661" s="3"/>
      <c r="IA661" s="3"/>
      <c r="IB661" s="3"/>
      <c r="IC661" s="3"/>
      <c r="ID661" s="3"/>
      <c r="IE661" s="3"/>
      <c r="IF661" s="3"/>
      <c r="IG661" s="3"/>
      <c r="IH661" s="3"/>
      <c r="II661" s="3"/>
      <c r="IJ661" s="3"/>
      <c r="IK661" s="3"/>
      <c r="IL661" s="3"/>
      <c r="IM661" s="3"/>
      <c r="IN661" s="3"/>
      <c r="IO661" s="3"/>
      <c r="IP661" s="3"/>
      <c r="IQ661" s="3"/>
      <c r="IR661" s="3"/>
      <c r="IS661" s="3"/>
      <c r="IT661" s="3"/>
      <c r="IU661" s="3"/>
      <c r="IV661" s="3"/>
      <c r="IW661" s="3"/>
      <c r="IX661" s="3"/>
      <c r="IY661" s="3"/>
      <c r="IZ661" s="3"/>
      <c r="JA661" s="3"/>
      <c r="JB661" s="3"/>
      <c r="JC661" s="3"/>
      <c r="JD661" s="3"/>
      <c r="JE661" s="3"/>
      <c r="JF661" s="3"/>
      <c r="JG661" s="3"/>
      <c r="JH661" s="3"/>
      <c r="JI661" s="3"/>
      <c r="JJ661" s="3"/>
      <c r="JK661" s="3"/>
      <c r="JL661" s="3"/>
      <c r="JM661" s="3"/>
      <c r="JN661" s="3"/>
      <c r="JO661" s="3"/>
      <c r="JP661" s="3"/>
      <c r="JQ661" s="3"/>
      <c r="JR661" s="3"/>
      <c r="JS661" s="3"/>
      <c r="JT661" s="3"/>
      <c r="JU661" s="3"/>
      <c r="JV661" s="3"/>
      <c r="JW661" s="3"/>
      <c r="JX661" s="3"/>
      <c r="JY661" s="3"/>
      <c r="JZ661" s="3"/>
      <c r="KA661" s="3"/>
      <c r="KB661" s="3"/>
      <c r="KC661" s="3"/>
      <c r="KD661" s="3"/>
      <c r="KE661" s="3"/>
      <c r="KF661" s="3"/>
      <c r="KG661" s="3"/>
      <c r="KH661" s="3"/>
      <c r="KI661" s="3"/>
      <c r="KJ661" s="3"/>
      <c r="KK661" s="3"/>
      <c r="KL661" s="3"/>
      <c r="KM661" s="3"/>
      <c r="KN661" s="3"/>
      <c r="KO661" s="3"/>
      <c r="KP661" s="3"/>
      <c r="KQ661" s="3"/>
      <c r="KR661" s="3"/>
      <c r="KS661" s="3"/>
      <c r="KT661" s="3"/>
      <c r="KU661" s="3"/>
      <c r="KV661" s="3"/>
      <c r="KW661" s="3"/>
      <c r="KX661" s="3"/>
      <c r="KY661" s="3"/>
      <c r="KZ661" s="3"/>
      <c r="LA661" s="3"/>
      <c r="LB661" s="3"/>
      <c r="LC661" s="3"/>
      <c r="LD661" s="3"/>
      <c r="LE661" s="3"/>
      <c r="LF661" s="3"/>
      <c r="LG661" s="3"/>
      <c r="LH661" s="3"/>
      <c r="LI661" s="3"/>
      <c r="LJ661" s="3"/>
      <c r="LK661" s="3"/>
      <c r="LL661" s="3"/>
      <c r="LM661" s="3"/>
      <c r="LN661" s="3"/>
      <c r="LO661" s="3"/>
      <c r="LP661" s="3"/>
      <c r="LQ661" s="3"/>
      <c r="LR661" s="3"/>
      <c r="LS661" s="3"/>
      <c r="LT661" s="3"/>
      <c r="LU661" s="3"/>
      <c r="LV661" s="3"/>
      <c r="LW661" s="3"/>
      <c r="LX661" s="3"/>
      <c r="LY661" s="3"/>
      <c r="LZ661" s="3"/>
      <c r="MA661" s="3"/>
      <c r="MB661" s="3"/>
      <c r="MC661" s="3"/>
      <c r="MD661" s="3"/>
      <c r="ME661" s="3"/>
      <c r="MF661" s="3"/>
      <c r="MG661" s="3"/>
      <c r="MH661" s="3"/>
      <c r="MI661" s="3"/>
    </row>
    <row r="662" spans="1:347"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c r="HX662" s="3"/>
      <c r="HY662" s="3"/>
      <c r="HZ662" s="3"/>
      <c r="IA662" s="3"/>
      <c r="IB662" s="3"/>
      <c r="IC662" s="3"/>
      <c r="ID662" s="3"/>
      <c r="IE662" s="3"/>
      <c r="IF662" s="3"/>
      <c r="IG662" s="3"/>
      <c r="IH662" s="3"/>
      <c r="II662" s="3"/>
      <c r="IJ662" s="3"/>
      <c r="IK662" s="3"/>
      <c r="IL662" s="3"/>
      <c r="IM662" s="3"/>
      <c r="IN662" s="3"/>
      <c r="IO662" s="3"/>
      <c r="IP662" s="3"/>
      <c r="IQ662" s="3"/>
      <c r="IR662" s="3"/>
      <c r="IS662" s="3"/>
      <c r="IT662" s="3"/>
      <c r="IU662" s="3"/>
      <c r="IV662" s="3"/>
      <c r="IW662" s="3"/>
      <c r="IX662" s="3"/>
      <c r="IY662" s="3"/>
      <c r="IZ662" s="3"/>
      <c r="JA662" s="3"/>
      <c r="JB662" s="3"/>
      <c r="JC662" s="3"/>
      <c r="JD662" s="3"/>
      <c r="JE662" s="3"/>
      <c r="JF662" s="3"/>
      <c r="JG662" s="3"/>
      <c r="JH662" s="3"/>
      <c r="JI662" s="3"/>
      <c r="JJ662" s="3"/>
      <c r="JK662" s="3"/>
      <c r="JL662" s="3"/>
      <c r="JM662" s="3"/>
      <c r="JN662" s="3"/>
      <c r="JO662" s="3"/>
      <c r="JP662" s="3"/>
      <c r="JQ662" s="3"/>
      <c r="JR662" s="3"/>
      <c r="JS662" s="3"/>
      <c r="JT662" s="3"/>
      <c r="JU662" s="3"/>
      <c r="JV662" s="3"/>
      <c r="JW662" s="3"/>
      <c r="JX662" s="3"/>
      <c r="JY662" s="3"/>
      <c r="JZ662" s="3"/>
      <c r="KA662" s="3"/>
      <c r="KB662" s="3"/>
      <c r="KC662" s="3"/>
      <c r="KD662" s="3"/>
      <c r="KE662" s="3"/>
      <c r="KF662" s="3"/>
      <c r="KG662" s="3"/>
      <c r="KH662" s="3"/>
      <c r="KI662" s="3"/>
      <c r="KJ662" s="3"/>
      <c r="KK662" s="3"/>
      <c r="KL662" s="3"/>
      <c r="KM662" s="3"/>
      <c r="KN662" s="3"/>
      <c r="KO662" s="3"/>
      <c r="KP662" s="3"/>
      <c r="KQ662" s="3"/>
      <c r="KR662" s="3"/>
      <c r="KS662" s="3"/>
      <c r="KT662" s="3"/>
      <c r="KU662" s="3"/>
      <c r="KV662" s="3"/>
      <c r="KW662" s="3"/>
      <c r="KX662" s="3"/>
      <c r="KY662" s="3"/>
      <c r="KZ662" s="3"/>
      <c r="LA662" s="3"/>
      <c r="LB662" s="3"/>
      <c r="LC662" s="3"/>
      <c r="LD662" s="3"/>
      <c r="LE662" s="3"/>
      <c r="LF662" s="3"/>
      <c r="LG662" s="3"/>
      <c r="LH662" s="3"/>
      <c r="LI662" s="3"/>
      <c r="LJ662" s="3"/>
      <c r="LK662" s="3"/>
      <c r="LL662" s="3"/>
      <c r="LM662" s="3"/>
      <c r="LN662" s="3"/>
      <c r="LO662" s="3"/>
      <c r="LP662" s="3"/>
      <c r="LQ662" s="3"/>
      <c r="LR662" s="3"/>
      <c r="LS662" s="3"/>
      <c r="LT662" s="3"/>
      <c r="LU662" s="3"/>
      <c r="LV662" s="3"/>
      <c r="LW662" s="3"/>
      <c r="LX662" s="3"/>
      <c r="LY662" s="3"/>
      <c r="LZ662" s="3"/>
      <c r="MA662" s="3"/>
      <c r="MB662" s="3"/>
      <c r="MC662" s="3"/>
      <c r="MD662" s="3"/>
      <c r="ME662" s="3"/>
      <c r="MF662" s="3"/>
      <c r="MG662" s="3"/>
      <c r="MH662" s="3"/>
      <c r="MI662" s="3"/>
    </row>
    <row r="663" spans="1:347"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c r="HX663" s="3"/>
      <c r="HY663" s="3"/>
      <c r="HZ663" s="3"/>
      <c r="IA663" s="3"/>
      <c r="IB663" s="3"/>
      <c r="IC663" s="3"/>
      <c r="ID663" s="3"/>
      <c r="IE663" s="3"/>
      <c r="IF663" s="3"/>
      <c r="IG663" s="3"/>
      <c r="IH663" s="3"/>
      <c r="II663" s="3"/>
      <c r="IJ663" s="3"/>
      <c r="IK663" s="3"/>
      <c r="IL663" s="3"/>
      <c r="IM663" s="3"/>
      <c r="IN663" s="3"/>
      <c r="IO663" s="3"/>
      <c r="IP663" s="3"/>
      <c r="IQ663" s="3"/>
      <c r="IR663" s="3"/>
      <c r="IS663" s="3"/>
      <c r="IT663" s="3"/>
      <c r="IU663" s="3"/>
      <c r="IV663" s="3"/>
      <c r="IW663" s="3"/>
      <c r="IX663" s="3"/>
      <c r="IY663" s="3"/>
      <c r="IZ663" s="3"/>
      <c r="JA663" s="3"/>
      <c r="JB663" s="3"/>
      <c r="JC663" s="3"/>
      <c r="JD663" s="3"/>
      <c r="JE663" s="3"/>
      <c r="JF663" s="3"/>
      <c r="JG663" s="3"/>
      <c r="JH663" s="3"/>
      <c r="JI663" s="3"/>
      <c r="JJ663" s="3"/>
      <c r="JK663" s="3"/>
      <c r="JL663" s="3"/>
      <c r="JM663" s="3"/>
      <c r="JN663" s="3"/>
      <c r="JO663" s="3"/>
      <c r="JP663" s="3"/>
      <c r="JQ663" s="3"/>
      <c r="JR663" s="3"/>
      <c r="JS663" s="3"/>
      <c r="JT663" s="3"/>
      <c r="JU663" s="3"/>
      <c r="JV663" s="3"/>
      <c r="JW663" s="3"/>
      <c r="JX663" s="3"/>
      <c r="JY663" s="3"/>
      <c r="JZ663" s="3"/>
      <c r="KA663" s="3"/>
      <c r="KB663" s="3"/>
      <c r="KC663" s="3"/>
      <c r="KD663" s="3"/>
      <c r="KE663" s="3"/>
      <c r="KF663" s="3"/>
      <c r="KG663" s="3"/>
      <c r="KH663" s="3"/>
      <c r="KI663" s="3"/>
      <c r="KJ663" s="3"/>
      <c r="KK663" s="3"/>
      <c r="KL663" s="3"/>
      <c r="KM663" s="3"/>
      <c r="KN663" s="3"/>
      <c r="KO663" s="3"/>
      <c r="KP663" s="3"/>
      <c r="KQ663" s="3"/>
      <c r="KR663" s="3"/>
      <c r="KS663" s="3"/>
      <c r="KT663" s="3"/>
      <c r="KU663" s="3"/>
      <c r="KV663" s="3"/>
      <c r="KW663" s="3"/>
      <c r="KX663" s="3"/>
      <c r="KY663" s="3"/>
      <c r="KZ663" s="3"/>
      <c r="LA663" s="3"/>
      <c r="LB663" s="3"/>
      <c r="LC663" s="3"/>
      <c r="LD663" s="3"/>
      <c r="LE663" s="3"/>
      <c r="LF663" s="3"/>
      <c r="LG663" s="3"/>
      <c r="LH663" s="3"/>
      <c r="LI663" s="3"/>
      <c r="LJ663" s="3"/>
      <c r="LK663" s="3"/>
      <c r="LL663" s="3"/>
      <c r="LM663" s="3"/>
      <c r="LN663" s="3"/>
      <c r="LO663" s="3"/>
      <c r="LP663" s="3"/>
      <c r="LQ663" s="3"/>
      <c r="LR663" s="3"/>
      <c r="LS663" s="3"/>
      <c r="LT663" s="3"/>
      <c r="LU663" s="3"/>
      <c r="LV663" s="3"/>
      <c r="LW663" s="3"/>
      <c r="LX663" s="3"/>
      <c r="LY663" s="3"/>
      <c r="LZ663" s="3"/>
      <c r="MA663" s="3"/>
      <c r="MB663" s="3"/>
      <c r="MC663" s="3"/>
      <c r="MD663" s="3"/>
      <c r="ME663" s="3"/>
      <c r="MF663" s="3"/>
      <c r="MG663" s="3"/>
      <c r="MH663" s="3"/>
      <c r="MI663" s="3"/>
    </row>
    <row r="664" spans="1:347"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c r="HX664" s="3"/>
      <c r="HY664" s="3"/>
      <c r="HZ664" s="3"/>
      <c r="IA664" s="3"/>
      <c r="IB664" s="3"/>
      <c r="IC664" s="3"/>
      <c r="ID664" s="3"/>
      <c r="IE664" s="3"/>
      <c r="IF664" s="3"/>
      <c r="IG664" s="3"/>
      <c r="IH664" s="3"/>
      <c r="II664" s="3"/>
      <c r="IJ664" s="3"/>
      <c r="IK664" s="3"/>
      <c r="IL664" s="3"/>
      <c r="IM664" s="3"/>
      <c r="IN664" s="3"/>
      <c r="IO664" s="3"/>
      <c r="IP664" s="3"/>
      <c r="IQ664" s="3"/>
      <c r="IR664" s="3"/>
      <c r="IS664" s="3"/>
      <c r="IT664" s="3"/>
      <c r="IU664" s="3"/>
      <c r="IV664" s="3"/>
      <c r="IW664" s="3"/>
      <c r="IX664" s="3"/>
      <c r="IY664" s="3"/>
      <c r="IZ664" s="3"/>
      <c r="JA664" s="3"/>
      <c r="JB664" s="3"/>
      <c r="JC664" s="3"/>
      <c r="JD664" s="3"/>
      <c r="JE664" s="3"/>
      <c r="JF664" s="3"/>
      <c r="JG664" s="3"/>
      <c r="JH664" s="3"/>
      <c r="JI664" s="3"/>
      <c r="JJ664" s="3"/>
      <c r="JK664" s="3"/>
      <c r="JL664" s="3"/>
      <c r="JM664" s="3"/>
      <c r="JN664" s="3"/>
      <c r="JO664" s="3"/>
      <c r="JP664" s="3"/>
      <c r="JQ664" s="3"/>
      <c r="JR664" s="3"/>
      <c r="JS664" s="3"/>
      <c r="JT664" s="3"/>
      <c r="JU664" s="3"/>
      <c r="JV664" s="3"/>
      <c r="JW664" s="3"/>
      <c r="JX664" s="3"/>
      <c r="JY664" s="3"/>
      <c r="JZ664" s="3"/>
      <c r="KA664" s="3"/>
      <c r="KB664" s="3"/>
      <c r="KC664" s="3"/>
      <c r="KD664" s="3"/>
      <c r="KE664" s="3"/>
      <c r="KF664" s="3"/>
      <c r="KG664" s="3"/>
      <c r="KH664" s="3"/>
      <c r="KI664" s="3"/>
      <c r="KJ664" s="3"/>
      <c r="KK664" s="3"/>
      <c r="KL664" s="3"/>
      <c r="KM664" s="3"/>
      <c r="KN664" s="3"/>
      <c r="KO664" s="3"/>
      <c r="KP664" s="3"/>
      <c r="KQ664" s="3"/>
      <c r="KR664" s="3"/>
      <c r="KS664" s="3"/>
      <c r="KT664" s="3"/>
      <c r="KU664" s="3"/>
      <c r="KV664" s="3"/>
      <c r="KW664" s="3"/>
      <c r="KX664" s="3"/>
      <c r="KY664" s="3"/>
      <c r="KZ664" s="3"/>
      <c r="LA664" s="3"/>
      <c r="LB664" s="3"/>
      <c r="LC664" s="3"/>
      <c r="LD664" s="3"/>
      <c r="LE664" s="3"/>
      <c r="LF664" s="3"/>
      <c r="LG664" s="3"/>
      <c r="LH664" s="3"/>
      <c r="LI664" s="3"/>
      <c r="LJ664" s="3"/>
      <c r="LK664" s="3"/>
      <c r="LL664" s="3"/>
      <c r="LM664" s="3"/>
      <c r="LN664" s="3"/>
      <c r="LO664" s="3"/>
      <c r="LP664" s="3"/>
      <c r="LQ664" s="3"/>
      <c r="LR664" s="3"/>
      <c r="LS664" s="3"/>
      <c r="LT664" s="3"/>
      <c r="LU664" s="3"/>
      <c r="LV664" s="3"/>
      <c r="LW664" s="3"/>
      <c r="LX664" s="3"/>
      <c r="LY664" s="3"/>
      <c r="LZ664" s="3"/>
      <c r="MA664" s="3"/>
      <c r="MB664" s="3"/>
      <c r="MC664" s="3"/>
      <c r="MD664" s="3"/>
      <c r="ME664" s="3"/>
      <c r="MF664" s="3"/>
      <c r="MG664" s="3"/>
      <c r="MH664" s="3"/>
      <c r="MI664" s="3"/>
    </row>
    <row r="665" spans="1:347"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c r="HX665" s="3"/>
      <c r="HY665" s="3"/>
      <c r="HZ665" s="3"/>
      <c r="IA665" s="3"/>
      <c r="IB665" s="3"/>
      <c r="IC665" s="3"/>
      <c r="ID665" s="3"/>
      <c r="IE665" s="3"/>
      <c r="IF665" s="3"/>
      <c r="IG665" s="3"/>
      <c r="IH665" s="3"/>
      <c r="II665" s="3"/>
      <c r="IJ665" s="3"/>
      <c r="IK665" s="3"/>
      <c r="IL665" s="3"/>
      <c r="IM665" s="3"/>
      <c r="IN665" s="3"/>
      <c r="IO665" s="3"/>
      <c r="IP665" s="3"/>
      <c r="IQ665" s="3"/>
      <c r="IR665" s="3"/>
      <c r="IS665" s="3"/>
      <c r="IT665" s="3"/>
      <c r="IU665" s="3"/>
      <c r="IV665" s="3"/>
      <c r="IW665" s="3"/>
      <c r="IX665" s="3"/>
      <c r="IY665" s="3"/>
      <c r="IZ665" s="3"/>
      <c r="JA665" s="3"/>
      <c r="JB665" s="3"/>
      <c r="JC665" s="3"/>
      <c r="JD665" s="3"/>
      <c r="JE665" s="3"/>
      <c r="JF665" s="3"/>
      <c r="JG665" s="3"/>
      <c r="JH665" s="3"/>
      <c r="JI665" s="3"/>
      <c r="JJ665" s="3"/>
      <c r="JK665" s="3"/>
      <c r="JL665" s="3"/>
      <c r="JM665" s="3"/>
      <c r="JN665" s="3"/>
      <c r="JO665" s="3"/>
      <c r="JP665" s="3"/>
      <c r="JQ665" s="3"/>
      <c r="JR665" s="3"/>
      <c r="JS665" s="3"/>
      <c r="JT665" s="3"/>
      <c r="JU665" s="3"/>
      <c r="JV665" s="3"/>
      <c r="JW665" s="3"/>
      <c r="JX665" s="3"/>
      <c r="JY665" s="3"/>
      <c r="JZ665" s="3"/>
      <c r="KA665" s="3"/>
      <c r="KB665" s="3"/>
      <c r="KC665" s="3"/>
      <c r="KD665" s="3"/>
      <c r="KE665" s="3"/>
      <c r="KF665" s="3"/>
      <c r="KG665" s="3"/>
      <c r="KH665" s="3"/>
      <c r="KI665" s="3"/>
      <c r="KJ665" s="3"/>
      <c r="KK665" s="3"/>
      <c r="KL665" s="3"/>
      <c r="KM665" s="3"/>
      <c r="KN665" s="3"/>
      <c r="KO665" s="3"/>
      <c r="KP665" s="3"/>
      <c r="KQ665" s="3"/>
      <c r="KR665" s="3"/>
      <c r="KS665" s="3"/>
      <c r="KT665" s="3"/>
      <c r="KU665" s="3"/>
      <c r="KV665" s="3"/>
      <c r="KW665" s="3"/>
      <c r="KX665" s="3"/>
      <c r="KY665" s="3"/>
      <c r="KZ665" s="3"/>
      <c r="LA665" s="3"/>
      <c r="LB665" s="3"/>
      <c r="LC665" s="3"/>
      <c r="LD665" s="3"/>
      <c r="LE665" s="3"/>
      <c r="LF665" s="3"/>
      <c r="LG665" s="3"/>
      <c r="LH665" s="3"/>
      <c r="LI665" s="3"/>
      <c r="LJ665" s="3"/>
      <c r="LK665" s="3"/>
      <c r="LL665" s="3"/>
      <c r="LM665" s="3"/>
      <c r="LN665" s="3"/>
      <c r="LO665" s="3"/>
      <c r="LP665" s="3"/>
      <c r="LQ665" s="3"/>
      <c r="LR665" s="3"/>
      <c r="LS665" s="3"/>
      <c r="LT665" s="3"/>
      <c r="LU665" s="3"/>
      <c r="LV665" s="3"/>
      <c r="LW665" s="3"/>
      <c r="LX665" s="3"/>
      <c r="LY665" s="3"/>
      <c r="LZ665" s="3"/>
      <c r="MA665" s="3"/>
      <c r="MB665" s="3"/>
      <c r="MC665" s="3"/>
      <c r="MD665" s="3"/>
      <c r="ME665" s="3"/>
      <c r="MF665" s="3"/>
      <c r="MG665" s="3"/>
      <c r="MH665" s="3"/>
      <c r="MI665" s="3"/>
    </row>
    <row r="666" spans="1:347"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c r="HX666" s="3"/>
      <c r="HY666" s="3"/>
      <c r="HZ666" s="3"/>
      <c r="IA666" s="3"/>
      <c r="IB666" s="3"/>
      <c r="IC666" s="3"/>
      <c r="ID666" s="3"/>
      <c r="IE666" s="3"/>
      <c r="IF666" s="3"/>
      <c r="IG666" s="3"/>
      <c r="IH666" s="3"/>
      <c r="II666" s="3"/>
      <c r="IJ666" s="3"/>
      <c r="IK666" s="3"/>
      <c r="IL666" s="3"/>
      <c r="IM666" s="3"/>
      <c r="IN666" s="3"/>
      <c r="IO666" s="3"/>
      <c r="IP666" s="3"/>
      <c r="IQ666" s="3"/>
      <c r="IR666" s="3"/>
      <c r="IS666" s="3"/>
      <c r="IT666" s="3"/>
      <c r="IU666" s="3"/>
      <c r="IV666" s="3"/>
      <c r="IW666" s="3"/>
      <c r="IX666" s="3"/>
      <c r="IY666" s="3"/>
      <c r="IZ666" s="3"/>
      <c r="JA666" s="3"/>
      <c r="JB666" s="3"/>
      <c r="JC666" s="3"/>
      <c r="JD666" s="3"/>
      <c r="JE666" s="3"/>
      <c r="JF666" s="3"/>
      <c r="JG666" s="3"/>
      <c r="JH666" s="3"/>
      <c r="JI666" s="3"/>
      <c r="JJ666" s="3"/>
      <c r="JK666" s="3"/>
      <c r="JL666" s="3"/>
      <c r="JM666" s="3"/>
      <c r="JN666" s="3"/>
      <c r="JO666" s="3"/>
      <c r="JP666" s="3"/>
      <c r="JQ666" s="3"/>
      <c r="JR666" s="3"/>
      <c r="JS666" s="3"/>
      <c r="JT666" s="3"/>
      <c r="JU666" s="3"/>
      <c r="JV666" s="3"/>
      <c r="JW666" s="3"/>
      <c r="JX666" s="3"/>
      <c r="JY666" s="3"/>
      <c r="JZ666" s="3"/>
      <c r="KA666" s="3"/>
      <c r="KB666" s="3"/>
      <c r="KC666" s="3"/>
      <c r="KD666" s="3"/>
      <c r="KE666" s="3"/>
      <c r="KF666" s="3"/>
      <c r="KG666" s="3"/>
      <c r="KH666" s="3"/>
      <c r="KI666" s="3"/>
      <c r="KJ666" s="3"/>
      <c r="KK666" s="3"/>
      <c r="KL666" s="3"/>
      <c r="KM666" s="3"/>
      <c r="KN666" s="3"/>
      <c r="KO666" s="3"/>
      <c r="KP666" s="3"/>
      <c r="KQ666" s="3"/>
      <c r="KR666" s="3"/>
      <c r="KS666" s="3"/>
      <c r="KT666" s="3"/>
      <c r="KU666" s="3"/>
      <c r="KV666" s="3"/>
      <c r="KW666" s="3"/>
      <c r="KX666" s="3"/>
      <c r="KY666" s="3"/>
      <c r="KZ666" s="3"/>
      <c r="LA666" s="3"/>
      <c r="LB666" s="3"/>
      <c r="LC666" s="3"/>
      <c r="LD666" s="3"/>
      <c r="LE666" s="3"/>
      <c r="LF666" s="3"/>
      <c r="LG666" s="3"/>
      <c r="LH666" s="3"/>
      <c r="LI666" s="3"/>
      <c r="LJ666" s="3"/>
      <c r="LK666" s="3"/>
      <c r="LL666" s="3"/>
      <c r="LM666" s="3"/>
      <c r="LN666" s="3"/>
      <c r="LO666" s="3"/>
      <c r="LP666" s="3"/>
      <c r="LQ666" s="3"/>
      <c r="LR666" s="3"/>
      <c r="LS666" s="3"/>
      <c r="LT666" s="3"/>
      <c r="LU666" s="3"/>
      <c r="LV666" s="3"/>
      <c r="LW666" s="3"/>
      <c r="LX666" s="3"/>
      <c r="LY666" s="3"/>
      <c r="LZ666" s="3"/>
      <c r="MA666" s="3"/>
      <c r="MB666" s="3"/>
      <c r="MC666" s="3"/>
      <c r="MD666" s="3"/>
      <c r="ME666" s="3"/>
      <c r="MF666" s="3"/>
      <c r="MG666" s="3"/>
      <c r="MH666" s="3"/>
      <c r="MI666" s="3"/>
    </row>
    <row r="667" spans="1:347"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c r="HX667" s="3"/>
      <c r="HY667" s="3"/>
      <c r="HZ667" s="3"/>
      <c r="IA667" s="3"/>
      <c r="IB667" s="3"/>
      <c r="IC667" s="3"/>
      <c r="ID667" s="3"/>
      <c r="IE667" s="3"/>
      <c r="IF667" s="3"/>
      <c r="IG667" s="3"/>
      <c r="IH667" s="3"/>
      <c r="II667" s="3"/>
      <c r="IJ667" s="3"/>
      <c r="IK667" s="3"/>
      <c r="IL667" s="3"/>
      <c r="IM667" s="3"/>
      <c r="IN667" s="3"/>
      <c r="IO667" s="3"/>
      <c r="IP667" s="3"/>
      <c r="IQ667" s="3"/>
      <c r="IR667" s="3"/>
      <c r="IS667" s="3"/>
      <c r="IT667" s="3"/>
      <c r="IU667" s="3"/>
      <c r="IV667" s="3"/>
      <c r="IW667" s="3"/>
      <c r="IX667" s="3"/>
      <c r="IY667" s="3"/>
      <c r="IZ667" s="3"/>
      <c r="JA667" s="3"/>
      <c r="JB667" s="3"/>
      <c r="JC667" s="3"/>
      <c r="JD667" s="3"/>
      <c r="JE667" s="3"/>
      <c r="JF667" s="3"/>
      <c r="JG667" s="3"/>
      <c r="JH667" s="3"/>
      <c r="JI667" s="3"/>
      <c r="JJ667" s="3"/>
      <c r="JK667" s="3"/>
      <c r="JL667" s="3"/>
      <c r="JM667" s="3"/>
      <c r="JN667" s="3"/>
      <c r="JO667" s="3"/>
      <c r="JP667" s="3"/>
      <c r="JQ667" s="3"/>
      <c r="JR667" s="3"/>
      <c r="JS667" s="3"/>
      <c r="JT667" s="3"/>
      <c r="JU667" s="3"/>
      <c r="JV667" s="3"/>
      <c r="JW667" s="3"/>
      <c r="JX667" s="3"/>
      <c r="JY667" s="3"/>
      <c r="JZ667" s="3"/>
      <c r="KA667" s="3"/>
      <c r="KB667" s="3"/>
      <c r="KC667" s="3"/>
      <c r="KD667" s="3"/>
      <c r="KE667" s="3"/>
      <c r="KF667" s="3"/>
      <c r="KG667" s="3"/>
      <c r="KH667" s="3"/>
      <c r="KI667" s="3"/>
      <c r="KJ667" s="3"/>
      <c r="KK667" s="3"/>
      <c r="KL667" s="3"/>
      <c r="KM667" s="3"/>
      <c r="KN667" s="3"/>
      <c r="KO667" s="3"/>
      <c r="KP667" s="3"/>
      <c r="KQ667" s="3"/>
      <c r="KR667" s="3"/>
      <c r="KS667" s="3"/>
      <c r="KT667" s="3"/>
      <c r="KU667" s="3"/>
      <c r="KV667" s="3"/>
      <c r="KW667" s="3"/>
      <c r="KX667" s="3"/>
      <c r="KY667" s="3"/>
      <c r="KZ667" s="3"/>
      <c r="LA667" s="3"/>
      <c r="LB667" s="3"/>
      <c r="LC667" s="3"/>
      <c r="LD667" s="3"/>
      <c r="LE667" s="3"/>
      <c r="LF667" s="3"/>
      <c r="LG667" s="3"/>
      <c r="LH667" s="3"/>
      <c r="LI667" s="3"/>
      <c r="LJ667" s="3"/>
      <c r="LK667" s="3"/>
      <c r="LL667" s="3"/>
      <c r="LM667" s="3"/>
      <c r="LN667" s="3"/>
      <c r="LO667" s="3"/>
      <c r="LP667" s="3"/>
      <c r="LQ667" s="3"/>
      <c r="LR667" s="3"/>
      <c r="LS667" s="3"/>
      <c r="LT667" s="3"/>
      <c r="LU667" s="3"/>
      <c r="LV667" s="3"/>
      <c r="LW667" s="3"/>
      <c r="LX667" s="3"/>
      <c r="LY667" s="3"/>
      <c r="LZ667" s="3"/>
      <c r="MA667" s="3"/>
      <c r="MB667" s="3"/>
      <c r="MC667" s="3"/>
      <c r="MD667" s="3"/>
      <c r="ME667" s="3"/>
      <c r="MF667" s="3"/>
      <c r="MG667" s="3"/>
      <c r="MH667" s="3"/>
      <c r="MI667" s="3"/>
    </row>
    <row r="668" spans="1:347"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c r="HX668" s="3"/>
      <c r="HY668" s="3"/>
      <c r="HZ668" s="3"/>
      <c r="IA668" s="3"/>
      <c r="IB668" s="3"/>
      <c r="IC668" s="3"/>
      <c r="ID668" s="3"/>
      <c r="IE668" s="3"/>
      <c r="IF668" s="3"/>
      <c r="IG668" s="3"/>
      <c r="IH668" s="3"/>
      <c r="II668" s="3"/>
      <c r="IJ668" s="3"/>
      <c r="IK668" s="3"/>
      <c r="IL668" s="3"/>
      <c r="IM668" s="3"/>
      <c r="IN668" s="3"/>
      <c r="IO668" s="3"/>
      <c r="IP668" s="3"/>
      <c r="IQ668" s="3"/>
      <c r="IR668" s="3"/>
      <c r="IS668" s="3"/>
      <c r="IT668" s="3"/>
      <c r="IU668" s="3"/>
      <c r="IV668" s="3"/>
      <c r="IW668" s="3"/>
      <c r="IX668" s="3"/>
      <c r="IY668" s="3"/>
      <c r="IZ668" s="3"/>
      <c r="JA668" s="3"/>
      <c r="JB668" s="3"/>
      <c r="JC668" s="3"/>
      <c r="JD668" s="3"/>
      <c r="JE668" s="3"/>
      <c r="JF668" s="3"/>
      <c r="JG668" s="3"/>
      <c r="JH668" s="3"/>
      <c r="JI668" s="3"/>
      <c r="JJ668" s="3"/>
      <c r="JK668" s="3"/>
      <c r="JL668" s="3"/>
      <c r="JM668" s="3"/>
      <c r="JN668" s="3"/>
      <c r="JO668" s="3"/>
      <c r="JP668" s="3"/>
      <c r="JQ668" s="3"/>
      <c r="JR668" s="3"/>
      <c r="JS668" s="3"/>
      <c r="JT668" s="3"/>
      <c r="JU668" s="3"/>
      <c r="JV668" s="3"/>
      <c r="JW668" s="3"/>
      <c r="JX668" s="3"/>
      <c r="JY668" s="3"/>
      <c r="JZ668" s="3"/>
      <c r="KA668" s="3"/>
      <c r="KB668" s="3"/>
      <c r="KC668" s="3"/>
      <c r="KD668" s="3"/>
      <c r="KE668" s="3"/>
      <c r="KF668" s="3"/>
      <c r="KG668" s="3"/>
      <c r="KH668" s="3"/>
      <c r="KI668" s="3"/>
      <c r="KJ668" s="3"/>
      <c r="KK668" s="3"/>
      <c r="KL668" s="3"/>
      <c r="KM668" s="3"/>
      <c r="KN668" s="3"/>
      <c r="KO668" s="3"/>
      <c r="KP668" s="3"/>
      <c r="KQ668" s="3"/>
      <c r="KR668" s="3"/>
      <c r="KS668" s="3"/>
      <c r="KT668" s="3"/>
      <c r="KU668" s="3"/>
      <c r="KV668" s="3"/>
      <c r="KW668" s="3"/>
      <c r="KX668" s="3"/>
      <c r="KY668" s="3"/>
      <c r="KZ668" s="3"/>
      <c r="LA668" s="3"/>
      <c r="LB668" s="3"/>
      <c r="LC668" s="3"/>
      <c r="LD668" s="3"/>
      <c r="LE668" s="3"/>
      <c r="LF668" s="3"/>
      <c r="LG668" s="3"/>
      <c r="LH668" s="3"/>
      <c r="LI668" s="3"/>
      <c r="LJ668" s="3"/>
      <c r="LK668" s="3"/>
      <c r="LL668" s="3"/>
      <c r="LM668" s="3"/>
      <c r="LN668" s="3"/>
      <c r="LO668" s="3"/>
      <c r="LP668" s="3"/>
      <c r="LQ668" s="3"/>
      <c r="LR668" s="3"/>
      <c r="LS668" s="3"/>
      <c r="LT668" s="3"/>
      <c r="LU668" s="3"/>
      <c r="LV668" s="3"/>
      <c r="LW668" s="3"/>
      <c r="LX668" s="3"/>
      <c r="LY668" s="3"/>
      <c r="LZ668" s="3"/>
      <c r="MA668" s="3"/>
      <c r="MB668" s="3"/>
      <c r="MC668" s="3"/>
      <c r="MD668" s="3"/>
      <c r="ME668" s="3"/>
      <c r="MF668" s="3"/>
      <c r="MG668" s="3"/>
      <c r="MH668" s="3"/>
      <c r="MI668" s="3"/>
    </row>
    <row r="669" spans="1:347"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c r="HX669" s="3"/>
      <c r="HY669" s="3"/>
      <c r="HZ669" s="3"/>
      <c r="IA669" s="3"/>
      <c r="IB669" s="3"/>
      <c r="IC669" s="3"/>
      <c r="ID669" s="3"/>
      <c r="IE669" s="3"/>
      <c r="IF669" s="3"/>
      <c r="IG669" s="3"/>
      <c r="IH669" s="3"/>
      <c r="II669" s="3"/>
      <c r="IJ669" s="3"/>
      <c r="IK669" s="3"/>
      <c r="IL669" s="3"/>
      <c r="IM669" s="3"/>
      <c r="IN669" s="3"/>
      <c r="IO669" s="3"/>
      <c r="IP669" s="3"/>
      <c r="IQ669" s="3"/>
      <c r="IR669" s="3"/>
      <c r="IS669" s="3"/>
      <c r="IT669" s="3"/>
      <c r="IU669" s="3"/>
      <c r="IV669" s="3"/>
      <c r="IW669" s="3"/>
      <c r="IX669" s="3"/>
      <c r="IY669" s="3"/>
      <c r="IZ669" s="3"/>
      <c r="JA669" s="3"/>
      <c r="JB669" s="3"/>
      <c r="JC669" s="3"/>
      <c r="JD669" s="3"/>
      <c r="JE669" s="3"/>
      <c r="JF669" s="3"/>
      <c r="JG669" s="3"/>
      <c r="JH669" s="3"/>
      <c r="JI669" s="3"/>
      <c r="JJ669" s="3"/>
      <c r="JK669" s="3"/>
      <c r="JL669" s="3"/>
      <c r="JM669" s="3"/>
      <c r="JN669" s="3"/>
      <c r="JO669" s="3"/>
      <c r="JP669" s="3"/>
      <c r="JQ669" s="3"/>
      <c r="JR669" s="3"/>
      <c r="JS669" s="3"/>
      <c r="JT669" s="3"/>
      <c r="JU669" s="3"/>
      <c r="JV669" s="3"/>
      <c r="JW669" s="3"/>
      <c r="JX669" s="3"/>
      <c r="JY669" s="3"/>
      <c r="JZ669" s="3"/>
      <c r="KA669" s="3"/>
      <c r="KB669" s="3"/>
      <c r="KC669" s="3"/>
      <c r="KD669" s="3"/>
      <c r="KE669" s="3"/>
      <c r="KF669" s="3"/>
      <c r="KG669" s="3"/>
      <c r="KH669" s="3"/>
      <c r="KI669" s="3"/>
      <c r="KJ669" s="3"/>
      <c r="KK669" s="3"/>
      <c r="KL669" s="3"/>
      <c r="KM669" s="3"/>
      <c r="KN669" s="3"/>
      <c r="KO669" s="3"/>
      <c r="KP669" s="3"/>
      <c r="KQ669" s="3"/>
      <c r="KR669" s="3"/>
      <c r="KS669" s="3"/>
      <c r="KT669" s="3"/>
      <c r="KU669" s="3"/>
      <c r="KV669" s="3"/>
      <c r="KW669" s="3"/>
      <c r="KX669" s="3"/>
      <c r="KY669" s="3"/>
      <c r="KZ669" s="3"/>
      <c r="LA669" s="3"/>
      <c r="LB669" s="3"/>
      <c r="LC669" s="3"/>
      <c r="LD669" s="3"/>
      <c r="LE669" s="3"/>
      <c r="LF669" s="3"/>
      <c r="LG669" s="3"/>
      <c r="LH669" s="3"/>
      <c r="LI669" s="3"/>
      <c r="LJ669" s="3"/>
      <c r="LK669" s="3"/>
      <c r="LL669" s="3"/>
      <c r="LM669" s="3"/>
      <c r="LN669" s="3"/>
      <c r="LO669" s="3"/>
      <c r="LP669" s="3"/>
      <c r="LQ669" s="3"/>
      <c r="LR669" s="3"/>
      <c r="LS669" s="3"/>
      <c r="LT669" s="3"/>
      <c r="LU669" s="3"/>
      <c r="LV669" s="3"/>
      <c r="LW669" s="3"/>
      <c r="LX669" s="3"/>
      <c r="LY669" s="3"/>
      <c r="LZ669" s="3"/>
      <c r="MA669" s="3"/>
      <c r="MB669" s="3"/>
      <c r="MC669" s="3"/>
      <c r="MD669" s="3"/>
      <c r="ME669" s="3"/>
      <c r="MF669" s="3"/>
      <c r="MG669" s="3"/>
      <c r="MH669" s="3"/>
      <c r="MI669" s="3"/>
    </row>
    <row r="670" spans="1:347"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c r="HX670" s="3"/>
      <c r="HY670" s="3"/>
      <c r="HZ670" s="3"/>
      <c r="IA670" s="3"/>
      <c r="IB670" s="3"/>
      <c r="IC670" s="3"/>
      <c r="ID670" s="3"/>
      <c r="IE670" s="3"/>
      <c r="IF670" s="3"/>
      <c r="IG670" s="3"/>
      <c r="IH670" s="3"/>
      <c r="II670" s="3"/>
      <c r="IJ670" s="3"/>
      <c r="IK670" s="3"/>
      <c r="IL670" s="3"/>
      <c r="IM670" s="3"/>
      <c r="IN670" s="3"/>
      <c r="IO670" s="3"/>
      <c r="IP670" s="3"/>
      <c r="IQ670" s="3"/>
      <c r="IR670" s="3"/>
      <c r="IS670" s="3"/>
      <c r="IT670" s="3"/>
      <c r="IU670" s="3"/>
      <c r="IV670" s="3"/>
      <c r="IW670" s="3"/>
      <c r="IX670" s="3"/>
      <c r="IY670" s="3"/>
      <c r="IZ670" s="3"/>
      <c r="JA670" s="3"/>
      <c r="JB670" s="3"/>
      <c r="JC670" s="3"/>
      <c r="JD670" s="3"/>
      <c r="JE670" s="3"/>
      <c r="JF670" s="3"/>
      <c r="JG670" s="3"/>
      <c r="JH670" s="3"/>
      <c r="JI670" s="3"/>
      <c r="JJ670" s="3"/>
      <c r="JK670" s="3"/>
      <c r="JL670" s="3"/>
      <c r="JM670" s="3"/>
      <c r="JN670" s="3"/>
      <c r="JO670" s="3"/>
      <c r="JP670" s="3"/>
      <c r="JQ670" s="3"/>
      <c r="JR670" s="3"/>
      <c r="JS670" s="3"/>
      <c r="JT670" s="3"/>
      <c r="JU670" s="3"/>
      <c r="JV670" s="3"/>
      <c r="JW670" s="3"/>
      <c r="JX670" s="3"/>
      <c r="JY670" s="3"/>
      <c r="JZ670" s="3"/>
      <c r="KA670" s="3"/>
      <c r="KB670" s="3"/>
      <c r="KC670" s="3"/>
      <c r="KD670" s="3"/>
      <c r="KE670" s="3"/>
      <c r="KF670" s="3"/>
      <c r="KG670" s="3"/>
      <c r="KH670" s="3"/>
      <c r="KI670" s="3"/>
      <c r="KJ670" s="3"/>
      <c r="KK670" s="3"/>
      <c r="KL670" s="3"/>
      <c r="KM670" s="3"/>
      <c r="KN670" s="3"/>
      <c r="KO670" s="3"/>
      <c r="KP670" s="3"/>
      <c r="KQ670" s="3"/>
      <c r="KR670" s="3"/>
      <c r="KS670" s="3"/>
      <c r="KT670" s="3"/>
      <c r="KU670" s="3"/>
      <c r="KV670" s="3"/>
      <c r="KW670" s="3"/>
      <c r="KX670" s="3"/>
      <c r="KY670" s="3"/>
      <c r="KZ670" s="3"/>
      <c r="LA670" s="3"/>
      <c r="LB670" s="3"/>
      <c r="LC670" s="3"/>
      <c r="LD670" s="3"/>
      <c r="LE670" s="3"/>
      <c r="LF670" s="3"/>
      <c r="LG670" s="3"/>
      <c r="LH670" s="3"/>
      <c r="LI670" s="3"/>
      <c r="LJ670" s="3"/>
      <c r="LK670" s="3"/>
      <c r="LL670" s="3"/>
      <c r="LM670" s="3"/>
      <c r="LN670" s="3"/>
      <c r="LO670" s="3"/>
      <c r="LP670" s="3"/>
      <c r="LQ670" s="3"/>
      <c r="LR670" s="3"/>
      <c r="LS670" s="3"/>
      <c r="LT670" s="3"/>
      <c r="LU670" s="3"/>
      <c r="LV670" s="3"/>
      <c r="LW670" s="3"/>
      <c r="LX670" s="3"/>
      <c r="LY670" s="3"/>
      <c r="LZ670" s="3"/>
      <c r="MA670" s="3"/>
      <c r="MB670" s="3"/>
      <c r="MC670" s="3"/>
      <c r="MD670" s="3"/>
      <c r="ME670" s="3"/>
      <c r="MF670" s="3"/>
      <c r="MG670" s="3"/>
      <c r="MH670" s="3"/>
      <c r="MI670" s="3"/>
    </row>
    <row r="671" spans="1:347"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c r="HX671" s="3"/>
      <c r="HY671" s="3"/>
      <c r="HZ671" s="3"/>
      <c r="IA671" s="3"/>
      <c r="IB671" s="3"/>
      <c r="IC671" s="3"/>
      <c r="ID671" s="3"/>
      <c r="IE671" s="3"/>
      <c r="IF671" s="3"/>
      <c r="IG671" s="3"/>
      <c r="IH671" s="3"/>
      <c r="II671" s="3"/>
      <c r="IJ671" s="3"/>
      <c r="IK671" s="3"/>
      <c r="IL671" s="3"/>
      <c r="IM671" s="3"/>
      <c r="IN671" s="3"/>
      <c r="IO671" s="3"/>
      <c r="IP671" s="3"/>
      <c r="IQ671" s="3"/>
      <c r="IR671" s="3"/>
      <c r="IS671" s="3"/>
      <c r="IT671" s="3"/>
      <c r="IU671" s="3"/>
      <c r="IV671" s="3"/>
      <c r="IW671" s="3"/>
      <c r="IX671" s="3"/>
      <c r="IY671" s="3"/>
      <c r="IZ671" s="3"/>
      <c r="JA671" s="3"/>
      <c r="JB671" s="3"/>
      <c r="JC671" s="3"/>
      <c r="JD671" s="3"/>
      <c r="JE671" s="3"/>
      <c r="JF671" s="3"/>
      <c r="JG671" s="3"/>
      <c r="JH671" s="3"/>
      <c r="JI671" s="3"/>
      <c r="JJ671" s="3"/>
      <c r="JK671" s="3"/>
      <c r="JL671" s="3"/>
      <c r="JM671" s="3"/>
      <c r="JN671" s="3"/>
      <c r="JO671" s="3"/>
      <c r="JP671" s="3"/>
      <c r="JQ671" s="3"/>
      <c r="JR671" s="3"/>
      <c r="JS671" s="3"/>
      <c r="JT671" s="3"/>
      <c r="JU671" s="3"/>
      <c r="JV671" s="3"/>
      <c r="JW671" s="3"/>
      <c r="JX671" s="3"/>
      <c r="JY671" s="3"/>
      <c r="JZ671" s="3"/>
      <c r="KA671" s="3"/>
      <c r="KB671" s="3"/>
      <c r="KC671" s="3"/>
      <c r="KD671" s="3"/>
      <c r="KE671" s="3"/>
      <c r="KF671" s="3"/>
      <c r="KG671" s="3"/>
      <c r="KH671" s="3"/>
      <c r="KI671" s="3"/>
      <c r="KJ671" s="3"/>
      <c r="KK671" s="3"/>
      <c r="KL671" s="3"/>
      <c r="KM671" s="3"/>
      <c r="KN671" s="3"/>
      <c r="KO671" s="3"/>
      <c r="KP671" s="3"/>
      <c r="KQ671" s="3"/>
      <c r="KR671" s="3"/>
      <c r="KS671" s="3"/>
      <c r="KT671" s="3"/>
      <c r="KU671" s="3"/>
      <c r="KV671" s="3"/>
      <c r="KW671" s="3"/>
      <c r="KX671" s="3"/>
      <c r="KY671" s="3"/>
      <c r="KZ671" s="3"/>
      <c r="LA671" s="3"/>
      <c r="LB671" s="3"/>
      <c r="LC671" s="3"/>
      <c r="LD671" s="3"/>
      <c r="LE671" s="3"/>
      <c r="LF671" s="3"/>
      <c r="LG671" s="3"/>
      <c r="LH671" s="3"/>
      <c r="LI671" s="3"/>
      <c r="LJ671" s="3"/>
      <c r="LK671" s="3"/>
      <c r="LL671" s="3"/>
      <c r="LM671" s="3"/>
      <c r="LN671" s="3"/>
      <c r="LO671" s="3"/>
      <c r="LP671" s="3"/>
      <c r="LQ671" s="3"/>
      <c r="LR671" s="3"/>
      <c r="LS671" s="3"/>
      <c r="LT671" s="3"/>
      <c r="LU671" s="3"/>
      <c r="LV671" s="3"/>
      <c r="LW671" s="3"/>
      <c r="LX671" s="3"/>
      <c r="LY671" s="3"/>
      <c r="LZ671" s="3"/>
      <c r="MA671" s="3"/>
      <c r="MB671" s="3"/>
      <c r="MC671" s="3"/>
      <c r="MD671" s="3"/>
      <c r="ME671" s="3"/>
      <c r="MF671" s="3"/>
      <c r="MG671" s="3"/>
      <c r="MH671" s="3"/>
      <c r="MI671" s="3"/>
    </row>
    <row r="672" spans="1:347"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c r="HX672" s="3"/>
      <c r="HY672" s="3"/>
      <c r="HZ672" s="3"/>
      <c r="IA672" s="3"/>
      <c r="IB672" s="3"/>
      <c r="IC672" s="3"/>
      <c r="ID672" s="3"/>
      <c r="IE672" s="3"/>
      <c r="IF672" s="3"/>
      <c r="IG672" s="3"/>
      <c r="IH672" s="3"/>
      <c r="II672" s="3"/>
      <c r="IJ672" s="3"/>
      <c r="IK672" s="3"/>
      <c r="IL672" s="3"/>
      <c r="IM672" s="3"/>
      <c r="IN672" s="3"/>
      <c r="IO672" s="3"/>
      <c r="IP672" s="3"/>
      <c r="IQ672" s="3"/>
      <c r="IR672" s="3"/>
      <c r="IS672" s="3"/>
      <c r="IT672" s="3"/>
      <c r="IU672" s="3"/>
      <c r="IV672" s="3"/>
      <c r="IW672" s="3"/>
      <c r="IX672" s="3"/>
      <c r="IY672" s="3"/>
      <c r="IZ672" s="3"/>
      <c r="JA672" s="3"/>
      <c r="JB672" s="3"/>
      <c r="JC672" s="3"/>
      <c r="JD672" s="3"/>
      <c r="JE672" s="3"/>
      <c r="JF672" s="3"/>
      <c r="JG672" s="3"/>
      <c r="JH672" s="3"/>
      <c r="JI672" s="3"/>
      <c r="JJ672" s="3"/>
      <c r="JK672" s="3"/>
      <c r="JL672" s="3"/>
      <c r="JM672" s="3"/>
      <c r="JN672" s="3"/>
      <c r="JO672" s="3"/>
      <c r="JP672" s="3"/>
      <c r="JQ672" s="3"/>
      <c r="JR672" s="3"/>
      <c r="JS672" s="3"/>
      <c r="JT672" s="3"/>
      <c r="JU672" s="3"/>
      <c r="JV672" s="3"/>
      <c r="JW672" s="3"/>
      <c r="JX672" s="3"/>
      <c r="JY672" s="3"/>
      <c r="JZ672" s="3"/>
      <c r="KA672" s="3"/>
      <c r="KB672" s="3"/>
      <c r="KC672" s="3"/>
      <c r="KD672" s="3"/>
      <c r="KE672" s="3"/>
      <c r="KF672" s="3"/>
      <c r="KG672" s="3"/>
      <c r="KH672" s="3"/>
      <c r="KI672" s="3"/>
      <c r="KJ672" s="3"/>
      <c r="KK672" s="3"/>
      <c r="KL672" s="3"/>
      <c r="KM672" s="3"/>
      <c r="KN672" s="3"/>
      <c r="KO672" s="3"/>
      <c r="KP672" s="3"/>
      <c r="KQ672" s="3"/>
      <c r="KR672" s="3"/>
      <c r="KS672" s="3"/>
      <c r="KT672" s="3"/>
      <c r="KU672" s="3"/>
      <c r="KV672" s="3"/>
      <c r="KW672" s="3"/>
      <c r="KX672" s="3"/>
      <c r="KY672" s="3"/>
      <c r="KZ672" s="3"/>
      <c r="LA672" s="3"/>
      <c r="LB672" s="3"/>
      <c r="LC672" s="3"/>
      <c r="LD672" s="3"/>
      <c r="LE672" s="3"/>
      <c r="LF672" s="3"/>
      <c r="LG672" s="3"/>
      <c r="LH672" s="3"/>
      <c r="LI672" s="3"/>
      <c r="LJ672" s="3"/>
      <c r="LK672" s="3"/>
      <c r="LL672" s="3"/>
      <c r="LM672" s="3"/>
      <c r="LN672" s="3"/>
      <c r="LO672" s="3"/>
      <c r="LP672" s="3"/>
      <c r="LQ672" s="3"/>
      <c r="LR672" s="3"/>
      <c r="LS672" s="3"/>
      <c r="LT672" s="3"/>
      <c r="LU672" s="3"/>
      <c r="LV672" s="3"/>
      <c r="LW672" s="3"/>
      <c r="LX672" s="3"/>
      <c r="LY672" s="3"/>
      <c r="LZ672" s="3"/>
      <c r="MA672" s="3"/>
      <c r="MB672" s="3"/>
      <c r="MC672" s="3"/>
      <c r="MD672" s="3"/>
      <c r="ME672" s="3"/>
      <c r="MF672" s="3"/>
      <c r="MG672" s="3"/>
      <c r="MH672" s="3"/>
      <c r="MI672" s="3"/>
    </row>
    <row r="673" spans="1:347"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c r="HX673" s="3"/>
      <c r="HY673" s="3"/>
      <c r="HZ673" s="3"/>
      <c r="IA673" s="3"/>
      <c r="IB673" s="3"/>
      <c r="IC673" s="3"/>
      <c r="ID673" s="3"/>
      <c r="IE673" s="3"/>
      <c r="IF673" s="3"/>
      <c r="IG673" s="3"/>
      <c r="IH673" s="3"/>
      <c r="II673" s="3"/>
      <c r="IJ673" s="3"/>
      <c r="IK673" s="3"/>
      <c r="IL673" s="3"/>
      <c r="IM673" s="3"/>
      <c r="IN673" s="3"/>
      <c r="IO673" s="3"/>
      <c r="IP673" s="3"/>
      <c r="IQ673" s="3"/>
      <c r="IR673" s="3"/>
      <c r="IS673" s="3"/>
      <c r="IT673" s="3"/>
      <c r="IU673" s="3"/>
      <c r="IV673" s="3"/>
      <c r="IW673" s="3"/>
      <c r="IX673" s="3"/>
      <c r="IY673" s="3"/>
      <c r="IZ673" s="3"/>
      <c r="JA673" s="3"/>
      <c r="JB673" s="3"/>
      <c r="JC673" s="3"/>
      <c r="JD673" s="3"/>
      <c r="JE673" s="3"/>
      <c r="JF673" s="3"/>
      <c r="JG673" s="3"/>
      <c r="JH673" s="3"/>
      <c r="JI673" s="3"/>
      <c r="JJ673" s="3"/>
      <c r="JK673" s="3"/>
      <c r="JL673" s="3"/>
      <c r="JM673" s="3"/>
      <c r="JN673" s="3"/>
      <c r="JO673" s="3"/>
      <c r="JP673" s="3"/>
      <c r="JQ673" s="3"/>
      <c r="JR673" s="3"/>
      <c r="JS673" s="3"/>
      <c r="JT673" s="3"/>
      <c r="JU673" s="3"/>
      <c r="JV673" s="3"/>
      <c r="JW673" s="3"/>
      <c r="JX673" s="3"/>
      <c r="JY673" s="3"/>
      <c r="JZ673" s="3"/>
      <c r="KA673" s="3"/>
      <c r="KB673" s="3"/>
      <c r="KC673" s="3"/>
      <c r="KD673" s="3"/>
      <c r="KE673" s="3"/>
      <c r="KF673" s="3"/>
      <c r="KG673" s="3"/>
      <c r="KH673" s="3"/>
      <c r="KI673" s="3"/>
      <c r="KJ673" s="3"/>
      <c r="KK673" s="3"/>
      <c r="KL673" s="3"/>
      <c r="KM673" s="3"/>
      <c r="KN673" s="3"/>
      <c r="KO673" s="3"/>
      <c r="KP673" s="3"/>
      <c r="KQ673" s="3"/>
      <c r="KR673" s="3"/>
      <c r="KS673" s="3"/>
      <c r="KT673" s="3"/>
      <c r="KU673" s="3"/>
      <c r="KV673" s="3"/>
      <c r="KW673" s="3"/>
      <c r="KX673" s="3"/>
      <c r="KY673" s="3"/>
      <c r="KZ673" s="3"/>
      <c r="LA673" s="3"/>
      <c r="LB673" s="3"/>
      <c r="LC673" s="3"/>
      <c r="LD673" s="3"/>
      <c r="LE673" s="3"/>
      <c r="LF673" s="3"/>
      <c r="LG673" s="3"/>
      <c r="LH673" s="3"/>
      <c r="LI673" s="3"/>
      <c r="LJ673" s="3"/>
      <c r="LK673" s="3"/>
      <c r="LL673" s="3"/>
      <c r="LM673" s="3"/>
      <c r="LN673" s="3"/>
      <c r="LO673" s="3"/>
      <c r="LP673" s="3"/>
      <c r="LQ673" s="3"/>
      <c r="LR673" s="3"/>
      <c r="LS673" s="3"/>
      <c r="LT673" s="3"/>
      <c r="LU673" s="3"/>
      <c r="LV673" s="3"/>
      <c r="LW673" s="3"/>
      <c r="LX673" s="3"/>
      <c r="LY673" s="3"/>
      <c r="LZ673" s="3"/>
      <c r="MA673" s="3"/>
      <c r="MB673" s="3"/>
      <c r="MC673" s="3"/>
      <c r="MD673" s="3"/>
      <c r="ME673" s="3"/>
      <c r="MF673" s="3"/>
      <c r="MG673" s="3"/>
      <c r="MH673" s="3"/>
      <c r="MI673" s="3"/>
    </row>
    <row r="674" spans="1:347"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c r="HX674" s="3"/>
      <c r="HY674" s="3"/>
      <c r="HZ674" s="3"/>
      <c r="IA674" s="3"/>
      <c r="IB674" s="3"/>
      <c r="IC674" s="3"/>
      <c r="ID674" s="3"/>
      <c r="IE674" s="3"/>
      <c r="IF674" s="3"/>
      <c r="IG674" s="3"/>
      <c r="IH674" s="3"/>
      <c r="II674" s="3"/>
      <c r="IJ674" s="3"/>
      <c r="IK674" s="3"/>
      <c r="IL674" s="3"/>
      <c r="IM674" s="3"/>
      <c r="IN674" s="3"/>
      <c r="IO674" s="3"/>
      <c r="IP674" s="3"/>
      <c r="IQ674" s="3"/>
      <c r="IR674" s="3"/>
      <c r="IS674" s="3"/>
      <c r="IT674" s="3"/>
      <c r="IU674" s="3"/>
      <c r="IV674" s="3"/>
      <c r="IW674" s="3"/>
      <c r="IX674" s="3"/>
      <c r="IY674" s="3"/>
      <c r="IZ674" s="3"/>
      <c r="JA674" s="3"/>
      <c r="JB674" s="3"/>
      <c r="JC674" s="3"/>
      <c r="JD674" s="3"/>
      <c r="JE674" s="3"/>
      <c r="JF674" s="3"/>
      <c r="JG674" s="3"/>
      <c r="JH674" s="3"/>
      <c r="JI674" s="3"/>
      <c r="JJ674" s="3"/>
      <c r="JK674" s="3"/>
      <c r="JL674" s="3"/>
      <c r="JM674" s="3"/>
      <c r="JN674" s="3"/>
      <c r="JO674" s="3"/>
      <c r="JP674" s="3"/>
      <c r="JQ674" s="3"/>
      <c r="JR674" s="3"/>
      <c r="JS674" s="3"/>
      <c r="JT674" s="3"/>
      <c r="JU674" s="3"/>
      <c r="JV674" s="3"/>
      <c r="JW674" s="3"/>
      <c r="JX674" s="3"/>
      <c r="JY674" s="3"/>
      <c r="JZ674" s="3"/>
      <c r="KA674" s="3"/>
      <c r="KB674" s="3"/>
      <c r="KC674" s="3"/>
      <c r="KD674" s="3"/>
      <c r="KE674" s="3"/>
      <c r="KF674" s="3"/>
      <c r="KG674" s="3"/>
      <c r="KH674" s="3"/>
      <c r="KI674" s="3"/>
      <c r="KJ674" s="3"/>
      <c r="KK674" s="3"/>
      <c r="KL674" s="3"/>
      <c r="KM674" s="3"/>
      <c r="KN674" s="3"/>
      <c r="KO674" s="3"/>
      <c r="KP674" s="3"/>
      <c r="KQ674" s="3"/>
      <c r="KR674" s="3"/>
      <c r="KS674" s="3"/>
      <c r="KT674" s="3"/>
      <c r="KU674" s="3"/>
      <c r="KV674" s="3"/>
      <c r="KW674" s="3"/>
      <c r="KX674" s="3"/>
      <c r="KY674" s="3"/>
      <c r="KZ674" s="3"/>
      <c r="LA674" s="3"/>
      <c r="LB674" s="3"/>
      <c r="LC674" s="3"/>
      <c r="LD674" s="3"/>
      <c r="LE674" s="3"/>
      <c r="LF674" s="3"/>
      <c r="LG674" s="3"/>
      <c r="LH674" s="3"/>
      <c r="LI674" s="3"/>
      <c r="LJ674" s="3"/>
      <c r="LK674" s="3"/>
      <c r="LL674" s="3"/>
      <c r="LM674" s="3"/>
      <c r="LN674" s="3"/>
      <c r="LO674" s="3"/>
      <c r="LP674" s="3"/>
      <c r="LQ674" s="3"/>
      <c r="LR674" s="3"/>
      <c r="LS674" s="3"/>
      <c r="LT674" s="3"/>
      <c r="LU674" s="3"/>
      <c r="LV674" s="3"/>
      <c r="LW674" s="3"/>
      <c r="LX674" s="3"/>
      <c r="LY674" s="3"/>
      <c r="LZ674" s="3"/>
      <c r="MA674" s="3"/>
      <c r="MB674" s="3"/>
      <c r="MC674" s="3"/>
      <c r="MD674" s="3"/>
      <c r="ME674" s="3"/>
      <c r="MF674" s="3"/>
      <c r="MG674" s="3"/>
      <c r="MH674" s="3"/>
      <c r="MI674" s="3"/>
    </row>
    <row r="675" spans="1:347"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c r="HX675" s="3"/>
      <c r="HY675" s="3"/>
      <c r="HZ675" s="3"/>
      <c r="IA675" s="3"/>
      <c r="IB675" s="3"/>
      <c r="IC675" s="3"/>
      <c r="ID675" s="3"/>
      <c r="IE675" s="3"/>
      <c r="IF675" s="3"/>
      <c r="IG675" s="3"/>
      <c r="IH675" s="3"/>
      <c r="II675" s="3"/>
      <c r="IJ675" s="3"/>
      <c r="IK675" s="3"/>
      <c r="IL675" s="3"/>
      <c r="IM675" s="3"/>
      <c r="IN675" s="3"/>
      <c r="IO675" s="3"/>
      <c r="IP675" s="3"/>
      <c r="IQ675" s="3"/>
      <c r="IR675" s="3"/>
      <c r="IS675" s="3"/>
      <c r="IT675" s="3"/>
      <c r="IU675" s="3"/>
      <c r="IV675" s="3"/>
      <c r="IW675" s="3"/>
      <c r="IX675" s="3"/>
      <c r="IY675" s="3"/>
      <c r="IZ675" s="3"/>
      <c r="JA675" s="3"/>
      <c r="JB675" s="3"/>
      <c r="JC675" s="3"/>
      <c r="JD675" s="3"/>
      <c r="JE675" s="3"/>
      <c r="JF675" s="3"/>
      <c r="JG675" s="3"/>
      <c r="JH675" s="3"/>
      <c r="JI675" s="3"/>
      <c r="JJ675" s="3"/>
      <c r="JK675" s="3"/>
      <c r="JL675" s="3"/>
      <c r="JM675" s="3"/>
      <c r="JN675" s="3"/>
      <c r="JO675" s="3"/>
      <c r="JP675" s="3"/>
      <c r="JQ675" s="3"/>
      <c r="JR675" s="3"/>
      <c r="JS675" s="3"/>
      <c r="JT675" s="3"/>
      <c r="JU675" s="3"/>
      <c r="JV675" s="3"/>
      <c r="JW675" s="3"/>
      <c r="JX675" s="3"/>
      <c r="JY675" s="3"/>
      <c r="JZ675" s="3"/>
      <c r="KA675" s="3"/>
      <c r="KB675" s="3"/>
      <c r="KC675" s="3"/>
      <c r="KD675" s="3"/>
      <c r="KE675" s="3"/>
      <c r="KF675" s="3"/>
      <c r="KG675" s="3"/>
      <c r="KH675" s="3"/>
      <c r="KI675" s="3"/>
      <c r="KJ675" s="3"/>
      <c r="KK675" s="3"/>
      <c r="KL675" s="3"/>
      <c r="KM675" s="3"/>
      <c r="KN675" s="3"/>
      <c r="KO675" s="3"/>
      <c r="KP675" s="3"/>
      <c r="KQ675" s="3"/>
      <c r="KR675" s="3"/>
      <c r="KS675" s="3"/>
      <c r="KT675" s="3"/>
      <c r="KU675" s="3"/>
      <c r="KV675" s="3"/>
      <c r="KW675" s="3"/>
      <c r="KX675" s="3"/>
      <c r="KY675" s="3"/>
      <c r="KZ675" s="3"/>
      <c r="LA675" s="3"/>
      <c r="LB675" s="3"/>
      <c r="LC675" s="3"/>
      <c r="LD675" s="3"/>
      <c r="LE675" s="3"/>
      <c r="LF675" s="3"/>
      <c r="LG675" s="3"/>
      <c r="LH675" s="3"/>
      <c r="LI675" s="3"/>
      <c r="LJ675" s="3"/>
      <c r="LK675" s="3"/>
      <c r="LL675" s="3"/>
      <c r="LM675" s="3"/>
      <c r="LN675" s="3"/>
      <c r="LO675" s="3"/>
      <c r="LP675" s="3"/>
      <c r="LQ675" s="3"/>
      <c r="LR675" s="3"/>
      <c r="LS675" s="3"/>
      <c r="LT675" s="3"/>
      <c r="LU675" s="3"/>
      <c r="LV675" s="3"/>
      <c r="LW675" s="3"/>
      <c r="LX675" s="3"/>
      <c r="LY675" s="3"/>
      <c r="LZ675" s="3"/>
      <c r="MA675" s="3"/>
      <c r="MB675" s="3"/>
      <c r="MC675" s="3"/>
      <c r="MD675" s="3"/>
      <c r="ME675" s="3"/>
      <c r="MF675" s="3"/>
      <c r="MG675" s="3"/>
      <c r="MH675" s="3"/>
      <c r="MI675" s="3"/>
    </row>
    <row r="676" spans="1:347"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c r="HX676" s="3"/>
      <c r="HY676" s="3"/>
      <c r="HZ676" s="3"/>
      <c r="IA676" s="3"/>
      <c r="IB676" s="3"/>
      <c r="IC676" s="3"/>
      <c r="ID676" s="3"/>
      <c r="IE676" s="3"/>
      <c r="IF676" s="3"/>
      <c r="IG676" s="3"/>
      <c r="IH676" s="3"/>
      <c r="II676" s="3"/>
      <c r="IJ676" s="3"/>
      <c r="IK676" s="3"/>
      <c r="IL676" s="3"/>
      <c r="IM676" s="3"/>
      <c r="IN676" s="3"/>
      <c r="IO676" s="3"/>
      <c r="IP676" s="3"/>
      <c r="IQ676" s="3"/>
      <c r="IR676" s="3"/>
      <c r="IS676" s="3"/>
      <c r="IT676" s="3"/>
      <c r="IU676" s="3"/>
      <c r="IV676" s="3"/>
      <c r="IW676" s="3"/>
      <c r="IX676" s="3"/>
      <c r="IY676" s="3"/>
      <c r="IZ676" s="3"/>
      <c r="JA676" s="3"/>
      <c r="JB676" s="3"/>
      <c r="JC676" s="3"/>
      <c r="JD676" s="3"/>
      <c r="JE676" s="3"/>
      <c r="JF676" s="3"/>
      <c r="JG676" s="3"/>
      <c r="JH676" s="3"/>
      <c r="JI676" s="3"/>
      <c r="JJ676" s="3"/>
      <c r="JK676" s="3"/>
      <c r="JL676" s="3"/>
      <c r="JM676" s="3"/>
      <c r="JN676" s="3"/>
      <c r="JO676" s="3"/>
      <c r="JP676" s="3"/>
      <c r="JQ676" s="3"/>
      <c r="JR676" s="3"/>
      <c r="JS676" s="3"/>
      <c r="JT676" s="3"/>
      <c r="JU676" s="3"/>
      <c r="JV676" s="3"/>
      <c r="JW676" s="3"/>
      <c r="JX676" s="3"/>
      <c r="JY676" s="3"/>
      <c r="JZ676" s="3"/>
      <c r="KA676" s="3"/>
      <c r="KB676" s="3"/>
      <c r="KC676" s="3"/>
      <c r="KD676" s="3"/>
      <c r="KE676" s="3"/>
      <c r="KF676" s="3"/>
      <c r="KG676" s="3"/>
      <c r="KH676" s="3"/>
      <c r="KI676" s="3"/>
      <c r="KJ676" s="3"/>
      <c r="KK676" s="3"/>
      <c r="KL676" s="3"/>
      <c r="KM676" s="3"/>
      <c r="KN676" s="3"/>
      <c r="KO676" s="3"/>
      <c r="KP676" s="3"/>
      <c r="KQ676" s="3"/>
      <c r="KR676" s="3"/>
      <c r="KS676" s="3"/>
      <c r="KT676" s="3"/>
      <c r="KU676" s="3"/>
      <c r="KV676" s="3"/>
      <c r="KW676" s="3"/>
      <c r="KX676" s="3"/>
      <c r="KY676" s="3"/>
      <c r="KZ676" s="3"/>
      <c r="LA676" s="3"/>
      <c r="LB676" s="3"/>
      <c r="LC676" s="3"/>
      <c r="LD676" s="3"/>
      <c r="LE676" s="3"/>
      <c r="LF676" s="3"/>
      <c r="LG676" s="3"/>
      <c r="LH676" s="3"/>
      <c r="LI676" s="3"/>
      <c r="LJ676" s="3"/>
      <c r="LK676" s="3"/>
      <c r="LL676" s="3"/>
      <c r="LM676" s="3"/>
      <c r="LN676" s="3"/>
      <c r="LO676" s="3"/>
      <c r="LP676" s="3"/>
      <c r="LQ676" s="3"/>
      <c r="LR676" s="3"/>
      <c r="LS676" s="3"/>
      <c r="LT676" s="3"/>
      <c r="LU676" s="3"/>
      <c r="LV676" s="3"/>
      <c r="LW676" s="3"/>
      <c r="LX676" s="3"/>
      <c r="LY676" s="3"/>
      <c r="LZ676" s="3"/>
      <c r="MA676" s="3"/>
      <c r="MB676" s="3"/>
      <c r="MC676" s="3"/>
      <c r="MD676" s="3"/>
      <c r="ME676" s="3"/>
      <c r="MF676" s="3"/>
      <c r="MG676" s="3"/>
      <c r="MH676" s="3"/>
      <c r="MI676" s="3"/>
    </row>
    <row r="677" spans="1:347"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c r="HX677" s="3"/>
      <c r="HY677" s="3"/>
      <c r="HZ677" s="3"/>
      <c r="IA677" s="3"/>
      <c r="IB677" s="3"/>
      <c r="IC677" s="3"/>
      <c r="ID677" s="3"/>
      <c r="IE677" s="3"/>
      <c r="IF677" s="3"/>
      <c r="IG677" s="3"/>
      <c r="IH677" s="3"/>
      <c r="II677" s="3"/>
      <c r="IJ677" s="3"/>
      <c r="IK677" s="3"/>
      <c r="IL677" s="3"/>
      <c r="IM677" s="3"/>
      <c r="IN677" s="3"/>
      <c r="IO677" s="3"/>
      <c r="IP677" s="3"/>
      <c r="IQ677" s="3"/>
      <c r="IR677" s="3"/>
      <c r="IS677" s="3"/>
      <c r="IT677" s="3"/>
      <c r="IU677" s="3"/>
      <c r="IV677" s="3"/>
      <c r="IW677" s="3"/>
      <c r="IX677" s="3"/>
      <c r="IY677" s="3"/>
      <c r="IZ677" s="3"/>
      <c r="JA677" s="3"/>
      <c r="JB677" s="3"/>
      <c r="JC677" s="3"/>
      <c r="JD677" s="3"/>
      <c r="JE677" s="3"/>
      <c r="JF677" s="3"/>
      <c r="JG677" s="3"/>
      <c r="JH677" s="3"/>
      <c r="JI677" s="3"/>
      <c r="JJ677" s="3"/>
      <c r="JK677" s="3"/>
      <c r="JL677" s="3"/>
      <c r="JM677" s="3"/>
      <c r="JN677" s="3"/>
      <c r="JO677" s="3"/>
      <c r="JP677" s="3"/>
      <c r="JQ677" s="3"/>
      <c r="JR677" s="3"/>
      <c r="JS677" s="3"/>
      <c r="JT677" s="3"/>
      <c r="JU677" s="3"/>
      <c r="JV677" s="3"/>
      <c r="JW677" s="3"/>
      <c r="JX677" s="3"/>
      <c r="JY677" s="3"/>
      <c r="JZ677" s="3"/>
      <c r="KA677" s="3"/>
      <c r="KB677" s="3"/>
      <c r="KC677" s="3"/>
      <c r="KD677" s="3"/>
      <c r="KE677" s="3"/>
      <c r="KF677" s="3"/>
      <c r="KG677" s="3"/>
      <c r="KH677" s="3"/>
      <c r="KI677" s="3"/>
      <c r="KJ677" s="3"/>
      <c r="KK677" s="3"/>
      <c r="KL677" s="3"/>
      <c r="KM677" s="3"/>
      <c r="KN677" s="3"/>
      <c r="KO677" s="3"/>
      <c r="KP677" s="3"/>
      <c r="KQ677" s="3"/>
      <c r="KR677" s="3"/>
      <c r="KS677" s="3"/>
      <c r="KT677" s="3"/>
      <c r="KU677" s="3"/>
      <c r="KV677" s="3"/>
      <c r="KW677" s="3"/>
      <c r="KX677" s="3"/>
      <c r="KY677" s="3"/>
      <c r="KZ677" s="3"/>
      <c r="LA677" s="3"/>
      <c r="LB677" s="3"/>
      <c r="LC677" s="3"/>
      <c r="LD677" s="3"/>
      <c r="LE677" s="3"/>
      <c r="LF677" s="3"/>
      <c r="LG677" s="3"/>
      <c r="LH677" s="3"/>
      <c r="LI677" s="3"/>
      <c r="LJ677" s="3"/>
      <c r="LK677" s="3"/>
      <c r="LL677" s="3"/>
      <c r="LM677" s="3"/>
      <c r="LN677" s="3"/>
      <c r="LO677" s="3"/>
      <c r="LP677" s="3"/>
      <c r="LQ677" s="3"/>
      <c r="LR677" s="3"/>
      <c r="LS677" s="3"/>
      <c r="LT677" s="3"/>
      <c r="LU677" s="3"/>
      <c r="LV677" s="3"/>
      <c r="LW677" s="3"/>
      <c r="LX677" s="3"/>
      <c r="LY677" s="3"/>
      <c r="LZ677" s="3"/>
      <c r="MA677" s="3"/>
      <c r="MB677" s="3"/>
      <c r="MC677" s="3"/>
      <c r="MD677" s="3"/>
      <c r="ME677" s="3"/>
      <c r="MF677" s="3"/>
      <c r="MG677" s="3"/>
      <c r="MH677" s="3"/>
      <c r="MI677" s="3"/>
    </row>
    <row r="678" spans="1:347"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c r="HX678" s="3"/>
      <c r="HY678" s="3"/>
      <c r="HZ678" s="3"/>
      <c r="IA678" s="3"/>
      <c r="IB678" s="3"/>
      <c r="IC678" s="3"/>
      <c r="ID678" s="3"/>
      <c r="IE678" s="3"/>
      <c r="IF678" s="3"/>
      <c r="IG678" s="3"/>
      <c r="IH678" s="3"/>
      <c r="II678" s="3"/>
      <c r="IJ678" s="3"/>
      <c r="IK678" s="3"/>
      <c r="IL678" s="3"/>
      <c r="IM678" s="3"/>
      <c r="IN678" s="3"/>
      <c r="IO678" s="3"/>
      <c r="IP678" s="3"/>
      <c r="IQ678" s="3"/>
      <c r="IR678" s="3"/>
      <c r="IS678" s="3"/>
      <c r="IT678" s="3"/>
      <c r="IU678" s="3"/>
      <c r="IV678" s="3"/>
      <c r="IW678" s="3"/>
      <c r="IX678" s="3"/>
      <c r="IY678" s="3"/>
      <c r="IZ678" s="3"/>
      <c r="JA678" s="3"/>
      <c r="JB678" s="3"/>
      <c r="JC678" s="3"/>
      <c r="JD678" s="3"/>
      <c r="JE678" s="3"/>
      <c r="JF678" s="3"/>
      <c r="JG678" s="3"/>
      <c r="JH678" s="3"/>
      <c r="JI678" s="3"/>
      <c r="JJ678" s="3"/>
      <c r="JK678" s="3"/>
      <c r="JL678" s="3"/>
      <c r="JM678" s="3"/>
      <c r="JN678" s="3"/>
      <c r="JO678" s="3"/>
      <c r="JP678" s="3"/>
      <c r="JQ678" s="3"/>
      <c r="JR678" s="3"/>
      <c r="JS678" s="3"/>
      <c r="JT678" s="3"/>
      <c r="JU678" s="3"/>
      <c r="JV678" s="3"/>
      <c r="JW678" s="3"/>
      <c r="JX678" s="3"/>
      <c r="JY678" s="3"/>
      <c r="JZ678" s="3"/>
      <c r="KA678" s="3"/>
      <c r="KB678" s="3"/>
      <c r="KC678" s="3"/>
      <c r="KD678" s="3"/>
      <c r="KE678" s="3"/>
      <c r="KF678" s="3"/>
      <c r="KG678" s="3"/>
      <c r="KH678" s="3"/>
      <c r="KI678" s="3"/>
      <c r="KJ678" s="3"/>
      <c r="KK678" s="3"/>
      <c r="KL678" s="3"/>
      <c r="KM678" s="3"/>
      <c r="KN678" s="3"/>
      <c r="KO678" s="3"/>
      <c r="KP678" s="3"/>
      <c r="KQ678" s="3"/>
      <c r="KR678" s="3"/>
      <c r="KS678" s="3"/>
      <c r="KT678" s="3"/>
      <c r="KU678" s="3"/>
      <c r="KV678" s="3"/>
      <c r="KW678" s="3"/>
      <c r="KX678" s="3"/>
      <c r="KY678" s="3"/>
      <c r="KZ678" s="3"/>
      <c r="LA678" s="3"/>
      <c r="LB678" s="3"/>
      <c r="LC678" s="3"/>
      <c r="LD678" s="3"/>
      <c r="LE678" s="3"/>
      <c r="LF678" s="3"/>
      <c r="LG678" s="3"/>
      <c r="LH678" s="3"/>
      <c r="LI678" s="3"/>
      <c r="LJ678" s="3"/>
      <c r="LK678" s="3"/>
      <c r="LL678" s="3"/>
      <c r="LM678" s="3"/>
      <c r="LN678" s="3"/>
      <c r="LO678" s="3"/>
      <c r="LP678" s="3"/>
      <c r="LQ678" s="3"/>
      <c r="LR678" s="3"/>
      <c r="LS678" s="3"/>
      <c r="LT678" s="3"/>
      <c r="LU678" s="3"/>
      <c r="LV678" s="3"/>
      <c r="LW678" s="3"/>
      <c r="LX678" s="3"/>
      <c r="LY678" s="3"/>
      <c r="LZ678" s="3"/>
      <c r="MA678" s="3"/>
      <c r="MB678" s="3"/>
      <c r="MC678" s="3"/>
      <c r="MD678" s="3"/>
      <c r="ME678" s="3"/>
      <c r="MF678" s="3"/>
      <c r="MG678" s="3"/>
      <c r="MH678" s="3"/>
      <c r="MI678" s="3"/>
    </row>
    <row r="679" spans="1:347"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c r="HX679" s="3"/>
      <c r="HY679" s="3"/>
      <c r="HZ679" s="3"/>
      <c r="IA679" s="3"/>
      <c r="IB679" s="3"/>
      <c r="IC679" s="3"/>
      <c r="ID679" s="3"/>
      <c r="IE679" s="3"/>
      <c r="IF679" s="3"/>
      <c r="IG679" s="3"/>
      <c r="IH679" s="3"/>
      <c r="II679" s="3"/>
      <c r="IJ679" s="3"/>
      <c r="IK679" s="3"/>
      <c r="IL679" s="3"/>
      <c r="IM679" s="3"/>
      <c r="IN679" s="3"/>
      <c r="IO679" s="3"/>
      <c r="IP679" s="3"/>
      <c r="IQ679" s="3"/>
      <c r="IR679" s="3"/>
      <c r="IS679" s="3"/>
      <c r="IT679" s="3"/>
      <c r="IU679" s="3"/>
      <c r="IV679" s="3"/>
      <c r="IW679" s="3"/>
      <c r="IX679" s="3"/>
      <c r="IY679" s="3"/>
      <c r="IZ679" s="3"/>
      <c r="JA679" s="3"/>
      <c r="JB679" s="3"/>
      <c r="JC679" s="3"/>
      <c r="JD679" s="3"/>
      <c r="JE679" s="3"/>
      <c r="JF679" s="3"/>
      <c r="JG679" s="3"/>
      <c r="JH679" s="3"/>
      <c r="JI679" s="3"/>
      <c r="JJ679" s="3"/>
      <c r="JK679" s="3"/>
      <c r="JL679" s="3"/>
      <c r="JM679" s="3"/>
      <c r="JN679" s="3"/>
      <c r="JO679" s="3"/>
      <c r="JP679" s="3"/>
      <c r="JQ679" s="3"/>
      <c r="JR679" s="3"/>
      <c r="JS679" s="3"/>
      <c r="JT679" s="3"/>
      <c r="JU679" s="3"/>
      <c r="JV679" s="3"/>
      <c r="JW679" s="3"/>
      <c r="JX679" s="3"/>
      <c r="JY679" s="3"/>
      <c r="JZ679" s="3"/>
      <c r="KA679" s="3"/>
      <c r="KB679" s="3"/>
      <c r="KC679" s="3"/>
      <c r="KD679" s="3"/>
      <c r="KE679" s="3"/>
      <c r="KF679" s="3"/>
      <c r="KG679" s="3"/>
      <c r="KH679" s="3"/>
      <c r="KI679" s="3"/>
      <c r="KJ679" s="3"/>
      <c r="KK679" s="3"/>
      <c r="KL679" s="3"/>
      <c r="KM679" s="3"/>
      <c r="KN679" s="3"/>
      <c r="KO679" s="3"/>
      <c r="KP679" s="3"/>
      <c r="KQ679" s="3"/>
      <c r="KR679" s="3"/>
      <c r="KS679" s="3"/>
      <c r="KT679" s="3"/>
      <c r="KU679" s="3"/>
      <c r="KV679" s="3"/>
      <c r="KW679" s="3"/>
      <c r="KX679" s="3"/>
      <c r="KY679" s="3"/>
      <c r="KZ679" s="3"/>
      <c r="LA679" s="3"/>
      <c r="LB679" s="3"/>
      <c r="LC679" s="3"/>
      <c r="LD679" s="3"/>
      <c r="LE679" s="3"/>
      <c r="LF679" s="3"/>
      <c r="LG679" s="3"/>
      <c r="LH679" s="3"/>
      <c r="LI679" s="3"/>
      <c r="LJ679" s="3"/>
      <c r="LK679" s="3"/>
      <c r="LL679" s="3"/>
      <c r="LM679" s="3"/>
      <c r="LN679" s="3"/>
      <c r="LO679" s="3"/>
      <c r="LP679" s="3"/>
      <c r="LQ679" s="3"/>
      <c r="LR679" s="3"/>
      <c r="LS679" s="3"/>
      <c r="LT679" s="3"/>
      <c r="LU679" s="3"/>
      <c r="LV679" s="3"/>
      <c r="LW679" s="3"/>
      <c r="LX679" s="3"/>
      <c r="LY679" s="3"/>
      <c r="LZ679" s="3"/>
      <c r="MA679" s="3"/>
      <c r="MB679" s="3"/>
      <c r="MC679" s="3"/>
      <c r="MD679" s="3"/>
      <c r="ME679" s="3"/>
      <c r="MF679" s="3"/>
      <c r="MG679" s="3"/>
      <c r="MH679" s="3"/>
      <c r="MI679" s="3"/>
    </row>
    <row r="680" spans="1:347"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c r="HX680" s="3"/>
      <c r="HY680" s="3"/>
      <c r="HZ680" s="3"/>
      <c r="IA680" s="3"/>
      <c r="IB680" s="3"/>
      <c r="IC680" s="3"/>
      <c r="ID680" s="3"/>
      <c r="IE680" s="3"/>
      <c r="IF680" s="3"/>
      <c r="IG680" s="3"/>
      <c r="IH680" s="3"/>
      <c r="II680" s="3"/>
      <c r="IJ680" s="3"/>
      <c r="IK680" s="3"/>
      <c r="IL680" s="3"/>
      <c r="IM680" s="3"/>
      <c r="IN680" s="3"/>
      <c r="IO680" s="3"/>
      <c r="IP680" s="3"/>
      <c r="IQ680" s="3"/>
      <c r="IR680" s="3"/>
      <c r="IS680" s="3"/>
      <c r="IT680" s="3"/>
      <c r="IU680" s="3"/>
      <c r="IV680" s="3"/>
      <c r="IW680" s="3"/>
      <c r="IX680" s="3"/>
      <c r="IY680" s="3"/>
      <c r="IZ680" s="3"/>
      <c r="JA680" s="3"/>
      <c r="JB680" s="3"/>
      <c r="JC680" s="3"/>
      <c r="JD680" s="3"/>
      <c r="JE680" s="3"/>
      <c r="JF680" s="3"/>
      <c r="JG680" s="3"/>
      <c r="JH680" s="3"/>
      <c r="JI680" s="3"/>
      <c r="JJ680" s="3"/>
      <c r="JK680" s="3"/>
      <c r="JL680" s="3"/>
      <c r="JM680" s="3"/>
      <c r="JN680" s="3"/>
      <c r="JO680" s="3"/>
      <c r="JP680" s="3"/>
      <c r="JQ680" s="3"/>
      <c r="JR680" s="3"/>
      <c r="JS680" s="3"/>
      <c r="JT680" s="3"/>
      <c r="JU680" s="3"/>
      <c r="JV680" s="3"/>
      <c r="JW680" s="3"/>
      <c r="JX680" s="3"/>
      <c r="JY680" s="3"/>
      <c r="JZ680" s="3"/>
      <c r="KA680" s="3"/>
      <c r="KB680" s="3"/>
      <c r="KC680" s="3"/>
      <c r="KD680" s="3"/>
      <c r="KE680" s="3"/>
      <c r="KF680" s="3"/>
      <c r="KG680" s="3"/>
      <c r="KH680" s="3"/>
      <c r="KI680" s="3"/>
      <c r="KJ680" s="3"/>
      <c r="KK680" s="3"/>
      <c r="KL680" s="3"/>
      <c r="KM680" s="3"/>
      <c r="KN680" s="3"/>
      <c r="KO680" s="3"/>
      <c r="KP680" s="3"/>
      <c r="KQ680" s="3"/>
      <c r="KR680" s="3"/>
      <c r="KS680" s="3"/>
      <c r="KT680" s="3"/>
      <c r="KU680" s="3"/>
      <c r="KV680" s="3"/>
      <c r="KW680" s="3"/>
      <c r="KX680" s="3"/>
      <c r="KY680" s="3"/>
      <c r="KZ680" s="3"/>
      <c r="LA680" s="3"/>
      <c r="LB680" s="3"/>
      <c r="LC680" s="3"/>
      <c r="LD680" s="3"/>
      <c r="LE680" s="3"/>
      <c r="LF680" s="3"/>
      <c r="LG680" s="3"/>
      <c r="LH680" s="3"/>
      <c r="LI680" s="3"/>
      <c r="LJ680" s="3"/>
      <c r="LK680" s="3"/>
      <c r="LL680" s="3"/>
      <c r="LM680" s="3"/>
      <c r="LN680" s="3"/>
      <c r="LO680" s="3"/>
      <c r="LP680" s="3"/>
      <c r="LQ680" s="3"/>
      <c r="LR680" s="3"/>
      <c r="LS680" s="3"/>
      <c r="LT680" s="3"/>
      <c r="LU680" s="3"/>
      <c r="LV680" s="3"/>
      <c r="LW680" s="3"/>
      <c r="LX680" s="3"/>
      <c r="LY680" s="3"/>
      <c r="LZ680" s="3"/>
      <c r="MA680" s="3"/>
      <c r="MB680" s="3"/>
      <c r="MC680" s="3"/>
      <c r="MD680" s="3"/>
      <c r="ME680" s="3"/>
      <c r="MF680" s="3"/>
      <c r="MG680" s="3"/>
      <c r="MH680" s="3"/>
      <c r="MI680" s="3"/>
    </row>
    <row r="681" spans="1:347"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c r="HX681" s="3"/>
      <c r="HY681" s="3"/>
      <c r="HZ681" s="3"/>
      <c r="IA681" s="3"/>
      <c r="IB681" s="3"/>
      <c r="IC681" s="3"/>
      <c r="ID681" s="3"/>
      <c r="IE681" s="3"/>
      <c r="IF681" s="3"/>
      <c r="IG681" s="3"/>
      <c r="IH681" s="3"/>
      <c r="II681" s="3"/>
      <c r="IJ681" s="3"/>
      <c r="IK681" s="3"/>
      <c r="IL681" s="3"/>
      <c r="IM681" s="3"/>
      <c r="IN681" s="3"/>
      <c r="IO681" s="3"/>
      <c r="IP681" s="3"/>
      <c r="IQ681" s="3"/>
      <c r="IR681" s="3"/>
      <c r="IS681" s="3"/>
      <c r="IT681" s="3"/>
      <c r="IU681" s="3"/>
      <c r="IV681" s="3"/>
      <c r="IW681" s="3"/>
      <c r="IX681" s="3"/>
      <c r="IY681" s="3"/>
      <c r="IZ681" s="3"/>
      <c r="JA681" s="3"/>
      <c r="JB681" s="3"/>
      <c r="JC681" s="3"/>
      <c r="JD681" s="3"/>
      <c r="JE681" s="3"/>
      <c r="JF681" s="3"/>
      <c r="JG681" s="3"/>
      <c r="JH681" s="3"/>
      <c r="JI681" s="3"/>
      <c r="JJ681" s="3"/>
      <c r="JK681" s="3"/>
      <c r="JL681" s="3"/>
      <c r="JM681" s="3"/>
      <c r="JN681" s="3"/>
      <c r="JO681" s="3"/>
      <c r="JP681" s="3"/>
      <c r="JQ681" s="3"/>
      <c r="JR681" s="3"/>
      <c r="JS681" s="3"/>
      <c r="JT681" s="3"/>
      <c r="JU681" s="3"/>
      <c r="JV681" s="3"/>
      <c r="JW681" s="3"/>
      <c r="JX681" s="3"/>
      <c r="JY681" s="3"/>
      <c r="JZ681" s="3"/>
      <c r="KA681" s="3"/>
      <c r="KB681" s="3"/>
      <c r="KC681" s="3"/>
      <c r="KD681" s="3"/>
      <c r="KE681" s="3"/>
      <c r="KF681" s="3"/>
      <c r="KG681" s="3"/>
      <c r="KH681" s="3"/>
      <c r="KI681" s="3"/>
      <c r="KJ681" s="3"/>
      <c r="KK681" s="3"/>
      <c r="KL681" s="3"/>
      <c r="KM681" s="3"/>
      <c r="KN681" s="3"/>
      <c r="KO681" s="3"/>
      <c r="KP681" s="3"/>
      <c r="KQ681" s="3"/>
      <c r="KR681" s="3"/>
      <c r="KS681" s="3"/>
      <c r="KT681" s="3"/>
      <c r="KU681" s="3"/>
      <c r="KV681" s="3"/>
      <c r="KW681" s="3"/>
      <c r="KX681" s="3"/>
      <c r="KY681" s="3"/>
      <c r="KZ681" s="3"/>
      <c r="LA681" s="3"/>
      <c r="LB681" s="3"/>
      <c r="LC681" s="3"/>
      <c r="LD681" s="3"/>
      <c r="LE681" s="3"/>
      <c r="LF681" s="3"/>
      <c r="LG681" s="3"/>
      <c r="LH681" s="3"/>
      <c r="LI681" s="3"/>
      <c r="LJ681" s="3"/>
      <c r="LK681" s="3"/>
      <c r="LL681" s="3"/>
      <c r="LM681" s="3"/>
      <c r="LN681" s="3"/>
      <c r="LO681" s="3"/>
      <c r="LP681" s="3"/>
      <c r="LQ681" s="3"/>
      <c r="LR681" s="3"/>
      <c r="LS681" s="3"/>
      <c r="LT681" s="3"/>
      <c r="LU681" s="3"/>
      <c r="LV681" s="3"/>
      <c r="LW681" s="3"/>
      <c r="LX681" s="3"/>
      <c r="LY681" s="3"/>
      <c r="LZ681" s="3"/>
      <c r="MA681" s="3"/>
      <c r="MB681" s="3"/>
      <c r="MC681" s="3"/>
      <c r="MD681" s="3"/>
      <c r="ME681" s="3"/>
      <c r="MF681" s="3"/>
      <c r="MG681" s="3"/>
      <c r="MH681" s="3"/>
      <c r="MI681" s="3"/>
    </row>
    <row r="682" spans="1:347"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c r="HX682" s="3"/>
      <c r="HY682" s="3"/>
      <c r="HZ682" s="3"/>
      <c r="IA682" s="3"/>
      <c r="IB682" s="3"/>
      <c r="IC682" s="3"/>
      <c r="ID682" s="3"/>
      <c r="IE682" s="3"/>
      <c r="IF682" s="3"/>
      <c r="IG682" s="3"/>
      <c r="IH682" s="3"/>
      <c r="II682" s="3"/>
      <c r="IJ682" s="3"/>
      <c r="IK682" s="3"/>
      <c r="IL682" s="3"/>
      <c r="IM682" s="3"/>
      <c r="IN682" s="3"/>
      <c r="IO682" s="3"/>
      <c r="IP682" s="3"/>
      <c r="IQ682" s="3"/>
      <c r="IR682" s="3"/>
      <c r="IS682" s="3"/>
      <c r="IT682" s="3"/>
      <c r="IU682" s="3"/>
      <c r="IV682" s="3"/>
      <c r="IW682" s="3"/>
      <c r="IX682" s="3"/>
      <c r="IY682" s="3"/>
      <c r="IZ682" s="3"/>
      <c r="JA682" s="3"/>
      <c r="JB682" s="3"/>
      <c r="JC682" s="3"/>
      <c r="JD682" s="3"/>
      <c r="JE682" s="3"/>
      <c r="JF682" s="3"/>
      <c r="JG682" s="3"/>
      <c r="JH682" s="3"/>
      <c r="JI682" s="3"/>
      <c r="JJ682" s="3"/>
      <c r="JK682" s="3"/>
      <c r="JL682" s="3"/>
      <c r="JM682" s="3"/>
      <c r="JN682" s="3"/>
      <c r="JO682" s="3"/>
      <c r="JP682" s="3"/>
      <c r="JQ682" s="3"/>
      <c r="JR682" s="3"/>
      <c r="JS682" s="3"/>
      <c r="JT682" s="3"/>
      <c r="JU682" s="3"/>
      <c r="JV682" s="3"/>
      <c r="JW682" s="3"/>
      <c r="JX682" s="3"/>
      <c r="JY682" s="3"/>
      <c r="JZ682" s="3"/>
      <c r="KA682" s="3"/>
      <c r="KB682" s="3"/>
      <c r="KC682" s="3"/>
      <c r="KD682" s="3"/>
      <c r="KE682" s="3"/>
      <c r="KF682" s="3"/>
      <c r="KG682" s="3"/>
      <c r="KH682" s="3"/>
      <c r="KI682" s="3"/>
      <c r="KJ682" s="3"/>
      <c r="KK682" s="3"/>
      <c r="KL682" s="3"/>
      <c r="KM682" s="3"/>
      <c r="KN682" s="3"/>
      <c r="KO682" s="3"/>
      <c r="KP682" s="3"/>
      <c r="KQ682" s="3"/>
      <c r="KR682" s="3"/>
      <c r="KS682" s="3"/>
      <c r="KT682" s="3"/>
      <c r="KU682" s="3"/>
      <c r="KV682" s="3"/>
      <c r="KW682" s="3"/>
      <c r="KX682" s="3"/>
      <c r="KY682" s="3"/>
      <c r="KZ682" s="3"/>
      <c r="LA682" s="3"/>
      <c r="LB682" s="3"/>
      <c r="LC682" s="3"/>
      <c r="LD682" s="3"/>
      <c r="LE682" s="3"/>
      <c r="LF682" s="3"/>
      <c r="LG682" s="3"/>
      <c r="LH682" s="3"/>
      <c r="LI682" s="3"/>
      <c r="LJ682" s="3"/>
      <c r="LK682" s="3"/>
      <c r="LL682" s="3"/>
      <c r="LM682" s="3"/>
      <c r="LN682" s="3"/>
      <c r="LO682" s="3"/>
      <c r="LP682" s="3"/>
      <c r="LQ682" s="3"/>
      <c r="LR682" s="3"/>
      <c r="LS682" s="3"/>
      <c r="LT682" s="3"/>
      <c r="LU682" s="3"/>
      <c r="LV682" s="3"/>
      <c r="LW682" s="3"/>
      <c r="LX682" s="3"/>
      <c r="LY682" s="3"/>
      <c r="LZ682" s="3"/>
      <c r="MA682" s="3"/>
      <c r="MB682" s="3"/>
      <c r="MC682" s="3"/>
      <c r="MD682" s="3"/>
      <c r="ME682" s="3"/>
      <c r="MF682" s="3"/>
      <c r="MG682" s="3"/>
      <c r="MH682" s="3"/>
      <c r="MI682" s="3"/>
    </row>
    <row r="683" spans="1:347"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c r="HX683" s="3"/>
      <c r="HY683" s="3"/>
      <c r="HZ683" s="3"/>
      <c r="IA683" s="3"/>
      <c r="IB683" s="3"/>
      <c r="IC683" s="3"/>
      <c r="ID683" s="3"/>
      <c r="IE683" s="3"/>
      <c r="IF683" s="3"/>
      <c r="IG683" s="3"/>
      <c r="IH683" s="3"/>
      <c r="II683" s="3"/>
      <c r="IJ683" s="3"/>
      <c r="IK683" s="3"/>
      <c r="IL683" s="3"/>
      <c r="IM683" s="3"/>
      <c r="IN683" s="3"/>
      <c r="IO683" s="3"/>
      <c r="IP683" s="3"/>
      <c r="IQ683" s="3"/>
      <c r="IR683" s="3"/>
      <c r="IS683" s="3"/>
      <c r="IT683" s="3"/>
      <c r="IU683" s="3"/>
      <c r="IV683" s="3"/>
      <c r="IW683" s="3"/>
      <c r="IX683" s="3"/>
      <c r="IY683" s="3"/>
      <c r="IZ683" s="3"/>
      <c r="JA683" s="3"/>
      <c r="JB683" s="3"/>
      <c r="JC683" s="3"/>
      <c r="JD683" s="3"/>
      <c r="JE683" s="3"/>
      <c r="JF683" s="3"/>
      <c r="JG683" s="3"/>
      <c r="JH683" s="3"/>
      <c r="JI683" s="3"/>
      <c r="JJ683" s="3"/>
      <c r="JK683" s="3"/>
      <c r="JL683" s="3"/>
      <c r="JM683" s="3"/>
      <c r="JN683" s="3"/>
      <c r="JO683" s="3"/>
      <c r="JP683" s="3"/>
      <c r="JQ683" s="3"/>
      <c r="JR683" s="3"/>
      <c r="JS683" s="3"/>
      <c r="JT683" s="3"/>
      <c r="JU683" s="3"/>
      <c r="JV683" s="3"/>
      <c r="JW683" s="3"/>
      <c r="JX683" s="3"/>
      <c r="JY683" s="3"/>
      <c r="JZ683" s="3"/>
      <c r="KA683" s="3"/>
      <c r="KB683" s="3"/>
      <c r="KC683" s="3"/>
      <c r="KD683" s="3"/>
      <c r="KE683" s="3"/>
      <c r="KF683" s="3"/>
      <c r="KG683" s="3"/>
      <c r="KH683" s="3"/>
      <c r="KI683" s="3"/>
      <c r="KJ683" s="3"/>
      <c r="KK683" s="3"/>
      <c r="KL683" s="3"/>
      <c r="KM683" s="3"/>
      <c r="KN683" s="3"/>
      <c r="KO683" s="3"/>
      <c r="KP683" s="3"/>
      <c r="KQ683" s="3"/>
      <c r="KR683" s="3"/>
      <c r="KS683" s="3"/>
      <c r="KT683" s="3"/>
      <c r="KU683" s="3"/>
      <c r="KV683" s="3"/>
      <c r="KW683" s="3"/>
      <c r="KX683" s="3"/>
      <c r="KY683" s="3"/>
      <c r="KZ683" s="3"/>
      <c r="LA683" s="3"/>
      <c r="LB683" s="3"/>
      <c r="LC683" s="3"/>
      <c r="LD683" s="3"/>
      <c r="LE683" s="3"/>
      <c r="LF683" s="3"/>
      <c r="LG683" s="3"/>
      <c r="LH683" s="3"/>
      <c r="LI683" s="3"/>
      <c r="LJ683" s="3"/>
      <c r="LK683" s="3"/>
      <c r="LL683" s="3"/>
      <c r="LM683" s="3"/>
      <c r="LN683" s="3"/>
      <c r="LO683" s="3"/>
      <c r="LP683" s="3"/>
      <c r="LQ683" s="3"/>
      <c r="LR683" s="3"/>
      <c r="LS683" s="3"/>
      <c r="LT683" s="3"/>
      <c r="LU683" s="3"/>
      <c r="LV683" s="3"/>
      <c r="LW683" s="3"/>
      <c r="LX683" s="3"/>
      <c r="LY683" s="3"/>
      <c r="LZ683" s="3"/>
      <c r="MA683" s="3"/>
      <c r="MB683" s="3"/>
      <c r="MC683" s="3"/>
      <c r="MD683" s="3"/>
      <c r="ME683" s="3"/>
      <c r="MF683" s="3"/>
      <c r="MG683" s="3"/>
      <c r="MH683" s="3"/>
      <c r="MI683" s="3"/>
    </row>
    <row r="684" spans="1:347"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c r="HX684" s="3"/>
      <c r="HY684" s="3"/>
      <c r="HZ684" s="3"/>
      <c r="IA684" s="3"/>
      <c r="IB684" s="3"/>
      <c r="IC684" s="3"/>
      <c r="ID684" s="3"/>
      <c r="IE684" s="3"/>
      <c r="IF684" s="3"/>
      <c r="IG684" s="3"/>
      <c r="IH684" s="3"/>
      <c r="II684" s="3"/>
      <c r="IJ684" s="3"/>
      <c r="IK684" s="3"/>
      <c r="IL684" s="3"/>
      <c r="IM684" s="3"/>
      <c r="IN684" s="3"/>
      <c r="IO684" s="3"/>
      <c r="IP684" s="3"/>
      <c r="IQ684" s="3"/>
      <c r="IR684" s="3"/>
      <c r="IS684" s="3"/>
      <c r="IT684" s="3"/>
      <c r="IU684" s="3"/>
      <c r="IV684" s="3"/>
      <c r="IW684" s="3"/>
      <c r="IX684" s="3"/>
      <c r="IY684" s="3"/>
      <c r="IZ684" s="3"/>
      <c r="JA684" s="3"/>
      <c r="JB684" s="3"/>
      <c r="JC684" s="3"/>
      <c r="JD684" s="3"/>
      <c r="JE684" s="3"/>
      <c r="JF684" s="3"/>
      <c r="JG684" s="3"/>
      <c r="JH684" s="3"/>
      <c r="JI684" s="3"/>
      <c r="JJ684" s="3"/>
      <c r="JK684" s="3"/>
      <c r="JL684" s="3"/>
      <c r="JM684" s="3"/>
      <c r="JN684" s="3"/>
      <c r="JO684" s="3"/>
      <c r="JP684" s="3"/>
      <c r="JQ684" s="3"/>
      <c r="JR684" s="3"/>
      <c r="JS684" s="3"/>
      <c r="JT684" s="3"/>
      <c r="JU684" s="3"/>
      <c r="JV684" s="3"/>
      <c r="JW684" s="3"/>
      <c r="JX684" s="3"/>
      <c r="JY684" s="3"/>
      <c r="JZ684" s="3"/>
      <c r="KA684" s="3"/>
      <c r="KB684" s="3"/>
      <c r="KC684" s="3"/>
      <c r="KD684" s="3"/>
      <c r="KE684" s="3"/>
      <c r="KF684" s="3"/>
      <c r="KG684" s="3"/>
      <c r="KH684" s="3"/>
      <c r="KI684" s="3"/>
      <c r="KJ684" s="3"/>
      <c r="KK684" s="3"/>
      <c r="KL684" s="3"/>
      <c r="KM684" s="3"/>
      <c r="KN684" s="3"/>
      <c r="KO684" s="3"/>
      <c r="KP684" s="3"/>
      <c r="KQ684" s="3"/>
      <c r="KR684" s="3"/>
      <c r="KS684" s="3"/>
      <c r="KT684" s="3"/>
      <c r="KU684" s="3"/>
      <c r="KV684" s="3"/>
      <c r="KW684" s="3"/>
      <c r="KX684" s="3"/>
      <c r="KY684" s="3"/>
      <c r="KZ684" s="3"/>
      <c r="LA684" s="3"/>
      <c r="LB684" s="3"/>
      <c r="LC684" s="3"/>
      <c r="LD684" s="3"/>
      <c r="LE684" s="3"/>
      <c r="LF684" s="3"/>
      <c r="LG684" s="3"/>
      <c r="LH684" s="3"/>
      <c r="LI684" s="3"/>
      <c r="LJ684" s="3"/>
      <c r="LK684" s="3"/>
      <c r="LL684" s="3"/>
      <c r="LM684" s="3"/>
      <c r="LN684" s="3"/>
      <c r="LO684" s="3"/>
      <c r="LP684" s="3"/>
      <c r="LQ684" s="3"/>
      <c r="LR684" s="3"/>
      <c r="LS684" s="3"/>
      <c r="LT684" s="3"/>
      <c r="LU684" s="3"/>
      <c r="LV684" s="3"/>
      <c r="LW684" s="3"/>
      <c r="LX684" s="3"/>
      <c r="LY684" s="3"/>
      <c r="LZ684" s="3"/>
      <c r="MA684" s="3"/>
      <c r="MB684" s="3"/>
      <c r="MC684" s="3"/>
      <c r="MD684" s="3"/>
      <c r="ME684" s="3"/>
      <c r="MF684" s="3"/>
      <c r="MG684" s="3"/>
      <c r="MH684" s="3"/>
      <c r="MI684" s="3"/>
    </row>
    <row r="685" spans="1:347"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c r="HX685" s="3"/>
      <c r="HY685" s="3"/>
      <c r="HZ685" s="3"/>
      <c r="IA685" s="3"/>
      <c r="IB685" s="3"/>
      <c r="IC685" s="3"/>
      <c r="ID685" s="3"/>
      <c r="IE685" s="3"/>
      <c r="IF685" s="3"/>
      <c r="IG685" s="3"/>
      <c r="IH685" s="3"/>
      <c r="II685" s="3"/>
      <c r="IJ685" s="3"/>
      <c r="IK685" s="3"/>
      <c r="IL685" s="3"/>
      <c r="IM685" s="3"/>
      <c r="IN685" s="3"/>
      <c r="IO685" s="3"/>
      <c r="IP685" s="3"/>
      <c r="IQ685" s="3"/>
      <c r="IR685" s="3"/>
      <c r="IS685" s="3"/>
      <c r="IT685" s="3"/>
      <c r="IU685" s="3"/>
      <c r="IV685" s="3"/>
      <c r="IW685" s="3"/>
      <c r="IX685" s="3"/>
      <c r="IY685" s="3"/>
      <c r="IZ685" s="3"/>
      <c r="JA685" s="3"/>
      <c r="JB685" s="3"/>
      <c r="JC685" s="3"/>
      <c r="JD685" s="3"/>
      <c r="JE685" s="3"/>
      <c r="JF685" s="3"/>
      <c r="JG685" s="3"/>
      <c r="JH685" s="3"/>
      <c r="JI685" s="3"/>
      <c r="JJ685" s="3"/>
      <c r="JK685" s="3"/>
      <c r="JL685" s="3"/>
      <c r="JM685" s="3"/>
      <c r="JN685" s="3"/>
      <c r="JO685" s="3"/>
      <c r="JP685" s="3"/>
      <c r="JQ685" s="3"/>
      <c r="JR685" s="3"/>
      <c r="JS685" s="3"/>
      <c r="JT685" s="3"/>
      <c r="JU685" s="3"/>
      <c r="JV685" s="3"/>
      <c r="JW685" s="3"/>
      <c r="JX685" s="3"/>
      <c r="JY685" s="3"/>
      <c r="JZ685" s="3"/>
      <c r="KA685" s="3"/>
      <c r="KB685" s="3"/>
      <c r="KC685" s="3"/>
      <c r="KD685" s="3"/>
      <c r="KE685" s="3"/>
      <c r="KF685" s="3"/>
      <c r="KG685" s="3"/>
      <c r="KH685" s="3"/>
      <c r="KI685" s="3"/>
      <c r="KJ685" s="3"/>
      <c r="KK685" s="3"/>
      <c r="KL685" s="3"/>
      <c r="KM685" s="3"/>
      <c r="KN685" s="3"/>
      <c r="KO685" s="3"/>
      <c r="KP685" s="3"/>
      <c r="KQ685" s="3"/>
      <c r="KR685" s="3"/>
      <c r="KS685" s="3"/>
      <c r="KT685" s="3"/>
      <c r="KU685" s="3"/>
      <c r="KV685" s="3"/>
      <c r="KW685" s="3"/>
      <c r="KX685" s="3"/>
      <c r="KY685" s="3"/>
      <c r="KZ685" s="3"/>
      <c r="LA685" s="3"/>
      <c r="LB685" s="3"/>
      <c r="LC685" s="3"/>
      <c r="LD685" s="3"/>
      <c r="LE685" s="3"/>
      <c r="LF685" s="3"/>
      <c r="LG685" s="3"/>
      <c r="LH685" s="3"/>
      <c r="LI685" s="3"/>
      <c r="LJ685" s="3"/>
      <c r="LK685" s="3"/>
      <c r="LL685" s="3"/>
      <c r="LM685" s="3"/>
      <c r="LN685" s="3"/>
      <c r="LO685" s="3"/>
      <c r="LP685" s="3"/>
      <c r="LQ685" s="3"/>
      <c r="LR685" s="3"/>
      <c r="LS685" s="3"/>
      <c r="LT685" s="3"/>
      <c r="LU685" s="3"/>
      <c r="LV685" s="3"/>
      <c r="LW685" s="3"/>
      <c r="LX685" s="3"/>
      <c r="LY685" s="3"/>
      <c r="LZ685" s="3"/>
      <c r="MA685" s="3"/>
      <c r="MB685" s="3"/>
      <c r="MC685" s="3"/>
      <c r="MD685" s="3"/>
      <c r="ME685" s="3"/>
      <c r="MF685" s="3"/>
      <c r="MG685" s="3"/>
      <c r="MH685" s="3"/>
      <c r="MI685" s="3"/>
    </row>
    <row r="686" spans="1:347"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c r="HX686" s="3"/>
      <c r="HY686" s="3"/>
      <c r="HZ686" s="3"/>
      <c r="IA686" s="3"/>
      <c r="IB686" s="3"/>
      <c r="IC686" s="3"/>
      <c r="ID686" s="3"/>
      <c r="IE686" s="3"/>
      <c r="IF686" s="3"/>
      <c r="IG686" s="3"/>
      <c r="IH686" s="3"/>
      <c r="II686" s="3"/>
      <c r="IJ686" s="3"/>
      <c r="IK686" s="3"/>
      <c r="IL686" s="3"/>
      <c r="IM686" s="3"/>
      <c r="IN686" s="3"/>
      <c r="IO686" s="3"/>
      <c r="IP686" s="3"/>
      <c r="IQ686" s="3"/>
      <c r="IR686" s="3"/>
      <c r="IS686" s="3"/>
      <c r="IT686" s="3"/>
      <c r="IU686" s="3"/>
      <c r="IV686" s="3"/>
      <c r="IW686" s="3"/>
      <c r="IX686" s="3"/>
      <c r="IY686" s="3"/>
      <c r="IZ686" s="3"/>
      <c r="JA686" s="3"/>
      <c r="JB686" s="3"/>
      <c r="JC686" s="3"/>
      <c r="JD686" s="3"/>
      <c r="JE686" s="3"/>
      <c r="JF686" s="3"/>
      <c r="JG686" s="3"/>
      <c r="JH686" s="3"/>
      <c r="JI686" s="3"/>
      <c r="JJ686" s="3"/>
      <c r="JK686" s="3"/>
      <c r="JL686" s="3"/>
      <c r="JM686" s="3"/>
      <c r="JN686" s="3"/>
      <c r="JO686" s="3"/>
      <c r="JP686" s="3"/>
      <c r="JQ686" s="3"/>
      <c r="JR686" s="3"/>
      <c r="JS686" s="3"/>
      <c r="JT686" s="3"/>
      <c r="JU686" s="3"/>
      <c r="JV686" s="3"/>
      <c r="JW686" s="3"/>
      <c r="JX686" s="3"/>
      <c r="JY686" s="3"/>
      <c r="JZ686" s="3"/>
      <c r="KA686" s="3"/>
      <c r="KB686" s="3"/>
      <c r="KC686" s="3"/>
      <c r="KD686" s="3"/>
      <c r="KE686" s="3"/>
      <c r="KF686" s="3"/>
      <c r="KG686" s="3"/>
      <c r="KH686" s="3"/>
      <c r="KI686" s="3"/>
      <c r="KJ686" s="3"/>
      <c r="KK686" s="3"/>
      <c r="KL686" s="3"/>
      <c r="KM686" s="3"/>
      <c r="KN686" s="3"/>
      <c r="KO686" s="3"/>
      <c r="KP686" s="3"/>
      <c r="KQ686" s="3"/>
      <c r="KR686" s="3"/>
      <c r="KS686" s="3"/>
      <c r="KT686" s="3"/>
      <c r="KU686" s="3"/>
      <c r="KV686" s="3"/>
      <c r="KW686" s="3"/>
      <c r="KX686" s="3"/>
      <c r="KY686" s="3"/>
      <c r="KZ686" s="3"/>
      <c r="LA686" s="3"/>
      <c r="LB686" s="3"/>
      <c r="LC686" s="3"/>
      <c r="LD686" s="3"/>
      <c r="LE686" s="3"/>
      <c r="LF686" s="3"/>
      <c r="LG686" s="3"/>
      <c r="LH686" s="3"/>
      <c r="LI686" s="3"/>
      <c r="LJ686" s="3"/>
      <c r="LK686" s="3"/>
      <c r="LL686" s="3"/>
      <c r="LM686" s="3"/>
      <c r="LN686" s="3"/>
      <c r="LO686" s="3"/>
      <c r="LP686" s="3"/>
      <c r="LQ686" s="3"/>
      <c r="LR686" s="3"/>
      <c r="LS686" s="3"/>
      <c r="LT686" s="3"/>
      <c r="LU686" s="3"/>
      <c r="LV686" s="3"/>
      <c r="LW686" s="3"/>
      <c r="LX686" s="3"/>
      <c r="LY686" s="3"/>
      <c r="LZ686" s="3"/>
      <c r="MA686" s="3"/>
      <c r="MB686" s="3"/>
      <c r="MC686" s="3"/>
      <c r="MD686" s="3"/>
      <c r="ME686" s="3"/>
      <c r="MF686" s="3"/>
      <c r="MG686" s="3"/>
      <c r="MH686" s="3"/>
      <c r="MI686" s="3"/>
    </row>
    <row r="687" spans="1:347"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c r="HX687" s="3"/>
      <c r="HY687" s="3"/>
      <c r="HZ687" s="3"/>
      <c r="IA687" s="3"/>
      <c r="IB687" s="3"/>
      <c r="IC687" s="3"/>
      <c r="ID687" s="3"/>
      <c r="IE687" s="3"/>
      <c r="IF687" s="3"/>
      <c r="IG687" s="3"/>
      <c r="IH687" s="3"/>
      <c r="II687" s="3"/>
      <c r="IJ687" s="3"/>
      <c r="IK687" s="3"/>
      <c r="IL687" s="3"/>
      <c r="IM687" s="3"/>
      <c r="IN687" s="3"/>
      <c r="IO687" s="3"/>
      <c r="IP687" s="3"/>
      <c r="IQ687" s="3"/>
      <c r="IR687" s="3"/>
      <c r="IS687" s="3"/>
      <c r="IT687" s="3"/>
      <c r="IU687" s="3"/>
      <c r="IV687" s="3"/>
      <c r="IW687" s="3"/>
      <c r="IX687" s="3"/>
      <c r="IY687" s="3"/>
      <c r="IZ687" s="3"/>
      <c r="JA687" s="3"/>
      <c r="JB687" s="3"/>
      <c r="JC687" s="3"/>
      <c r="JD687" s="3"/>
      <c r="JE687" s="3"/>
      <c r="JF687" s="3"/>
      <c r="JG687" s="3"/>
      <c r="JH687" s="3"/>
      <c r="JI687" s="3"/>
      <c r="JJ687" s="3"/>
      <c r="JK687" s="3"/>
      <c r="JL687" s="3"/>
      <c r="JM687" s="3"/>
      <c r="JN687" s="3"/>
      <c r="JO687" s="3"/>
      <c r="JP687" s="3"/>
      <c r="JQ687" s="3"/>
      <c r="JR687" s="3"/>
      <c r="JS687" s="3"/>
      <c r="JT687" s="3"/>
      <c r="JU687" s="3"/>
      <c r="JV687" s="3"/>
      <c r="JW687" s="3"/>
      <c r="JX687" s="3"/>
      <c r="JY687" s="3"/>
      <c r="JZ687" s="3"/>
      <c r="KA687" s="3"/>
      <c r="KB687" s="3"/>
      <c r="KC687" s="3"/>
      <c r="KD687" s="3"/>
      <c r="KE687" s="3"/>
      <c r="KF687" s="3"/>
      <c r="KG687" s="3"/>
      <c r="KH687" s="3"/>
      <c r="KI687" s="3"/>
      <c r="KJ687" s="3"/>
      <c r="KK687" s="3"/>
      <c r="KL687" s="3"/>
      <c r="KM687" s="3"/>
      <c r="KN687" s="3"/>
      <c r="KO687" s="3"/>
      <c r="KP687" s="3"/>
      <c r="KQ687" s="3"/>
      <c r="KR687" s="3"/>
      <c r="KS687" s="3"/>
      <c r="KT687" s="3"/>
      <c r="KU687" s="3"/>
      <c r="KV687" s="3"/>
      <c r="KW687" s="3"/>
      <c r="KX687" s="3"/>
      <c r="KY687" s="3"/>
      <c r="KZ687" s="3"/>
      <c r="LA687" s="3"/>
      <c r="LB687" s="3"/>
      <c r="LC687" s="3"/>
      <c r="LD687" s="3"/>
      <c r="LE687" s="3"/>
      <c r="LF687" s="3"/>
      <c r="LG687" s="3"/>
      <c r="LH687" s="3"/>
      <c r="LI687" s="3"/>
      <c r="LJ687" s="3"/>
      <c r="LK687" s="3"/>
      <c r="LL687" s="3"/>
      <c r="LM687" s="3"/>
      <c r="LN687" s="3"/>
      <c r="LO687" s="3"/>
      <c r="LP687" s="3"/>
      <c r="LQ687" s="3"/>
      <c r="LR687" s="3"/>
      <c r="LS687" s="3"/>
      <c r="LT687" s="3"/>
      <c r="LU687" s="3"/>
      <c r="LV687" s="3"/>
      <c r="LW687" s="3"/>
      <c r="LX687" s="3"/>
      <c r="LY687" s="3"/>
      <c r="LZ687" s="3"/>
      <c r="MA687" s="3"/>
      <c r="MB687" s="3"/>
      <c r="MC687" s="3"/>
      <c r="MD687" s="3"/>
      <c r="ME687" s="3"/>
      <c r="MF687" s="3"/>
      <c r="MG687" s="3"/>
      <c r="MH687" s="3"/>
      <c r="MI687" s="3"/>
    </row>
    <row r="688" spans="1:347"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c r="HX688" s="3"/>
      <c r="HY688" s="3"/>
      <c r="HZ688" s="3"/>
      <c r="IA688" s="3"/>
      <c r="IB688" s="3"/>
      <c r="IC688" s="3"/>
      <c r="ID688" s="3"/>
      <c r="IE688" s="3"/>
      <c r="IF688" s="3"/>
      <c r="IG688" s="3"/>
      <c r="IH688" s="3"/>
      <c r="II688" s="3"/>
      <c r="IJ688" s="3"/>
      <c r="IK688" s="3"/>
      <c r="IL688" s="3"/>
      <c r="IM688" s="3"/>
      <c r="IN688" s="3"/>
      <c r="IO688" s="3"/>
      <c r="IP688" s="3"/>
      <c r="IQ688" s="3"/>
      <c r="IR688" s="3"/>
      <c r="IS688" s="3"/>
      <c r="IT688" s="3"/>
      <c r="IU688" s="3"/>
      <c r="IV688" s="3"/>
      <c r="IW688" s="3"/>
      <c r="IX688" s="3"/>
      <c r="IY688" s="3"/>
      <c r="IZ688" s="3"/>
      <c r="JA688" s="3"/>
      <c r="JB688" s="3"/>
      <c r="JC688" s="3"/>
      <c r="JD688" s="3"/>
      <c r="JE688" s="3"/>
      <c r="JF688" s="3"/>
      <c r="JG688" s="3"/>
      <c r="JH688" s="3"/>
      <c r="JI688" s="3"/>
      <c r="JJ688" s="3"/>
      <c r="JK688" s="3"/>
      <c r="JL688" s="3"/>
      <c r="JM688" s="3"/>
      <c r="JN688" s="3"/>
      <c r="JO688" s="3"/>
      <c r="JP688" s="3"/>
      <c r="JQ688" s="3"/>
      <c r="JR688" s="3"/>
      <c r="JS688" s="3"/>
      <c r="JT688" s="3"/>
      <c r="JU688" s="3"/>
      <c r="JV688" s="3"/>
      <c r="JW688" s="3"/>
      <c r="JX688" s="3"/>
      <c r="JY688" s="3"/>
      <c r="JZ688" s="3"/>
      <c r="KA688" s="3"/>
      <c r="KB688" s="3"/>
      <c r="KC688" s="3"/>
      <c r="KD688" s="3"/>
      <c r="KE688" s="3"/>
      <c r="KF688" s="3"/>
      <c r="KG688" s="3"/>
      <c r="KH688" s="3"/>
      <c r="KI688" s="3"/>
      <c r="KJ688" s="3"/>
      <c r="KK688" s="3"/>
      <c r="KL688" s="3"/>
      <c r="KM688" s="3"/>
      <c r="KN688" s="3"/>
      <c r="KO688" s="3"/>
      <c r="KP688" s="3"/>
      <c r="KQ688" s="3"/>
      <c r="KR688" s="3"/>
      <c r="KS688" s="3"/>
      <c r="KT688" s="3"/>
      <c r="KU688" s="3"/>
      <c r="KV688" s="3"/>
      <c r="KW688" s="3"/>
      <c r="KX688" s="3"/>
      <c r="KY688" s="3"/>
      <c r="KZ688" s="3"/>
      <c r="LA688" s="3"/>
      <c r="LB688" s="3"/>
      <c r="LC688" s="3"/>
      <c r="LD688" s="3"/>
      <c r="LE688" s="3"/>
      <c r="LF688" s="3"/>
      <c r="LG688" s="3"/>
      <c r="LH688" s="3"/>
      <c r="LI688" s="3"/>
      <c r="LJ688" s="3"/>
      <c r="LK688" s="3"/>
      <c r="LL688" s="3"/>
      <c r="LM688" s="3"/>
      <c r="LN688" s="3"/>
      <c r="LO688" s="3"/>
      <c r="LP688" s="3"/>
      <c r="LQ688" s="3"/>
      <c r="LR688" s="3"/>
      <c r="LS688" s="3"/>
      <c r="LT688" s="3"/>
      <c r="LU688" s="3"/>
      <c r="LV688" s="3"/>
      <c r="LW688" s="3"/>
      <c r="LX688" s="3"/>
      <c r="LY688" s="3"/>
      <c r="LZ688" s="3"/>
      <c r="MA688" s="3"/>
      <c r="MB688" s="3"/>
      <c r="MC688" s="3"/>
      <c r="MD688" s="3"/>
      <c r="ME688" s="3"/>
      <c r="MF688" s="3"/>
      <c r="MG688" s="3"/>
      <c r="MH688" s="3"/>
      <c r="MI688" s="3"/>
    </row>
    <row r="689" spans="1:347"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c r="HX689" s="3"/>
      <c r="HY689" s="3"/>
      <c r="HZ689" s="3"/>
      <c r="IA689" s="3"/>
      <c r="IB689" s="3"/>
      <c r="IC689" s="3"/>
      <c r="ID689" s="3"/>
      <c r="IE689" s="3"/>
      <c r="IF689" s="3"/>
      <c r="IG689" s="3"/>
      <c r="IH689" s="3"/>
      <c r="II689" s="3"/>
      <c r="IJ689" s="3"/>
      <c r="IK689" s="3"/>
      <c r="IL689" s="3"/>
      <c r="IM689" s="3"/>
      <c r="IN689" s="3"/>
      <c r="IO689" s="3"/>
      <c r="IP689" s="3"/>
      <c r="IQ689" s="3"/>
      <c r="IR689" s="3"/>
      <c r="IS689" s="3"/>
      <c r="IT689" s="3"/>
      <c r="IU689" s="3"/>
      <c r="IV689" s="3"/>
      <c r="IW689" s="3"/>
      <c r="IX689" s="3"/>
      <c r="IY689" s="3"/>
      <c r="IZ689" s="3"/>
      <c r="JA689" s="3"/>
      <c r="JB689" s="3"/>
      <c r="JC689" s="3"/>
      <c r="JD689" s="3"/>
      <c r="JE689" s="3"/>
      <c r="JF689" s="3"/>
      <c r="JG689" s="3"/>
      <c r="JH689" s="3"/>
      <c r="JI689" s="3"/>
      <c r="JJ689" s="3"/>
      <c r="JK689" s="3"/>
      <c r="JL689" s="3"/>
      <c r="JM689" s="3"/>
      <c r="JN689" s="3"/>
      <c r="JO689" s="3"/>
      <c r="JP689" s="3"/>
      <c r="JQ689" s="3"/>
      <c r="JR689" s="3"/>
      <c r="JS689" s="3"/>
      <c r="JT689" s="3"/>
      <c r="JU689" s="3"/>
      <c r="JV689" s="3"/>
      <c r="JW689" s="3"/>
      <c r="JX689" s="3"/>
      <c r="JY689" s="3"/>
      <c r="JZ689" s="3"/>
      <c r="KA689" s="3"/>
      <c r="KB689" s="3"/>
      <c r="KC689" s="3"/>
      <c r="KD689" s="3"/>
      <c r="KE689" s="3"/>
      <c r="KF689" s="3"/>
      <c r="KG689" s="3"/>
      <c r="KH689" s="3"/>
      <c r="KI689" s="3"/>
      <c r="KJ689" s="3"/>
      <c r="KK689" s="3"/>
      <c r="KL689" s="3"/>
      <c r="KM689" s="3"/>
      <c r="KN689" s="3"/>
      <c r="KO689" s="3"/>
      <c r="KP689" s="3"/>
      <c r="KQ689" s="3"/>
      <c r="KR689" s="3"/>
      <c r="KS689" s="3"/>
      <c r="KT689" s="3"/>
      <c r="KU689" s="3"/>
      <c r="KV689" s="3"/>
      <c r="KW689" s="3"/>
      <c r="KX689" s="3"/>
      <c r="KY689" s="3"/>
      <c r="KZ689" s="3"/>
      <c r="LA689" s="3"/>
      <c r="LB689" s="3"/>
      <c r="LC689" s="3"/>
      <c r="LD689" s="3"/>
      <c r="LE689" s="3"/>
      <c r="LF689" s="3"/>
      <c r="LG689" s="3"/>
      <c r="LH689" s="3"/>
      <c r="LI689" s="3"/>
      <c r="LJ689" s="3"/>
      <c r="LK689" s="3"/>
      <c r="LL689" s="3"/>
      <c r="LM689" s="3"/>
      <c r="LN689" s="3"/>
      <c r="LO689" s="3"/>
      <c r="LP689" s="3"/>
      <c r="LQ689" s="3"/>
      <c r="LR689" s="3"/>
      <c r="LS689" s="3"/>
      <c r="LT689" s="3"/>
      <c r="LU689" s="3"/>
      <c r="LV689" s="3"/>
      <c r="LW689" s="3"/>
      <c r="LX689" s="3"/>
      <c r="LY689" s="3"/>
      <c r="LZ689" s="3"/>
      <c r="MA689" s="3"/>
      <c r="MB689" s="3"/>
      <c r="MC689" s="3"/>
      <c r="MD689" s="3"/>
      <c r="ME689" s="3"/>
      <c r="MF689" s="3"/>
      <c r="MG689" s="3"/>
      <c r="MH689" s="3"/>
      <c r="MI689" s="3"/>
    </row>
    <row r="690" spans="1:347"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c r="HX690" s="3"/>
      <c r="HY690" s="3"/>
      <c r="HZ690" s="3"/>
      <c r="IA690" s="3"/>
      <c r="IB690" s="3"/>
      <c r="IC690" s="3"/>
      <c r="ID690" s="3"/>
      <c r="IE690" s="3"/>
      <c r="IF690" s="3"/>
      <c r="IG690" s="3"/>
      <c r="IH690" s="3"/>
      <c r="II690" s="3"/>
      <c r="IJ690" s="3"/>
      <c r="IK690" s="3"/>
      <c r="IL690" s="3"/>
      <c r="IM690" s="3"/>
      <c r="IN690" s="3"/>
      <c r="IO690" s="3"/>
      <c r="IP690" s="3"/>
      <c r="IQ690" s="3"/>
      <c r="IR690" s="3"/>
      <c r="IS690" s="3"/>
      <c r="IT690" s="3"/>
      <c r="IU690" s="3"/>
      <c r="IV690" s="3"/>
      <c r="IW690" s="3"/>
      <c r="IX690" s="3"/>
      <c r="IY690" s="3"/>
      <c r="IZ690" s="3"/>
      <c r="JA690" s="3"/>
      <c r="JB690" s="3"/>
      <c r="JC690" s="3"/>
      <c r="JD690" s="3"/>
      <c r="JE690" s="3"/>
      <c r="JF690" s="3"/>
      <c r="JG690" s="3"/>
      <c r="JH690" s="3"/>
      <c r="JI690" s="3"/>
      <c r="JJ690" s="3"/>
      <c r="JK690" s="3"/>
      <c r="JL690" s="3"/>
      <c r="JM690" s="3"/>
      <c r="JN690" s="3"/>
      <c r="JO690" s="3"/>
      <c r="JP690" s="3"/>
      <c r="JQ690" s="3"/>
      <c r="JR690" s="3"/>
      <c r="JS690" s="3"/>
      <c r="JT690" s="3"/>
      <c r="JU690" s="3"/>
      <c r="JV690" s="3"/>
      <c r="JW690" s="3"/>
      <c r="JX690" s="3"/>
      <c r="JY690" s="3"/>
      <c r="JZ690" s="3"/>
      <c r="KA690" s="3"/>
      <c r="KB690" s="3"/>
      <c r="KC690" s="3"/>
      <c r="KD690" s="3"/>
      <c r="KE690" s="3"/>
      <c r="KF690" s="3"/>
      <c r="KG690" s="3"/>
      <c r="KH690" s="3"/>
      <c r="KI690" s="3"/>
      <c r="KJ690" s="3"/>
      <c r="KK690" s="3"/>
      <c r="KL690" s="3"/>
      <c r="KM690" s="3"/>
      <c r="KN690" s="3"/>
      <c r="KO690" s="3"/>
      <c r="KP690" s="3"/>
      <c r="KQ690" s="3"/>
      <c r="KR690" s="3"/>
      <c r="KS690" s="3"/>
      <c r="KT690" s="3"/>
      <c r="KU690" s="3"/>
      <c r="KV690" s="3"/>
      <c r="KW690" s="3"/>
      <c r="KX690" s="3"/>
      <c r="KY690" s="3"/>
      <c r="KZ690" s="3"/>
      <c r="LA690" s="3"/>
      <c r="LB690" s="3"/>
      <c r="LC690" s="3"/>
      <c r="LD690" s="3"/>
      <c r="LE690" s="3"/>
      <c r="LF690" s="3"/>
      <c r="LG690" s="3"/>
      <c r="LH690" s="3"/>
      <c r="LI690" s="3"/>
      <c r="LJ690" s="3"/>
      <c r="LK690" s="3"/>
      <c r="LL690" s="3"/>
      <c r="LM690" s="3"/>
      <c r="LN690" s="3"/>
      <c r="LO690" s="3"/>
      <c r="LP690" s="3"/>
      <c r="LQ690" s="3"/>
      <c r="LR690" s="3"/>
      <c r="LS690" s="3"/>
      <c r="LT690" s="3"/>
      <c r="LU690" s="3"/>
      <c r="LV690" s="3"/>
      <c r="LW690" s="3"/>
      <c r="LX690" s="3"/>
      <c r="LY690" s="3"/>
      <c r="LZ690" s="3"/>
      <c r="MA690" s="3"/>
      <c r="MB690" s="3"/>
      <c r="MC690" s="3"/>
      <c r="MD690" s="3"/>
      <c r="ME690" s="3"/>
      <c r="MF690" s="3"/>
      <c r="MG690" s="3"/>
      <c r="MH690" s="3"/>
      <c r="MI690" s="3"/>
    </row>
    <row r="691" spans="1:347"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c r="HX691" s="3"/>
      <c r="HY691" s="3"/>
      <c r="HZ691" s="3"/>
      <c r="IA691" s="3"/>
      <c r="IB691" s="3"/>
      <c r="IC691" s="3"/>
      <c r="ID691" s="3"/>
      <c r="IE691" s="3"/>
      <c r="IF691" s="3"/>
      <c r="IG691" s="3"/>
      <c r="IH691" s="3"/>
      <c r="II691" s="3"/>
      <c r="IJ691" s="3"/>
      <c r="IK691" s="3"/>
      <c r="IL691" s="3"/>
      <c r="IM691" s="3"/>
      <c r="IN691" s="3"/>
      <c r="IO691" s="3"/>
      <c r="IP691" s="3"/>
      <c r="IQ691" s="3"/>
      <c r="IR691" s="3"/>
      <c r="IS691" s="3"/>
      <c r="IT691" s="3"/>
      <c r="IU691" s="3"/>
      <c r="IV691" s="3"/>
      <c r="IW691" s="3"/>
      <c r="IX691" s="3"/>
      <c r="IY691" s="3"/>
      <c r="IZ691" s="3"/>
      <c r="JA691" s="3"/>
      <c r="JB691" s="3"/>
      <c r="JC691" s="3"/>
      <c r="JD691" s="3"/>
      <c r="JE691" s="3"/>
      <c r="JF691" s="3"/>
      <c r="JG691" s="3"/>
      <c r="JH691" s="3"/>
      <c r="JI691" s="3"/>
      <c r="JJ691" s="3"/>
      <c r="JK691" s="3"/>
      <c r="JL691" s="3"/>
      <c r="JM691" s="3"/>
      <c r="JN691" s="3"/>
      <c r="JO691" s="3"/>
      <c r="JP691" s="3"/>
      <c r="JQ691" s="3"/>
      <c r="JR691" s="3"/>
      <c r="JS691" s="3"/>
      <c r="JT691" s="3"/>
      <c r="JU691" s="3"/>
      <c r="JV691" s="3"/>
      <c r="JW691" s="3"/>
      <c r="JX691" s="3"/>
      <c r="JY691" s="3"/>
      <c r="JZ691" s="3"/>
      <c r="KA691" s="3"/>
      <c r="KB691" s="3"/>
      <c r="KC691" s="3"/>
      <c r="KD691" s="3"/>
      <c r="KE691" s="3"/>
      <c r="KF691" s="3"/>
      <c r="KG691" s="3"/>
      <c r="KH691" s="3"/>
      <c r="KI691" s="3"/>
      <c r="KJ691" s="3"/>
      <c r="KK691" s="3"/>
      <c r="KL691" s="3"/>
      <c r="KM691" s="3"/>
      <c r="KN691" s="3"/>
      <c r="KO691" s="3"/>
      <c r="KP691" s="3"/>
      <c r="KQ691" s="3"/>
      <c r="KR691" s="3"/>
      <c r="KS691" s="3"/>
      <c r="KT691" s="3"/>
      <c r="KU691" s="3"/>
      <c r="KV691" s="3"/>
      <c r="KW691" s="3"/>
      <c r="KX691" s="3"/>
      <c r="KY691" s="3"/>
      <c r="KZ691" s="3"/>
      <c r="LA691" s="3"/>
      <c r="LB691" s="3"/>
      <c r="LC691" s="3"/>
      <c r="LD691" s="3"/>
      <c r="LE691" s="3"/>
      <c r="LF691" s="3"/>
      <c r="LG691" s="3"/>
      <c r="LH691" s="3"/>
      <c r="LI691" s="3"/>
      <c r="LJ691" s="3"/>
      <c r="LK691" s="3"/>
      <c r="LL691" s="3"/>
      <c r="LM691" s="3"/>
      <c r="LN691" s="3"/>
      <c r="LO691" s="3"/>
      <c r="LP691" s="3"/>
      <c r="LQ691" s="3"/>
      <c r="LR691" s="3"/>
      <c r="LS691" s="3"/>
      <c r="LT691" s="3"/>
      <c r="LU691" s="3"/>
      <c r="LV691" s="3"/>
      <c r="LW691" s="3"/>
      <c r="LX691" s="3"/>
      <c r="LY691" s="3"/>
      <c r="LZ691" s="3"/>
      <c r="MA691" s="3"/>
      <c r="MB691" s="3"/>
      <c r="MC691" s="3"/>
      <c r="MD691" s="3"/>
      <c r="ME691" s="3"/>
      <c r="MF691" s="3"/>
      <c r="MG691" s="3"/>
      <c r="MH691" s="3"/>
      <c r="MI691" s="3"/>
    </row>
    <row r="692" spans="1:347"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c r="HX692" s="3"/>
      <c r="HY692" s="3"/>
      <c r="HZ692" s="3"/>
      <c r="IA692" s="3"/>
      <c r="IB692" s="3"/>
      <c r="IC692" s="3"/>
      <c r="ID692" s="3"/>
      <c r="IE692" s="3"/>
      <c r="IF692" s="3"/>
      <c r="IG692" s="3"/>
      <c r="IH692" s="3"/>
      <c r="II692" s="3"/>
      <c r="IJ692" s="3"/>
      <c r="IK692" s="3"/>
      <c r="IL692" s="3"/>
      <c r="IM692" s="3"/>
      <c r="IN692" s="3"/>
      <c r="IO692" s="3"/>
      <c r="IP692" s="3"/>
      <c r="IQ692" s="3"/>
      <c r="IR692" s="3"/>
      <c r="IS692" s="3"/>
      <c r="IT692" s="3"/>
      <c r="IU692" s="3"/>
      <c r="IV692" s="3"/>
      <c r="IW692" s="3"/>
      <c r="IX692" s="3"/>
      <c r="IY692" s="3"/>
      <c r="IZ692" s="3"/>
      <c r="JA692" s="3"/>
      <c r="JB692" s="3"/>
      <c r="JC692" s="3"/>
      <c r="JD692" s="3"/>
      <c r="JE692" s="3"/>
      <c r="JF692" s="3"/>
      <c r="JG692" s="3"/>
      <c r="JH692" s="3"/>
      <c r="JI692" s="3"/>
      <c r="JJ692" s="3"/>
      <c r="JK692" s="3"/>
      <c r="JL692" s="3"/>
      <c r="JM692" s="3"/>
      <c r="JN692" s="3"/>
      <c r="JO692" s="3"/>
      <c r="JP692" s="3"/>
      <c r="JQ692" s="3"/>
      <c r="JR692" s="3"/>
      <c r="JS692" s="3"/>
      <c r="JT692" s="3"/>
      <c r="JU692" s="3"/>
      <c r="JV692" s="3"/>
      <c r="JW692" s="3"/>
      <c r="JX692" s="3"/>
      <c r="JY692" s="3"/>
      <c r="JZ692" s="3"/>
      <c r="KA692" s="3"/>
      <c r="KB692" s="3"/>
      <c r="KC692" s="3"/>
      <c r="KD692" s="3"/>
      <c r="KE692" s="3"/>
      <c r="KF692" s="3"/>
      <c r="KG692" s="3"/>
      <c r="KH692" s="3"/>
      <c r="KI692" s="3"/>
      <c r="KJ692" s="3"/>
      <c r="KK692" s="3"/>
      <c r="KL692" s="3"/>
      <c r="KM692" s="3"/>
      <c r="KN692" s="3"/>
      <c r="KO692" s="3"/>
      <c r="KP692" s="3"/>
      <c r="KQ692" s="3"/>
      <c r="KR692" s="3"/>
      <c r="KS692" s="3"/>
      <c r="KT692" s="3"/>
      <c r="KU692" s="3"/>
      <c r="KV692" s="3"/>
      <c r="KW692" s="3"/>
      <c r="KX692" s="3"/>
      <c r="KY692" s="3"/>
      <c r="KZ692" s="3"/>
      <c r="LA692" s="3"/>
      <c r="LB692" s="3"/>
      <c r="LC692" s="3"/>
      <c r="LD692" s="3"/>
      <c r="LE692" s="3"/>
      <c r="LF692" s="3"/>
      <c r="LG692" s="3"/>
      <c r="LH692" s="3"/>
      <c r="LI692" s="3"/>
      <c r="LJ692" s="3"/>
      <c r="LK692" s="3"/>
      <c r="LL692" s="3"/>
      <c r="LM692" s="3"/>
      <c r="LN692" s="3"/>
      <c r="LO692" s="3"/>
      <c r="LP692" s="3"/>
      <c r="LQ692" s="3"/>
      <c r="LR692" s="3"/>
      <c r="LS692" s="3"/>
      <c r="LT692" s="3"/>
      <c r="LU692" s="3"/>
      <c r="LV692" s="3"/>
      <c r="LW692" s="3"/>
      <c r="LX692" s="3"/>
      <c r="LY692" s="3"/>
      <c r="LZ692" s="3"/>
      <c r="MA692" s="3"/>
      <c r="MB692" s="3"/>
      <c r="MC692" s="3"/>
      <c r="MD692" s="3"/>
      <c r="ME692" s="3"/>
      <c r="MF692" s="3"/>
      <c r="MG692" s="3"/>
      <c r="MH692" s="3"/>
      <c r="MI692" s="3"/>
    </row>
    <row r="693" spans="1:347"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c r="HX693" s="3"/>
      <c r="HY693" s="3"/>
      <c r="HZ693" s="3"/>
      <c r="IA693" s="3"/>
      <c r="IB693" s="3"/>
      <c r="IC693" s="3"/>
      <c r="ID693" s="3"/>
      <c r="IE693" s="3"/>
      <c r="IF693" s="3"/>
      <c r="IG693" s="3"/>
      <c r="IH693" s="3"/>
      <c r="II693" s="3"/>
      <c r="IJ693" s="3"/>
      <c r="IK693" s="3"/>
      <c r="IL693" s="3"/>
      <c r="IM693" s="3"/>
      <c r="IN693" s="3"/>
      <c r="IO693" s="3"/>
      <c r="IP693" s="3"/>
      <c r="IQ693" s="3"/>
      <c r="IR693" s="3"/>
      <c r="IS693" s="3"/>
      <c r="IT693" s="3"/>
      <c r="IU693" s="3"/>
      <c r="IV693" s="3"/>
      <c r="IW693" s="3"/>
      <c r="IX693" s="3"/>
      <c r="IY693" s="3"/>
      <c r="IZ693" s="3"/>
      <c r="JA693" s="3"/>
      <c r="JB693" s="3"/>
      <c r="JC693" s="3"/>
      <c r="JD693" s="3"/>
      <c r="JE693" s="3"/>
      <c r="JF693" s="3"/>
      <c r="JG693" s="3"/>
      <c r="JH693" s="3"/>
      <c r="JI693" s="3"/>
      <c r="JJ693" s="3"/>
      <c r="JK693" s="3"/>
      <c r="JL693" s="3"/>
      <c r="JM693" s="3"/>
      <c r="JN693" s="3"/>
      <c r="JO693" s="3"/>
      <c r="JP693" s="3"/>
      <c r="JQ693" s="3"/>
      <c r="JR693" s="3"/>
      <c r="JS693" s="3"/>
      <c r="JT693" s="3"/>
      <c r="JU693" s="3"/>
      <c r="JV693" s="3"/>
      <c r="JW693" s="3"/>
      <c r="JX693" s="3"/>
      <c r="JY693" s="3"/>
      <c r="JZ693" s="3"/>
      <c r="KA693" s="3"/>
      <c r="KB693" s="3"/>
      <c r="KC693" s="3"/>
      <c r="KD693" s="3"/>
      <c r="KE693" s="3"/>
      <c r="KF693" s="3"/>
      <c r="KG693" s="3"/>
      <c r="KH693" s="3"/>
      <c r="KI693" s="3"/>
      <c r="KJ693" s="3"/>
      <c r="KK693" s="3"/>
      <c r="KL693" s="3"/>
      <c r="KM693" s="3"/>
      <c r="KN693" s="3"/>
      <c r="KO693" s="3"/>
      <c r="KP693" s="3"/>
      <c r="KQ693" s="3"/>
      <c r="KR693" s="3"/>
      <c r="KS693" s="3"/>
      <c r="KT693" s="3"/>
      <c r="KU693" s="3"/>
      <c r="KV693" s="3"/>
      <c r="KW693" s="3"/>
      <c r="KX693" s="3"/>
      <c r="KY693" s="3"/>
      <c r="KZ693" s="3"/>
      <c r="LA693" s="3"/>
      <c r="LB693" s="3"/>
      <c r="LC693" s="3"/>
      <c r="LD693" s="3"/>
      <c r="LE693" s="3"/>
      <c r="LF693" s="3"/>
      <c r="LG693" s="3"/>
      <c r="LH693" s="3"/>
      <c r="LI693" s="3"/>
      <c r="LJ693" s="3"/>
      <c r="LK693" s="3"/>
      <c r="LL693" s="3"/>
      <c r="LM693" s="3"/>
      <c r="LN693" s="3"/>
      <c r="LO693" s="3"/>
      <c r="LP693" s="3"/>
      <c r="LQ693" s="3"/>
      <c r="LR693" s="3"/>
      <c r="LS693" s="3"/>
      <c r="LT693" s="3"/>
      <c r="LU693" s="3"/>
      <c r="LV693" s="3"/>
      <c r="LW693" s="3"/>
      <c r="LX693" s="3"/>
      <c r="LY693" s="3"/>
      <c r="LZ693" s="3"/>
      <c r="MA693" s="3"/>
      <c r="MB693" s="3"/>
      <c r="MC693" s="3"/>
      <c r="MD693" s="3"/>
      <c r="ME693" s="3"/>
      <c r="MF693" s="3"/>
      <c r="MG693" s="3"/>
      <c r="MH693" s="3"/>
      <c r="MI693" s="3"/>
    </row>
    <row r="694" spans="1:347"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c r="HX694" s="3"/>
      <c r="HY694" s="3"/>
      <c r="HZ694" s="3"/>
      <c r="IA694" s="3"/>
      <c r="IB694" s="3"/>
      <c r="IC694" s="3"/>
      <c r="ID694" s="3"/>
      <c r="IE694" s="3"/>
      <c r="IF694" s="3"/>
      <c r="IG694" s="3"/>
      <c r="IH694" s="3"/>
      <c r="II694" s="3"/>
      <c r="IJ694" s="3"/>
      <c r="IK694" s="3"/>
      <c r="IL694" s="3"/>
      <c r="IM694" s="3"/>
      <c r="IN694" s="3"/>
      <c r="IO694" s="3"/>
      <c r="IP694" s="3"/>
      <c r="IQ694" s="3"/>
      <c r="IR694" s="3"/>
      <c r="IS694" s="3"/>
      <c r="IT694" s="3"/>
      <c r="IU694" s="3"/>
      <c r="IV694" s="3"/>
      <c r="IW694" s="3"/>
      <c r="IX694" s="3"/>
      <c r="IY694" s="3"/>
      <c r="IZ694" s="3"/>
      <c r="JA694" s="3"/>
      <c r="JB694" s="3"/>
      <c r="JC694" s="3"/>
      <c r="JD694" s="3"/>
      <c r="JE694" s="3"/>
      <c r="JF694" s="3"/>
      <c r="JG694" s="3"/>
      <c r="JH694" s="3"/>
      <c r="JI694" s="3"/>
      <c r="JJ694" s="3"/>
      <c r="JK694" s="3"/>
      <c r="JL694" s="3"/>
      <c r="JM694" s="3"/>
      <c r="JN694" s="3"/>
      <c r="JO694" s="3"/>
      <c r="JP694" s="3"/>
      <c r="JQ694" s="3"/>
      <c r="JR694" s="3"/>
      <c r="JS694" s="3"/>
      <c r="JT694" s="3"/>
      <c r="JU694" s="3"/>
      <c r="JV694" s="3"/>
      <c r="JW694" s="3"/>
      <c r="JX694" s="3"/>
      <c r="JY694" s="3"/>
      <c r="JZ694" s="3"/>
      <c r="KA694" s="3"/>
      <c r="KB694" s="3"/>
      <c r="KC694" s="3"/>
      <c r="KD694" s="3"/>
      <c r="KE694" s="3"/>
      <c r="KF694" s="3"/>
      <c r="KG694" s="3"/>
      <c r="KH694" s="3"/>
      <c r="KI694" s="3"/>
      <c r="KJ694" s="3"/>
      <c r="KK694" s="3"/>
      <c r="KL694" s="3"/>
      <c r="KM694" s="3"/>
      <c r="KN694" s="3"/>
      <c r="KO694" s="3"/>
      <c r="KP694" s="3"/>
      <c r="KQ694" s="3"/>
      <c r="KR694" s="3"/>
      <c r="KS694" s="3"/>
      <c r="KT694" s="3"/>
      <c r="KU694" s="3"/>
      <c r="KV694" s="3"/>
      <c r="KW694" s="3"/>
      <c r="KX694" s="3"/>
      <c r="KY694" s="3"/>
      <c r="KZ694" s="3"/>
      <c r="LA694" s="3"/>
      <c r="LB694" s="3"/>
      <c r="LC694" s="3"/>
      <c r="LD694" s="3"/>
      <c r="LE694" s="3"/>
      <c r="LF694" s="3"/>
      <c r="LG694" s="3"/>
      <c r="LH694" s="3"/>
      <c r="LI694" s="3"/>
      <c r="LJ694" s="3"/>
      <c r="LK694" s="3"/>
      <c r="LL694" s="3"/>
      <c r="LM694" s="3"/>
      <c r="LN694" s="3"/>
      <c r="LO694" s="3"/>
      <c r="LP694" s="3"/>
      <c r="LQ694" s="3"/>
      <c r="LR694" s="3"/>
      <c r="LS694" s="3"/>
      <c r="LT694" s="3"/>
      <c r="LU694" s="3"/>
      <c r="LV694" s="3"/>
      <c r="LW694" s="3"/>
      <c r="LX694" s="3"/>
      <c r="LY694" s="3"/>
      <c r="LZ694" s="3"/>
      <c r="MA694" s="3"/>
      <c r="MB694" s="3"/>
      <c r="MC694" s="3"/>
      <c r="MD694" s="3"/>
      <c r="ME694" s="3"/>
      <c r="MF694" s="3"/>
      <c r="MG694" s="3"/>
      <c r="MH694" s="3"/>
      <c r="MI694" s="3"/>
    </row>
    <row r="695" spans="1:347"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c r="HX695" s="3"/>
      <c r="HY695" s="3"/>
      <c r="HZ695" s="3"/>
      <c r="IA695" s="3"/>
      <c r="IB695" s="3"/>
      <c r="IC695" s="3"/>
      <c r="ID695" s="3"/>
      <c r="IE695" s="3"/>
      <c r="IF695" s="3"/>
      <c r="IG695" s="3"/>
      <c r="IH695" s="3"/>
      <c r="II695" s="3"/>
      <c r="IJ695" s="3"/>
      <c r="IK695" s="3"/>
      <c r="IL695" s="3"/>
      <c r="IM695" s="3"/>
      <c r="IN695" s="3"/>
      <c r="IO695" s="3"/>
      <c r="IP695" s="3"/>
      <c r="IQ695" s="3"/>
      <c r="IR695" s="3"/>
      <c r="IS695" s="3"/>
      <c r="IT695" s="3"/>
      <c r="IU695" s="3"/>
      <c r="IV695" s="3"/>
      <c r="IW695" s="3"/>
      <c r="IX695" s="3"/>
      <c r="IY695" s="3"/>
      <c r="IZ695" s="3"/>
      <c r="JA695" s="3"/>
      <c r="JB695" s="3"/>
      <c r="JC695" s="3"/>
      <c r="JD695" s="3"/>
      <c r="JE695" s="3"/>
      <c r="JF695" s="3"/>
      <c r="JG695" s="3"/>
      <c r="JH695" s="3"/>
      <c r="JI695" s="3"/>
      <c r="JJ695" s="3"/>
      <c r="JK695" s="3"/>
      <c r="JL695" s="3"/>
      <c r="JM695" s="3"/>
      <c r="JN695" s="3"/>
      <c r="JO695" s="3"/>
      <c r="JP695" s="3"/>
      <c r="JQ695" s="3"/>
      <c r="JR695" s="3"/>
      <c r="JS695" s="3"/>
      <c r="JT695" s="3"/>
      <c r="JU695" s="3"/>
      <c r="JV695" s="3"/>
      <c r="JW695" s="3"/>
      <c r="JX695" s="3"/>
      <c r="JY695" s="3"/>
      <c r="JZ695" s="3"/>
      <c r="KA695" s="3"/>
      <c r="KB695" s="3"/>
      <c r="KC695" s="3"/>
      <c r="KD695" s="3"/>
      <c r="KE695" s="3"/>
      <c r="KF695" s="3"/>
      <c r="KG695" s="3"/>
      <c r="KH695" s="3"/>
      <c r="KI695" s="3"/>
      <c r="KJ695" s="3"/>
      <c r="KK695" s="3"/>
      <c r="KL695" s="3"/>
      <c r="KM695" s="3"/>
      <c r="KN695" s="3"/>
      <c r="KO695" s="3"/>
      <c r="KP695" s="3"/>
      <c r="KQ695" s="3"/>
      <c r="KR695" s="3"/>
      <c r="KS695" s="3"/>
      <c r="KT695" s="3"/>
      <c r="KU695" s="3"/>
      <c r="KV695" s="3"/>
      <c r="KW695" s="3"/>
      <c r="KX695" s="3"/>
      <c r="KY695" s="3"/>
      <c r="KZ695" s="3"/>
      <c r="LA695" s="3"/>
      <c r="LB695" s="3"/>
      <c r="LC695" s="3"/>
      <c r="LD695" s="3"/>
      <c r="LE695" s="3"/>
      <c r="LF695" s="3"/>
      <c r="LG695" s="3"/>
      <c r="LH695" s="3"/>
      <c r="LI695" s="3"/>
      <c r="LJ695" s="3"/>
      <c r="LK695" s="3"/>
      <c r="LL695" s="3"/>
      <c r="LM695" s="3"/>
      <c r="LN695" s="3"/>
      <c r="LO695" s="3"/>
      <c r="LP695" s="3"/>
      <c r="LQ695" s="3"/>
      <c r="LR695" s="3"/>
      <c r="LS695" s="3"/>
      <c r="LT695" s="3"/>
      <c r="LU695" s="3"/>
      <c r="LV695" s="3"/>
      <c r="LW695" s="3"/>
      <c r="LX695" s="3"/>
      <c r="LY695" s="3"/>
      <c r="LZ695" s="3"/>
      <c r="MA695" s="3"/>
      <c r="MB695" s="3"/>
      <c r="MC695" s="3"/>
      <c r="MD695" s="3"/>
      <c r="ME695" s="3"/>
      <c r="MF695" s="3"/>
      <c r="MG695" s="3"/>
      <c r="MH695" s="3"/>
      <c r="MI695" s="3"/>
    </row>
    <row r="696" spans="1:347"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c r="HX696" s="3"/>
      <c r="HY696" s="3"/>
      <c r="HZ696" s="3"/>
      <c r="IA696" s="3"/>
      <c r="IB696" s="3"/>
      <c r="IC696" s="3"/>
      <c r="ID696" s="3"/>
      <c r="IE696" s="3"/>
      <c r="IF696" s="3"/>
      <c r="IG696" s="3"/>
      <c r="IH696" s="3"/>
      <c r="II696" s="3"/>
      <c r="IJ696" s="3"/>
      <c r="IK696" s="3"/>
      <c r="IL696" s="3"/>
      <c r="IM696" s="3"/>
      <c r="IN696" s="3"/>
      <c r="IO696" s="3"/>
      <c r="IP696" s="3"/>
      <c r="IQ696" s="3"/>
      <c r="IR696" s="3"/>
      <c r="IS696" s="3"/>
      <c r="IT696" s="3"/>
      <c r="IU696" s="3"/>
      <c r="IV696" s="3"/>
      <c r="IW696" s="3"/>
      <c r="IX696" s="3"/>
      <c r="IY696" s="3"/>
      <c r="IZ696" s="3"/>
      <c r="JA696" s="3"/>
      <c r="JB696" s="3"/>
      <c r="JC696" s="3"/>
      <c r="JD696" s="3"/>
      <c r="JE696" s="3"/>
      <c r="JF696" s="3"/>
      <c r="JG696" s="3"/>
      <c r="JH696" s="3"/>
      <c r="JI696" s="3"/>
      <c r="JJ696" s="3"/>
      <c r="JK696" s="3"/>
      <c r="JL696" s="3"/>
      <c r="JM696" s="3"/>
      <c r="JN696" s="3"/>
      <c r="JO696" s="3"/>
      <c r="JP696" s="3"/>
      <c r="JQ696" s="3"/>
      <c r="JR696" s="3"/>
      <c r="JS696" s="3"/>
      <c r="JT696" s="3"/>
      <c r="JU696" s="3"/>
      <c r="JV696" s="3"/>
      <c r="JW696" s="3"/>
      <c r="JX696" s="3"/>
      <c r="JY696" s="3"/>
      <c r="JZ696" s="3"/>
      <c r="KA696" s="3"/>
      <c r="KB696" s="3"/>
      <c r="KC696" s="3"/>
      <c r="KD696" s="3"/>
      <c r="KE696" s="3"/>
      <c r="KF696" s="3"/>
      <c r="KG696" s="3"/>
      <c r="KH696" s="3"/>
      <c r="KI696" s="3"/>
      <c r="KJ696" s="3"/>
      <c r="KK696" s="3"/>
      <c r="KL696" s="3"/>
      <c r="KM696" s="3"/>
      <c r="KN696" s="3"/>
      <c r="KO696" s="3"/>
      <c r="KP696" s="3"/>
      <c r="KQ696" s="3"/>
      <c r="KR696" s="3"/>
      <c r="KS696" s="3"/>
      <c r="KT696" s="3"/>
      <c r="KU696" s="3"/>
      <c r="KV696" s="3"/>
      <c r="KW696" s="3"/>
      <c r="KX696" s="3"/>
      <c r="KY696" s="3"/>
      <c r="KZ696" s="3"/>
      <c r="LA696" s="3"/>
      <c r="LB696" s="3"/>
      <c r="LC696" s="3"/>
      <c r="LD696" s="3"/>
      <c r="LE696" s="3"/>
      <c r="LF696" s="3"/>
      <c r="LG696" s="3"/>
      <c r="LH696" s="3"/>
      <c r="LI696" s="3"/>
      <c r="LJ696" s="3"/>
      <c r="LK696" s="3"/>
      <c r="LL696" s="3"/>
      <c r="LM696" s="3"/>
      <c r="LN696" s="3"/>
      <c r="LO696" s="3"/>
      <c r="LP696" s="3"/>
      <c r="LQ696" s="3"/>
      <c r="LR696" s="3"/>
      <c r="LS696" s="3"/>
      <c r="LT696" s="3"/>
      <c r="LU696" s="3"/>
      <c r="LV696" s="3"/>
      <c r="LW696" s="3"/>
      <c r="LX696" s="3"/>
      <c r="LY696" s="3"/>
      <c r="LZ696" s="3"/>
      <c r="MA696" s="3"/>
      <c r="MB696" s="3"/>
      <c r="MC696" s="3"/>
      <c r="MD696" s="3"/>
      <c r="ME696" s="3"/>
      <c r="MF696" s="3"/>
      <c r="MG696" s="3"/>
      <c r="MH696" s="3"/>
      <c r="MI696" s="3"/>
    </row>
    <row r="697" spans="1:347"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c r="HX697" s="3"/>
      <c r="HY697" s="3"/>
      <c r="HZ697" s="3"/>
      <c r="IA697" s="3"/>
      <c r="IB697" s="3"/>
      <c r="IC697" s="3"/>
      <c r="ID697" s="3"/>
      <c r="IE697" s="3"/>
      <c r="IF697" s="3"/>
      <c r="IG697" s="3"/>
      <c r="IH697" s="3"/>
      <c r="II697" s="3"/>
      <c r="IJ697" s="3"/>
      <c r="IK697" s="3"/>
      <c r="IL697" s="3"/>
      <c r="IM697" s="3"/>
      <c r="IN697" s="3"/>
      <c r="IO697" s="3"/>
      <c r="IP697" s="3"/>
      <c r="IQ697" s="3"/>
      <c r="IR697" s="3"/>
      <c r="IS697" s="3"/>
      <c r="IT697" s="3"/>
      <c r="IU697" s="3"/>
      <c r="IV697" s="3"/>
      <c r="IW697" s="3"/>
      <c r="IX697" s="3"/>
      <c r="IY697" s="3"/>
      <c r="IZ697" s="3"/>
      <c r="JA697" s="3"/>
      <c r="JB697" s="3"/>
      <c r="JC697" s="3"/>
      <c r="JD697" s="3"/>
      <c r="JE697" s="3"/>
      <c r="JF697" s="3"/>
      <c r="JG697" s="3"/>
      <c r="JH697" s="3"/>
      <c r="JI697" s="3"/>
      <c r="JJ697" s="3"/>
      <c r="JK697" s="3"/>
      <c r="JL697" s="3"/>
      <c r="JM697" s="3"/>
      <c r="JN697" s="3"/>
      <c r="JO697" s="3"/>
      <c r="JP697" s="3"/>
      <c r="JQ697" s="3"/>
      <c r="JR697" s="3"/>
      <c r="JS697" s="3"/>
      <c r="JT697" s="3"/>
      <c r="JU697" s="3"/>
      <c r="JV697" s="3"/>
      <c r="JW697" s="3"/>
      <c r="JX697" s="3"/>
      <c r="JY697" s="3"/>
      <c r="JZ697" s="3"/>
      <c r="KA697" s="3"/>
      <c r="KB697" s="3"/>
      <c r="KC697" s="3"/>
      <c r="KD697" s="3"/>
      <c r="KE697" s="3"/>
      <c r="KF697" s="3"/>
      <c r="KG697" s="3"/>
      <c r="KH697" s="3"/>
      <c r="KI697" s="3"/>
      <c r="KJ697" s="3"/>
      <c r="KK697" s="3"/>
      <c r="KL697" s="3"/>
      <c r="KM697" s="3"/>
      <c r="KN697" s="3"/>
      <c r="KO697" s="3"/>
      <c r="KP697" s="3"/>
      <c r="KQ697" s="3"/>
      <c r="KR697" s="3"/>
      <c r="KS697" s="3"/>
      <c r="KT697" s="3"/>
      <c r="KU697" s="3"/>
      <c r="KV697" s="3"/>
      <c r="KW697" s="3"/>
      <c r="KX697" s="3"/>
      <c r="KY697" s="3"/>
      <c r="KZ697" s="3"/>
      <c r="LA697" s="3"/>
      <c r="LB697" s="3"/>
      <c r="LC697" s="3"/>
      <c r="LD697" s="3"/>
      <c r="LE697" s="3"/>
      <c r="LF697" s="3"/>
      <c r="LG697" s="3"/>
      <c r="LH697" s="3"/>
      <c r="LI697" s="3"/>
      <c r="LJ697" s="3"/>
      <c r="LK697" s="3"/>
      <c r="LL697" s="3"/>
      <c r="LM697" s="3"/>
      <c r="LN697" s="3"/>
      <c r="LO697" s="3"/>
      <c r="LP697" s="3"/>
      <c r="LQ697" s="3"/>
      <c r="LR697" s="3"/>
      <c r="LS697" s="3"/>
      <c r="LT697" s="3"/>
      <c r="LU697" s="3"/>
      <c r="LV697" s="3"/>
      <c r="LW697" s="3"/>
      <c r="LX697" s="3"/>
      <c r="LY697" s="3"/>
      <c r="LZ697" s="3"/>
      <c r="MA697" s="3"/>
      <c r="MB697" s="3"/>
      <c r="MC697" s="3"/>
      <c r="MD697" s="3"/>
      <c r="ME697" s="3"/>
      <c r="MF697" s="3"/>
      <c r="MG697" s="3"/>
      <c r="MH697" s="3"/>
      <c r="MI697" s="3"/>
    </row>
    <row r="698" spans="1:347"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c r="HX698" s="3"/>
      <c r="HY698" s="3"/>
      <c r="HZ698" s="3"/>
      <c r="IA698" s="3"/>
      <c r="IB698" s="3"/>
      <c r="IC698" s="3"/>
      <c r="ID698" s="3"/>
      <c r="IE698" s="3"/>
      <c r="IF698" s="3"/>
      <c r="IG698" s="3"/>
      <c r="IH698" s="3"/>
      <c r="II698" s="3"/>
      <c r="IJ698" s="3"/>
      <c r="IK698" s="3"/>
      <c r="IL698" s="3"/>
      <c r="IM698" s="3"/>
      <c r="IN698" s="3"/>
      <c r="IO698" s="3"/>
      <c r="IP698" s="3"/>
      <c r="IQ698" s="3"/>
      <c r="IR698" s="3"/>
      <c r="IS698" s="3"/>
      <c r="IT698" s="3"/>
      <c r="IU698" s="3"/>
      <c r="IV698" s="3"/>
      <c r="IW698" s="3"/>
      <c r="IX698" s="3"/>
      <c r="IY698" s="3"/>
      <c r="IZ698" s="3"/>
      <c r="JA698" s="3"/>
      <c r="JB698" s="3"/>
      <c r="JC698" s="3"/>
      <c r="JD698" s="3"/>
      <c r="JE698" s="3"/>
      <c r="JF698" s="3"/>
      <c r="JG698" s="3"/>
      <c r="JH698" s="3"/>
      <c r="JI698" s="3"/>
      <c r="JJ698" s="3"/>
      <c r="JK698" s="3"/>
      <c r="JL698" s="3"/>
      <c r="JM698" s="3"/>
      <c r="JN698" s="3"/>
      <c r="JO698" s="3"/>
      <c r="JP698" s="3"/>
      <c r="JQ698" s="3"/>
      <c r="JR698" s="3"/>
      <c r="JS698" s="3"/>
      <c r="JT698" s="3"/>
      <c r="JU698" s="3"/>
      <c r="JV698" s="3"/>
      <c r="JW698" s="3"/>
      <c r="JX698" s="3"/>
      <c r="JY698" s="3"/>
      <c r="JZ698" s="3"/>
      <c r="KA698" s="3"/>
      <c r="KB698" s="3"/>
      <c r="KC698" s="3"/>
      <c r="KD698" s="3"/>
      <c r="KE698" s="3"/>
      <c r="KF698" s="3"/>
      <c r="KG698" s="3"/>
      <c r="KH698" s="3"/>
      <c r="KI698" s="3"/>
      <c r="KJ698" s="3"/>
      <c r="KK698" s="3"/>
      <c r="KL698" s="3"/>
      <c r="KM698" s="3"/>
      <c r="KN698" s="3"/>
      <c r="KO698" s="3"/>
      <c r="KP698" s="3"/>
      <c r="KQ698" s="3"/>
      <c r="KR698" s="3"/>
      <c r="KS698" s="3"/>
      <c r="KT698" s="3"/>
      <c r="KU698" s="3"/>
      <c r="KV698" s="3"/>
      <c r="KW698" s="3"/>
      <c r="KX698" s="3"/>
      <c r="KY698" s="3"/>
      <c r="KZ698" s="3"/>
      <c r="LA698" s="3"/>
      <c r="LB698" s="3"/>
      <c r="LC698" s="3"/>
      <c r="LD698" s="3"/>
      <c r="LE698" s="3"/>
      <c r="LF698" s="3"/>
      <c r="LG698" s="3"/>
      <c r="LH698" s="3"/>
      <c r="LI698" s="3"/>
      <c r="LJ698" s="3"/>
      <c r="LK698" s="3"/>
      <c r="LL698" s="3"/>
      <c r="LM698" s="3"/>
      <c r="LN698" s="3"/>
      <c r="LO698" s="3"/>
      <c r="LP698" s="3"/>
      <c r="LQ698" s="3"/>
      <c r="LR698" s="3"/>
      <c r="LS698" s="3"/>
      <c r="LT698" s="3"/>
      <c r="LU698" s="3"/>
      <c r="LV698" s="3"/>
      <c r="LW698" s="3"/>
      <c r="LX698" s="3"/>
      <c r="LY698" s="3"/>
      <c r="LZ698" s="3"/>
      <c r="MA698" s="3"/>
      <c r="MB698" s="3"/>
      <c r="MC698" s="3"/>
      <c r="MD698" s="3"/>
      <c r="ME698" s="3"/>
      <c r="MF698" s="3"/>
      <c r="MG698" s="3"/>
      <c r="MH698" s="3"/>
      <c r="MI698" s="3"/>
    </row>
    <row r="699" spans="1:347"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c r="HX699" s="3"/>
      <c r="HY699" s="3"/>
      <c r="HZ699" s="3"/>
      <c r="IA699" s="3"/>
      <c r="IB699" s="3"/>
      <c r="IC699" s="3"/>
      <c r="ID699" s="3"/>
      <c r="IE699" s="3"/>
      <c r="IF699" s="3"/>
      <c r="IG699" s="3"/>
      <c r="IH699" s="3"/>
      <c r="II699" s="3"/>
      <c r="IJ699" s="3"/>
      <c r="IK699" s="3"/>
      <c r="IL699" s="3"/>
      <c r="IM699" s="3"/>
      <c r="IN699" s="3"/>
      <c r="IO699" s="3"/>
      <c r="IP699" s="3"/>
      <c r="IQ699" s="3"/>
      <c r="IR699" s="3"/>
      <c r="IS699" s="3"/>
      <c r="IT699" s="3"/>
      <c r="IU699" s="3"/>
      <c r="IV699" s="3"/>
      <c r="IW699" s="3"/>
      <c r="IX699" s="3"/>
      <c r="IY699" s="3"/>
      <c r="IZ699" s="3"/>
      <c r="JA699" s="3"/>
      <c r="JB699" s="3"/>
      <c r="JC699" s="3"/>
      <c r="JD699" s="3"/>
      <c r="JE699" s="3"/>
      <c r="JF699" s="3"/>
      <c r="JG699" s="3"/>
      <c r="JH699" s="3"/>
      <c r="JI699" s="3"/>
      <c r="JJ699" s="3"/>
      <c r="JK699" s="3"/>
      <c r="JL699" s="3"/>
      <c r="JM699" s="3"/>
      <c r="JN699" s="3"/>
      <c r="JO699" s="3"/>
      <c r="JP699" s="3"/>
      <c r="JQ699" s="3"/>
      <c r="JR699" s="3"/>
      <c r="JS699" s="3"/>
      <c r="JT699" s="3"/>
      <c r="JU699" s="3"/>
      <c r="JV699" s="3"/>
      <c r="JW699" s="3"/>
      <c r="JX699" s="3"/>
      <c r="JY699" s="3"/>
      <c r="JZ699" s="3"/>
      <c r="KA699" s="3"/>
      <c r="KB699" s="3"/>
      <c r="KC699" s="3"/>
      <c r="KD699" s="3"/>
      <c r="KE699" s="3"/>
      <c r="KF699" s="3"/>
      <c r="KG699" s="3"/>
      <c r="KH699" s="3"/>
      <c r="KI699" s="3"/>
      <c r="KJ699" s="3"/>
      <c r="KK699" s="3"/>
      <c r="KL699" s="3"/>
      <c r="KM699" s="3"/>
      <c r="KN699" s="3"/>
      <c r="KO699" s="3"/>
      <c r="KP699" s="3"/>
      <c r="KQ699" s="3"/>
      <c r="KR699" s="3"/>
      <c r="KS699" s="3"/>
      <c r="KT699" s="3"/>
      <c r="KU699" s="3"/>
      <c r="KV699" s="3"/>
      <c r="KW699" s="3"/>
      <c r="KX699" s="3"/>
      <c r="KY699" s="3"/>
      <c r="KZ699" s="3"/>
      <c r="LA699" s="3"/>
      <c r="LB699" s="3"/>
      <c r="LC699" s="3"/>
      <c r="LD699" s="3"/>
      <c r="LE699" s="3"/>
      <c r="LF699" s="3"/>
      <c r="LG699" s="3"/>
      <c r="LH699" s="3"/>
      <c r="LI699" s="3"/>
      <c r="LJ699" s="3"/>
      <c r="LK699" s="3"/>
      <c r="LL699" s="3"/>
      <c r="LM699" s="3"/>
      <c r="LN699" s="3"/>
      <c r="LO699" s="3"/>
      <c r="LP699" s="3"/>
      <c r="LQ699" s="3"/>
      <c r="LR699" s="3"/>
      <c r="LS699" s="3"/>
      <c r="LT699" s="3"/>
      <c r="LU699" s="3"/>
      <c r="LV699" s="3"/>
      <c r="LW699" s="3"/>
      <c r="LX699" s="3"/>
      <c r="LY699" s="3"/>
      <c r="LZ699" s="3"/>
      <c r="MA699" s="3"/>
      <c r="MB699" s="3"/>
      <c r="MC699" s="3"/>
      <c r="MD699" s="3"/>
      <c r="ME699" s="3"/>
      <c r="MF699" s="3"/>
      <c r="MG699" s="3"/>
      <c r="MH699" s="3"/>
      <c r="MI699" s="3"/>
    </row>
    <row r="700" spans="1:347"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c r="HX700" s="3"/>
      <c r="HY700" s="3"/>
      <c r="HZ700" s="3"/>
      <c r="IA700" s="3"/>
      <c r="IB700" s="3"/>
      <c r="IC700" s="3"/>
      <c r="ID700" s="3"/>
      <c r="IE700" s="3"/>
      <c r="IF700" s="3"/>
      <c r="IG700" s="3"/>
      <c r="IH700" s="3"/>
      <c r="II700" s="3"/>
      <c r="IJ700" s="3"/>
      <c r="IK700" s="3"/>
      <c r="IL700" s="3"/>
      <c r="IM700" s="3"/>
      <c r="IN700" s="3"/>
      <c r="IO700" s="3"/>
      <c r="IP700" s="3"/>
      <c r="IQ700" s="3"/>
      <c r="IR700" s="3"/>
      <c r="IS700" s="3"/>
      <c r="IT700" s="3"/>
      <c r="IU700" s="3"/>
      <c r="IV700" s="3"/>
      <c r="IW700" s="3"/>
      <c r="IX700" s="3"/>
      <c r="IY700" s="3"/>
      <c r="IZ700" s="3"/>
      <c r="JA700" s="3"/>
      <c r="JB700" s="3"/>
      <c r="JC700" s="3"/>
      <c r="JD700" s="3"/>
      <c r="JE700" s="3"/>
      <c r="JF700" s="3"/>
      <c r="JG700" s="3"/>
      <c r="JH700" s="3"/>
      <c r="JI700" s="3"/>
      <c r="JJ700" s="3"/>
      <c r="JK700" s="3"/>
      <c r="JL700" s="3"/>
      <c r="JM700" s="3"/>
      <c r="JN700" s="3"/>
      <c r="JO700" s="3"/>
      <c r="JP700" s="3"/>
      <c r="JQ700" s="3"/>
      <c r="JR700" s="3"/>
      <c r="JS700" s="3"/>
      <c r="JT700" s="3"/>
      <c r="JU700" s="3"/>
      <c r="JV700" s="3"/>
      <c r="JW700" s="3"/>
      <c r="JX700" s="3"/>
      <c r="JY700" s="3"/>
      <c r="JZ700" s="3"/>
      <c r="KA700" s="3"/>
      <c r="KB700" s="3"/>
      <c r="KC700" s="3"/>
      <c r="KD700" s="3"/>
      <c r="KE700" s="3"/>
      <c r="KF700" s="3"/>
      <c r="KG700" s="3"/>
      <c r="KH700" s="3"/>
      <c r="KI700" s="3"/>
      <c r="KJ700" s="3"/>
      <c r="KK700" s="3"/>
      <c r="KL700" s="3"/>
      <c r="KM700" s="3"/>
      <c r="KN700" s="3"/>
      <c r="KO700" s="3"/>
      <c r="KP700" s="3"/>
      <c r="KQ700" s="3"/>
      <c r="KR700" s="3"/>
      <c r="KS700" s="3"/>
      <c r="KT700" s="3"/>
      <c r="KU700" s="3"/>
      <c r="KV700" s="3"/>
      <c r="KW700" s="3"/>
      <c r="KX700" s="3"/>
      <c r="KY700" s="3"/>
      <c r="KZ700" s="3"/>
      <c r="LA700" s="3"/>
      <c r="LB700" s="3"/>
      <c r="LC700" s="3"/>
      <c r="LD700" s="3"/>
      <c r="LE700" s="3"/>
      <c r="LF700" s="3"/>
      <c r="LG700" s="3"/>
      <c r="LH700" s="3"/>
      <c r="LI700" s="3"/>
      <c r="LJ700" s="3"/>
      <c r="LK700" s="3"/>
      <c r="LL700" s="3"/>
      <c r="LM700" s="3"/>
      <c r="LN700" s="3"/>
      <c r="LO700" s="3"/>
      <c r="LP700" s="3"/>
      <c r="LQ700" s="3"/>
      <c r="LR700" s="3"/>
      <c r="LS700" s="3"/>
      <c r="LT700" s="3"/>
      <c r="LU700" s="3"/>
      <c r="LV700" s="3"/>
      <c r="LW700" s="3"/>
      <c r="LX700" s="3"/>
      <c r="LY700" s="3"/>
      <c r="LZ700" s="3"/>
      <c r="MA700" s="3"/>
      <c r="MB700" s="3"/>
      <c r="MC700" s="3"/>
      <c r="MD700" s="3"/>
      <c r="ME700" s="3"/>
      <c r="MF700" s="3"/>
      <c r="MG700" s="3"/>
      <c r="MH700" s="3"/>
      <c r="MI700" s="3"/>
    </row>
    <row r="701" spans="1:347"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c r="HX701" s="3"/>
      <c r="HY701" s="3"/>
      <c r="HZ701" s="3"/>
      <c r="IA701" s="3"/>
      <c r="IB701" s="3"/>
      <c r="IC701" s="3"/>
      <c r="ID701" s="3"/>
      <c r="IE701" s="3"/>
      <c r="IF701" s="3"/>
      <c r="IG701" s="3"/>
      <c r="IH701" s="3"/>
      <c r="II701" s="3"/>
      <c r="IJ701" s="3"/>
      <c r="IK701" s="3"/>
      <c r="IL701" s="3"/>
      <c r="IM701" s="3"/>
      <c r="IN701" s="3"/>
      <c r="IO701" s="3"/>
      <c r="IP701" s="3"/>
      <c r="IQ701" s="3"/>
      <c r="IR701" s="3"/>
      <c r="IS701" s="3"/>
      <c r="IT701" s="3"/>
      <c r="IU701" s="3"/>
      <c r="IV701" s="3"/>
      <c r="IW701" s="3"/>
      <c r="IX701" s="3"/>
      <c r="IY701" s="3"/>
      <c r="IZ701" s="3"/>
      <c r="JA701" s="3"/>
      <c r="JB701" s="3"/>
      <c r="JC701" s="3"/>
      <c r="JD701" s="3"/>
      <c r="JE701" s="3"/>
      <c r="JF701" s="3"/>
      <c r="JG701" s="3"/>
      <c r="JH701" s="3"/>
      <c r="JI701" s="3"/>
      <c r="JJ701" s="3"/>
      <c r="JK701" s="3"/>
      <c r="JL701" s="3"/>
      <c r="JM701" s="3"/>
      <c r="JN701" s="3"/>
      <c r="JO701" s="3"/>
      <c r="JP701" s="3"/>
      <c r="JQ701" s="3"/>
      <c r="JR701" s="3"/>
      <c r="JS701" s="3"/>
      <c r="JT701" s="3"/>
      <c r="JU701" s="3"/>
      <c r="JV701" s="3"/>
      <c r="JW701" s="3"/>
      <c r="JX701" s="3"/>
      <c r="JY701" s="3"/>
      <c r="JZ701" s="3"/>
      <c r="KA701" s="3"/>
      <c r="KB701" s="3"/>
      <c r="KC701" s="3"/>
      <c r="KD701" s="3"/>
      <c r="KE701" s="3"/>
      <c r="KF701" s="3"/>
      <c r="KG701" s="3"/>
      <c r="KH701" s="3"/>
      <c r="KI701" s="3"/>
      <c r="KJ701" s="3"/>
      <c r="KK701" s="3"/>
      <c r="KL701" s="3"/>
      <c r="KM701" s="3"/>
      <c r="KN701" s="3"/>
      <c r="KO701" s="3"/>
      <c r="KP701" s="3"/>
      <c r="KQ701" s="3"/>
      <c r="KR701" s="3"/>
      <c r="KS701" s="3"/>
      <c r="KT701" s="3"/>
      <c r="KU701" s="3"/>
      <c r="KV701" s="3"/>
      <c r="KW701" s="3"/>
      <c r="KX701" s="3"/>
      <c r="KY701" s="3"/>
      <c r="KZ701" s="3"/>
      <c r="LA701" s="3"/>
      <c r="LB701" s="3"/>
      <c r="LC701" s="3"/>
      <c r="LD701" s="3"/>
      <c r="LE701" s="3"/>
      <c r="LF701" s="3"/>
      <c r="LG701" s="3"/>
      <c r="LH701" s="3"/>
      <c r="LI701" s="3"/>
      <c r="LJ701" s="3"/>
      <c r="LK701" s="3"/>
      <c r="LL701" s="3"/>
      <c r="LM701" s="3"/>
      <c r="LN701" s="3"/>
      <c r="LO701" s="3"/>
      <c r="LP701" s="3"/>
      <c r="LQ701" s="3"/>
      <c r="LR701" s="3"/>
      <c r="LS701" s="3"/>
      <c r="LT701" s="3"/>
      <c r="LU701" s="3"/>
      <c r="LV701" s="3"/>
      <c r="LW701" s="3"/>
      <c r="LX701" s="3"/>
      <c r="LY701" s="3"/>
      <c r="LZ701" s="3"/>
      <c r="MA701" s="3"/>
      <c r="MB701" s="3"/>
      <c r="MC701" s="3"/>
      <c r="MD701" s="3"/>
      <c r="ME701" s="3"/>
      <c r="MF701" s="3"/>
      <c r="MG701" s="3"/>
      <c r="MH701" s="3"/>
      <c r="MI701" s="3"/>
    </row>
    <row r="702" spans="1:347"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c r="HX702" s="3"/>
      <c r="HY702" s="3"/>
      <c r="HZ702" s="3"/>
      <c r="IA702" s="3"/>
      <c r="IB702" s="3"/>
      <c r="IC702" s="3"/>
      <c r="ID702" s="3"/>
      <c r="IE702" s="3"/>
      <c r="IF702" s="3"/>
      <c r="IG702" s="3"/>
      <c r="IH702" s="3"/>
      <c r="II702" s="3"/>
      <c r="IJ702" s="3"/>
      <c r="IK702" s="3"/>
      <c r="IL702" s="3"/>
      <c r="IM702" s="3"/>
      <c r="IN702" s="3"/>
      <c r="IO702" s="3"/>
      <c r="IP702" s="3"/>
      <c r="IQ702" s="3"/>
      <c r="IR702" s="3"/>
      <c r="IS702" s="3"/>
      <c r="IT702" s="3"/>
      <c r="IU702" s="3"/>
      <c r="IV702" s="3"/>
      <c r="IW702" s="3"/>
      <c r="IX702" s="3"/>
      <c r="IY702" s="3"/>
      <c r="IZ702" s="3"/>
      <c r="JA702" s="3"/>
      <c r="JB702" s="3"/>
      <c r="JC702" s="3"/>
      <c r="JD702" s="3"/>
      <c r="JE702" s="3"/>
      <c r="JF702" s="3"/>
      <c r="JG702" s="3"/>
      <c r="JH702" s="3"/>
      <c r="JI702" s="3"/>
      <c r="JJ702" s="3"/>
      <c r="JK702" s="3"/>
      <c r="JL702" s="3"/>
      <c r="JM702" s="3"/>
      <c r="JN702" s="3"/>
      <c r="JO702" s="3"/>
      <c r="JP702" s="3"/>
      <c r="JQ702" s="3"/>
      <c r="JR702" s="3"/>
      <c r="JS702" s="3"/>
      <c r="JT702" s="3"/>
      <c r="JU702" s="3"/>
      <c r="JV702" s="3"/>
      <c r="JW702" s="3"/>
      <c r="JX702" s="3"/>
      <c r="JY702" s="3"/>
      <c r="JZ702" s="3"/>
      <c r="KA702" s="3"/>
      <c r="KB702" s="3"/>
      <c r="KC702" s="3"/>
      <c r="KD702" s="3"/>
      <c r="KE702" s="3"/>
      <c r="KF702" s="3"/>
      <c r="KG702" s="3"/>
      <c r="KH702" s="3"/>
      <c r="KI702" s="3"/>
      <c r="KJ702" s="3"/>
      <c r="KK702" s="3"/>
      <c r="KL702" s="3"/>
      <c r="KM702" s="3"/>
      <c r="KN702" s="3"/>
      <c r="KO702" s="3"/>
      <c r="KP702" s="3"/>
      <c r="KQ702" s="3"/>
      <c r="KR702" s="3"/>
      <c r="KS702" s="3"/>
      <c r="KT702" s="3"/>
      <c r="KU702" s="3"/>
      <c r="KV702" s="3"/>
      <c r="KW702" s="3"/>
      <c r="KX702" s="3"/>
      <c r="KY702" s="3"/>
      <c r="KZ702" s="3"/>
      <c r="LA702" s="3"/>
      <c r="LB702" s="3"/>
      <c r="LC702" s="3"/>
      <c r="LD702" s="3"/>
      <c r="LE702" s="3"/>
      <c r="LF702" s="3"/>
      <c r="LG702" s="3"/>
      <c r="LH702" s="3"/>
      <c r="LI702" s="3"/>
      <c r="LJ702" s="3"/>
      <c r="LK702" s="3"/>
      <c r="LL702" s="3"/>
      <c r="LM702" s="3"/>
      <c r="LN702" s="3"/>
      <c r="LO702" s="3"/>
      <c r="LP702" s="3"/>
      <c r="LQ702" s="3"/>
      <c r="LR702" s="3"/>
      <c r="LS702" s="3"/>
      <c r="LT702" s="3"/>
      <c r="LU702" s="3"/>
      <c r="LV702" s="3"/>
      <c r="LW702" s="3"/>
      <c r="LX702" s="3"/>
      <c r="LY702" s="3"/>
      <c r="LZ702" s="3"/>
      <c r="MA702" s="3"/>
      <c r="MB702" s="3"/>
      <c r="MC702" s="3"/>
      <c r="MD702" s="3"/>
      <c r="ME702" s="3"/>
      <c r="MF702" s="3"/>
      <c r="MG702" s="3"/>
      <c r="MH702" s="3"/>
      <c r="MI702" s="3"/>
    </row>
    <row r="703" spans="1:347"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c r="HX703" s="3"/>
      <c r="HY703" s="3"/>
      <c r="HZ703" s="3"/>
      <c r="IA703" s="3"/>
      <c r="IB703" s="3"/>
      <c r="IC703" s="3"/>
      <c r="ID703" s="3"/>
      <c r="IE703" s="3"/>
      <c r="IF703" s="3"/>
      <c r="IG703" s="3"/>
      <c r="IH703" s="3"/>
      <c r="II703" s="3"/>
      <c r="IJ703" s="3"/>
      <c r="IK703" s="3"/>
      <c r="IL703" s="3"/>
      <c r="IM703" s="3"/>
      <c r="IN703" s="3"/>
      <c r="IO703" s="3"/>
      <c r="IP703" s="3"/>
      <c r="IQ703" s="3"/>
      <c r="IR703" s="3"/>
      <c r="IS703" s="3"/>
      <c r="IT703" s="3"/>
      <c r="IU703" s="3"/>
      <c r="IV703" s="3"/>
      <c r="IW703" s="3"/>
      <c r="IX703" s="3"/>
      <c r="IY703" s="3"/>
      <c r="IZ703" s="3"/>
      <c r="JA703" s="3"/>
      <c r="JB703" s="3"/>
      <c r="JC703" s="3"/>
      <c r="JD703" s="3"/>
      <c r="JE703" s="3"/>
      <c r="JF703" s="3"/>
      <c r="JG703" s="3"/>
      <c r="JH703" s="3"/>
      <c r="JI703" s="3"/>
      <c r="JJ703" s="3"/>
      <c r="JK703" s="3"/>
      <c r="JL703" s="3"/>
      <c r="JM703" s="3"/>
      <c r="JN703" s="3"/>
      <c r="JO703" s="3"/>
      <c r="JP703" s="3"/>
      <c r="JQ703" s="3"/>
      <c r="JR703" s="3"/>
      <c r="JS703" s="3"/>
      <c r="JT703" s="3"/>
      <c r="JU703" s="3"/>
      <c r="JV703" s="3"/>
      <c r="JW703" s="3"/>
      <c r="JX703" s="3"/>
      <c r="JY703" s="3"/>
      <c r="JZ703" s="3"/>
      <c r="KA703" s="3"/>
      <c r="KB703" s="3"/>
      <c r="KC703" s="3"/>
      <c r="KD703" s="3"/>
      <c r="KE703" s="3"/>
      <c r="KF703" s="3"/>
      <c r="KG703" s="3"/>
      <c r="KH703" s="3"/>
      <c r="KI703" s="3"/>
      <c r="KJ703" s="3"/>
      <c r="KK703" s="3"/>
      <c r="KL703" s="3"/>
      <c r="KM703" s="3"/>
      <c r="KN703" s="3"/>
      <c r="KO703" s="3"/>
      <c r="KP703" s="3"/>
      <c r="KQ703" s="3"/>
      <c r="KR703" s="3"/>
      <c r="KS703" s="3"/>
      <c r="KT703" s="3"/>
      <c r="KU703" s="3"/>
      <c r="KV703" s="3"/>
      <c r="KW703" s="3"/>
      <c r="KX703" s="3"/>
      <c r="KY703" s="3"/>
      <c r="KZ703" s="3"/>
      <c r="LA703" s="3"/>
      <c r="LB703" s="3"/>
      <c r="LC703" s="3"/>
      <c r="LD703" s="3"/>
      <c r="LE703" s="3"/>
      <c r="LF703" s="3"/>
      <c r="LG703" s="3"/>
      <c r="LH703" s="3"/>
      <c r="LI703" s="3"/>
      <c r="LJ703" s="3"/>
      <c r="LK703" s="3"/>
      <c r="LL703" s="3"/>
      <c r="LM703" s="3"/>
      <c r="LN703" s="3"/>
      <c r="LO703" s="3"/>
      <c r="LP703" s="3"/>
      <c r="LQ703" s="3"/>
      <c r="LR703" s="3"/>
      <c r="LS703" s="3"/>
      <c r="LT703" s="3"/>
      <c r="LU703" s="3"/>
      <c r="LV703" s="3"/>
      <c r="LW703" s="3"/>
      <c r="LX703" s="3"/>
      <c r="LY703" s="3"/>
      <c r="LZ703" s="3"/>
      <c r="MA703" s="3"/>
      <c r="MB703" s="3"/>
      <c r="MC703" s="3"/>
      <c r="MD703" s="3"/>
      <c r="ME703" s="3"/>
      <c r="MF703" s="3"/>
      <c r="MG703" s="3"/>
      <c r="MH703" s="3"/>
      <c r="MI703" s="3"/>
    </row>
    <row r="704" spans="1:347"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c r="HX704" s="3"/>
      <c r="HY704" s="3"/>
      <c r="HZ704" s="3"/>
      <c r="IA704" s="3"/>
      <c r="IB704" s="3"/>
      <c r="IC704" s="3"/>
      <c r="ID704" s="3"/>
      <c r="IE704" s="3"/>
      <c r="IF704" s="3"/>
      <c r="IG704" s="3"/>
      <c r="IH704" s="3"/>
      <c r="II704" s="3"/>
      <c r="IJ704" s="3"/>
      <c r="IK704" s="3"/>
      <c r="IL704" s="3"/>
      <c r="IM704" s="3"/>
      <c r="IN704" s="3"/>
      <c r="IO704" s="3"/>
      <c r="IP704" s="3"/>
      <c r="IQ704" s="3"/>
      <c r="IR704" s="3"/>
      <c r="IS704" s="3"/>
      <c r="IT704" s="3"/>
      <c r="IU704" s="3"/>
      <c r="IV704" s="3"/>
      <c r="IW704" s="3"/>
      <c r="IX704" s="3"/>
      <c r="IY704" s="3"/>
      <c r="IZ704" s="3"/>
      <c r="JA704" s="3"/>
      <c r="JB704" s="3"/>
      <c r="JC704" s="3"/>
      <c r="JD704" s="3"/>
      <c r="JE704" s="3"/>
      <c r="JF704" s="3"/>
      <c r="JG704" s="3"/>
      <c r="JH704" s="3"/>
      <c r="JI704" s="3"/>
      <c r="JJ704" s="3"/>
      <c r="JK704" s="3"/>
      <c r="JL704" s="3"/>
      <c r="JM704" s="3"/>
      <c r="JN704" s="3"/>
      <c r="JO704" s="3"/>
      <c r="JP704" s="3"/>
      <c r="JQ704" s="3"/>
      <c r="JR704" s="3"/>
      <c r="JS704" s="3"/>
      <c r="JT704" s="3"/>
      <c r="JU704" s="3"/>
      <c r="JV704" s="3"/>
      <c r="JW704" s="3"/>
      <c r="JX704" s="3"/>
      <c r="JY704" s="3"/>
      <c r="JZ704" s="3"/>
      <c r="KA704" s="3"/>
      <c r="KB704" s="3"/>
      <c r="KC704" s="3"/>
      <c r="KD704" s="3"/>
      <c r="KE704" s="3"/>
      <c r="KF704" s="3"/>
      <c r="KG704" s="3"/>
      <c r="KH704" s="3"/>
      <c r="KI704" s="3"/>
      <c r="KJ704" s="3"/>
      <c r="KK704" s="3"/>
      <c r="KL704" s="3"/>
      <c r="KM704" s="3"/>
      <c r="KN704" s="3"/>
      <c r="KO704" s="3"/>
      <c r="KP704" s="3"/>
      <c r="KQ704" s="3"/>
      <c r="KR704" s="3"/>
      <c r="KS704" s="3"/>
      <c r="KT704" s="3"/>
      <c r="KU704" s="3"/>
      <c r="KV704" s="3"/>
      <c r="KW704" s="3"/>
      <c r="KX704" s="3"/>
      <c r="KY704" s="3"/>
      <c r="KZ704" s="3"/>
      <c r="LA704" s="3"/>
      <c r="LB704" s="3"/>
      <c r="LC704" s="3"/>
      <c r="LD704" s="3"/>
      <c r="LE704" s="3"/>
      <c r="LF704" s="3"/>
      <c r="LG704" s="3"/>
      <c r="LH704" s="3"/>
      <c r="LI704" s="3"/>
      <c r="LJ704" s="3"/>
      <c r="LK704" s="3"/>
      <c r="LL704" s="3"/>
      <c r="LM704" s="3"/>
      <c r="LN704" s="3"/>
      <c r="LO704" s="3"/>
      <c r="LP704" s="3"/>
      <c r="LQ704" s="3"/>
      <c r="LR704" s="3"/>
      <c r="LS704" s="3"/>
      <c r="LT704" s="3"/>
      <c r="LU704" s="3"/>
      <c r="LV704" s="3"/>
      <c r="LW704" s="3"/>
      <c r="LX704" s="3"/>
      <c r="LY704" s="3"/>
      <c r="LZ704" s="3"/>
      <c r="MA704" s="3"/>
      <c r="MB704" s="3"/>
      <c r="MC704" s="3"/>
      <c r="MD704" s="3"/>
      <c r="ME704" s="3"/>
      <c r="MF704" s="3"/>
      <c r="MG704" s="3"/>
      <c r="MH704" s="3"/>
      <c r="MI704" s="3"/>
    </row>
    <row r="705" spans="1:347"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c r="HX705" s="3"/>
      <c r="HY705" s="3"/>
      <c r="HZ705" s="3"/>
      <c r="IA705" s="3"/>
      <c r="IB705" s="3"/>
      <c r="IC705" s="3"/>
      <c r="ID705" s="3"/>
      <c r="IE705" s="3"/>
      <c r="IF705" s="3"/>
      <c r="IG705" s="3"/>
      <c r="IH705" s="3"/>
      <c r="II705" s="3"/>
      <c r="IJ705" s="3"/>
      <c r="IK705" s="3"/>
      <c r="IL705" s="3"/>
      <c r="IM705" s="3"/>
      <c r="IN705" s="3"/>
      <c r="IO705" s="3"/>
      <c r="IP705" s="3"/>
      <c r="IQ705" s="3"/>
      <c r="IR705" s="3"/>
      <c r="IS705" s="3"/>
      <c r="IT705" s="3"/>
      <c r="IU705" s="3"/>
      <c r="IV705" s="3"/>
      <c r="IW705" s="3"/>
      <c r="IX705" s="3"/>
      <c r="IY705" s="3"/>
      <c r="IZ705" s="3"/>
      <c r="JA705" s="3"/>
      <c r="JB705" s="3"/>
      <c r="JC705" s="3"/>
      <c r="JD705" s="3"/>
      <c r="JE705" s="3"/>
      <c r="JF705" s="3"/>
      <c r="JG705" s="3"/>
      <c r="JH705" s="3"/>
      <c r="JI705" s="3"/>
      <c r="JJ705" s="3"/>
      <c r="JK705" s="3"/>
      <c r="JL705" s="3"/>
      <c r="JM705" s="3"/>
      <c r="JN705" s="3"/>
      <c r="JO705" s="3"/>
      <c r="JP705" s="3"/>
      <c r="JQ705" s="3"/>
      <c r="JR705" s="3"/>
      <c r="JS705" s="3"/>
      <c r="JT705" s="3"/>
      <c r="JU705" s="3"/>
      <c r="JV705" s="3"/>
      <c r="JW705" s="3"/>
      <c r="JX705" s="3"/>
      <c r="JY705" s="3"/>
      <c r="JZ705" s="3"/>
      <c r="KA705" s="3"/>
      <c r="KB705" s="3"/>
      <c r="KC705" s="3"/>
      <c r="KD705" s="3"/>
      <c r="KE705" s="3"/>
      <c r="KF705" s="3"/>
      <c r="KG705" s="3"/>
      <c r="KH705" s="3"/>
      <c r="KI705" s="3"/>
      <c r="KJ705" s="3"/>
      <c r="KK705" s="3"/>
      <c r="KL705" s="3"/>
      <c r="KM705" s="3"/>
      <c r="KN705" s="3"/>
      <c r="KO705" s="3"/>
      <c r="KP705" s="3"/>
      <c r="KQ705" s="3"/>
      <c r="KR705" s="3"/>
      <c r="KS705" s="3"/>
      <c r="KT705" s="3"/>
      <c r="KU705" s="3"/>
      <c r="KV705" s="3"/>
      <c r="KW705" s="3"/>
      <c r="KX705" s="3"/>
      <c r="KY705" s="3"/>
      <c r="KZ705" s="3"/>
      <c r="LA705" s="3"/>
      <c r="LB705" s="3"/>
      <c r="LC705" s="3"/>
      <c r="LD705" s="3"/>
      <c r="LE705" s="3"/>
      <c r="LF705" s="3"/>
      <c r="LG705" s="3"/>
      <c r="LH705" s="3"/>
      <c r="LI705" s="3"/>
      <c r="LJ705" s="3"/>
      <c r="LK705" s="3"/>
      <c r="LL705" s="3"/>
      <c r="LM705" s="3"/>
      <c r="LN705" s="3"/>
      <c r="LO705" s="3"/>
      <c r="LP705" s="3"/>
      <c r="LQ705" s="3"/>
      <c r="LR705" s="3"/>
      <c r="LS705" s="3"/>
      <c r="LT705" s="3"/>
      <c r="LU705" s="3"/>
      <c r="LV705" s="3"/>
      <c r="LW705" s="3"/>
      <c r="LX705" s="3"/>
      <c r="LY705" s="3"/>
      <c r="LZ705" s="3"/>
      <c r="MA705" s="3"/>
      <c r="MB705" s="3"/>
      <c r="MC705" s="3"/>
      <c r="MD705" s="3"/>
      <c r="ME705" s="3"/>
      <c r="MF705" s="3"/>
      <c r="MG705" s="3"/>
      <c r="MH705" s="3"/>
      <c r="MI705" s="3"/>
    </row>
    <row r="706" spans="1:347"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c r="HX706" s="3"/>
      <c r="HY706" s="3"/>
      <c r="HZ706" s="3"/>
      <c r="IA706" s="3"/>
      <c r="IB706" s="3"/>
      <c r="IC706" s="3"/>
      <c r="ID706" s="3"/>
      <c r="IE706" s="3"/>
      <c r="IF706" s="3"/>
      <c r="IG706" s="3"/>
      <c r="IH706" s="3"/>
      <c r="II706" s="3"/>
      <c r="IJ706" s="3"/>
      <c r="IK706" s="3"/>
      <c r="IL706" s="3"/>
      <c r="IM706" s="3"/>
      <c r="IN706" s="3"/>
      <c r="IO706" s="3"/>
      <c r="IP706" s="3"/>
      <c r="IQ706" s="3"/>
      <c r="IR706" s="3"/>
      <c r="IS706" s="3"/>
      <c r="IT706" s="3"/>
      <c r="IU706" s="3"/>
      <c r="IV706" s="3"/>
      <c r="IW706" s="3"/>
      <c r="IX706" s="3"/>
      <c r="IY706" s="3"/>
      <c r="IZ706" s="3"/>
      <c r="JA706" s="3"/>
      <c r="JB706" s="3"/>
      <c r="JC706" s="3"/>
      <c r="JD706" s="3"/>
      <c r="JE706" s="3"/>
      <c r="JF706" s="3"/>
      <c r="JG706" s="3"/>
      <c r="JH706" s="3"/>
      <c r="JI706" s="3"/>
      <c r="JJ706" s="3"/>
      <c r="JK706" s="3"/>
      <c r="JL706" s="3"/>
      <c r="JM706" s="3"/>
      <c r="JN706" s="3"/>
      <c r="JO706" s="3"/>
      <c r="JP706" s="3"/>
      <c r="JQ706" s="3"/>
      <c r="JR706" s="3"/>
      <c r="JS706" s="3"/>
      <c r="JT706" s="3"/>
      <c r="JU706" s="3"/>
      <c r="JV706" s="3"/>
      <c r="JW706" s="3"/>
      <c r="JX706" s="3"/>
      <c r="JY706" s="3"/>
      <c r="JZ706" s="3"/>
      <c r="KA706" s="3"/>
      <c r="KB706" s="3"/>
      <c r="KC706" s="3"/>
      <c r="KD706" s="3"/>
      <c r="KE706" s="3"/>
      <c r="KF706" s="3"/>
      <c r="KG706" s="3"/>
      <c r="KH706" s="3"/>
      <c r="KI706" s="3"/>
      <c r="KJ706" s="3"/>
      <c r="KK706" s="3"/>
      <c r="KL706" s="3"/>
      <c r="KM706" s="3"/>
      <c r="KN706" s="3"/>
      <c r="KO706" s="3"/>
      <c r="KP706" s="3"/>
      <c r="KQ706" s="3"/>
      <c r="KR706" s="3"/>
      <c r="KS706" s="3"/>
      <c r="KT706" s="3"/>
      <c r="KU706" s="3"/>
      <c r="KV706" s="3"/>
      <c r="KW706" s="3"/>
      <c r="KX706" s="3"/>
      <c r="KY706" s="3"/>
      <c r="KZ706" s="3"/>
      <c r="LA706" s="3"/>
      <c r="LB706" s="3"/>
      <c r="LC706" s="3"/>
      <c r="LD706" s="3"/>
      <c r="LE706" s="3"/>
      <c r="LF706" s="3"/>
      <c r="LG706" s="3"/>
      <c r="LH706" s="3"/>
      <c r="LI706" s="3"/>
      <c r="LJ706" s="3"/>
      <c r="LK706" s="3"/>
      <c r="LL706" s="3"/>
      <c r="LM706" s="3"/>
      <c r="LN706" s="3"/>
      <c r="LO706" s="3"/>
      <c r="LP706" s="3"/>
      <c r="LQ706" s="3"/>
      <c r="LR706" s="3"/>
      <c r="LS706" s="3"/>
      <c r="LT706" s="3"/>
      <c r="LU706" s="3"/>
      <c r="LV706" s="3"/>
      <c r="LW706" s="3"/>
      <c r="LX706" s="3"/>
      <c r="LY706" s="3"/>
      <c r="LZ706" s="3"/>
      <c r="MA706" s="3"/>
      <c r="MB706" s="3"/>
      <c r="MC706" s="3"/>
      <c r="MD706" s="3"/>
      <c r="ME706" s="3"/>
      <c r="MF706" s="3"/>
      <c r="MG706" s="3"/>
      <c r="MH706" s="3"/>
      <c r="MI706" s="3"/>
    </row>
    <row r="707" spans="1:347"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c r="HX707" s="3"/>
      <c r="HY707" s="3"/>
      <c r="HZ707" s="3"/>
      <c r="IA707" s="3"/>
      <c r="IB707" s="3"/>
      <c r="IC707" s="3"/>
      <c r="ID707" s="3"/>
      <c r="IE707" s="3"/>
      <c r="IF707" s="3"/>
      <c r="IG707" s="3"/>
      <c r="IH707" s="3"/>
      <c r="II707" s="3"/>
      <c r="IJ707" s="3"/>
      <c r="IK707" s="3"/>
      <c r="IL707" s="3"/>
      <c r="IM707" s="3"/>
      <c r="IN707" s="3"/>
      <c r="IO707" s="3"/>
      <c r="IP707" s="3"/>
      <c r="IQ707" s="3"/>
      <c r="IR707" s="3"/>
      <c r="IS707" s="3"/>
      <c r="IT707" s="3"/>
      <c r="IU707" s="3"/>
      <c r="IV707" s="3"/>
      <c r="IW707" s="3"/>
      <c r="IX707" s="3"/>
      <c r="IY707" s="3"/>
      <c r="IZ707" s="3"/>
      <c r="JA707" s="3"/>
      <c r="JB707" s="3"/>
      <c r="JC707" s="3"/>
      <c r="JD707" s="3"/>
      <c r="JE707" s="3"/>
      <c r="JF707" s="3"/>
      <c r="JG707" s="3"/>
      <c r="JH707" s="3"/>
      <c r="JI707" s="3"/>
      <c r="JJ707" s="3"/>
      <c r="JK707" s="3"/>
      <c r="JL707" s="3"/>
      <c r="JM707" s="3"/>
      <c r="JN707" s="3"/>
      <c r="JO707" s="3"/>
      <c r="JP707" s="3"/>
      <c r="JQ707" s="3"/>
      <c r="JR707" s="3"/>
      <c r="JS707" s="3"/>
      <c r="JT707" s="3"/>
      <c r="JU707" s="3"/>
      <c r="JV707" s="3"/>
      <c r="JW707" s="3"/>
      <c r="JX707" s="3"/>
      <c r="JY707" s="3"/>
      <c r="JZ707" s="3"/>
      <c r="KA707" s="3"/>
      <c r="KB707" s="3"/>
      <c r="KC707" s="3"/>
      <c r="KD707" s="3"/>
      <c r="KE707" s="3"/>
      <c r="KF707" s="3"/>
      <c r="KG707" s="3"/>
      <c r="KH707" s="3"/>
      <c r="KI707" s="3"/>
      <c r="KJ707" s="3"/>
      <c r="KK707" s="3"/>
      <c r="KL707" s="3"/>
      <c r="KM707" s="3"/>
      <c r="KN707" s="3"/>
      <c r="KO707" s="3"/>
      <c r="KP707" s="3"/>
      <c r="KQ707" s="3"/>
      <c r="KR707" s="3"/>
      <c r="KS707" s="3"/>
      <c r="KT707" s="3"/>
      <c r="KU707" s="3"/>
      <c r="KV707" s="3"/>
      <c r="KW707" s="3"/>
      <c r="KX707" s="3"/>
      <c r="KY707" s="3"/>
      <c r="KZ707" s="3"/>
      <c r="LA707" s="3"/>
      <c r="LB707" s="3"/>
      <c r="LC707" s="3"/>
      <c r="LD707" s="3"/>
      <c r="LE707" s="3"/>
      <c r="LF707" s="3"/>
      <c r="LG707" s="3"/>
      <c r="LH707" s="3"/>
      <c r="LI707" s="3"/>
      <c r="LJ707" s="3"/>
      <c r="LK707" s="3"/>
      <c r="LL707" s="3"/>
      <c r="LM707" s="3"/>
      <c r="LN707" s="3"/>
      <c r="LO707" s="3"/>
      <c r="LP707" s="3"/>
      <c r="LQ707" s="3"/>
      <c r="LR707" s="3"/>
      <c r="LS707" s="3"/>
      <c r="LT707" s="3"/>
      <c r="LU707" s="3"/>
      <c r="LV707" s="3"/>
      <c r="LW707" s="3"/>
      <c r="LX707" s="3"/>
      <c r="LY707" s="3"/>
      <c r="LZ707" s="3"/>
      <c r="MA707" s="3"/>
      <c r="MB707" s="3"/>
      <c r="MC707" s="3"/>
      <c r="MD707" s="3"/>
      <c r="ME707" s="3"/>
      <c r="MF707" s="3"/>
      <c r="MG707" s="3"/>
      <c r="MH707" s="3"/>
      <c r="MI707" s="3"/>
    </row>
    <row r="708" spans="1:347"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c r="HX708" s="3"/>
      <c r="HY708" s="3"/>
      <c r="HZ708" s="3"/>
      <c r="IA708" s="3"/>
      <c r="IB708" s="3"/>
      <c r="IC708" s="3"/>
      <c r="ID708" s="3"/>
      <c r="IE708" s="3"/>
      <c r="IF708" s="3"/>
      <c r="IG708" s="3"/>
      <c r="IH708" s="3"/>
      <c r="II708" s="3"/>
      <c r="IJ708" s="3"/>
      <c r="IK708" s="3"/>
      <c r="IL708" s="3"/>
      <c r="IM708" s="3"/>
      <c r="IN708" s="3"/>
      <c r="IO708" s="3"/>
      <c r="IP708" s="3"/>
      <c r="IQ708" s="3"/>
      <c r="IR708" s="3"/>
      <c r="IS708" s="3"/>
      <c r="IT708" s="3"/>
      <c r="IU708" s="3"/>
      <c r="IV708" s="3"/>
      <c r="IW708" s="3"/>
      <c r="IX708" s="3"/>
      <c r="IY708" s="3"/>
      <c r="IZ708" s="3"/>
      <c r="JA708" s="3"/>
      <c r="JB708" s="3"/>
      <c r="JC708" s="3"/>
      <c r="JD708" s="3"/>
      <c r="JE708" s="3"/>
      <c r="JF708" s="3"/>
      <c r="JG708" s="3"/>
      <c r="JH708" s="3"/>
      <c r="JI708" s="3"/>
      <c r="JJ708" s="3"/>
      <c r="JK708" s="3"/>
      <c r="JL708" s="3"/>
      <c r="JM708" s="3"/>
      <c r="JN708" s="3"/>
      <c r="JO708" s="3"/>
      <c r="JP708" s="3"/>
      <c r="JQ708" s="3"/>
      <c r="JR708" s="3"/>
      <c r="JS708" s="3"/>
      <c r="JT708" s="3"/>
      <c r="JU708" s="3"/>
      <c r="JV708" s="3"/>
      <c r="JW708" s="3"/>
      <c r="JX708" s="3"/>
      <c r="JY708" s="3"/>
      <c r="JZ708" s="3"/>
      <c r="KA708" s="3"/>
      <c r="KB708" s="3"/>
      <c r="KC708" s="3"/>
      <c r="KD708" s="3"/>
      <c r="KE708" s="3"/>
      <c r="KF708" s="3"/>
      <c r="KG708" s="3"/>
      <c r="KH708" s="3"/>
      <c r="KI708" s="3"/>
      <c r="KJ708" s="3"/>
      <c r="KK708" s="3"/>
      <c r="KL708" s="3"/>
      <c r="KM708" s="3"/>
      <c r="KN708" s="3"/>
      <c r="KO708" s="3"/>
      <c r="KP708" s="3"/>
      <c r="KQ708" s="3"/>
      <c r="KR708" s="3"/>
      <c r="KS708" s="3"/>
      <c r="KT708" s="3"/>
      <c r="KU708" s="3"/>
      <c r="KV708" s="3"/>
      <c r="KW708" s="3"/>
      <c r="KX708" s="3"/>
      <c r="KY708" s="3"/>
      <c r="KZ708" s="3"/>
      <c r="LA708" s="3"/>
      <c r="LB708" s="3"/>
      <c r="LC708" s="3"/>
      <c r="LD708" s="3"/>
      <c r="LE708" s="3"/>
      <c r="LF708" s="3"/>
      <c r="LG708" s="3"/>
      <c r="LH708" s="3"/>
      <c r="LI708" s="3"/>
      <c r="LJ708" s="3"/>
      <c r="LK708" s="3"/>
      <c r="LL708" s="3"/>
      <c r="LM708" s="3"/>
      <c r="LN708" s="3"/>
      <c r="LO708" s="3"/>
      <c r="LP708" s="3"/>
      <c r="LQ708" s="3"/>
      <c r="LR708" s="3"/>
      <c r="LS708" s="3"/>
      <c r="LT708" s="3"/>
      <c r="LU708" s="3"/>
      <c r="LV708" s="3"/>
      <c r="LW708" s="3"/>
      <c r="LX708" s="3"/>
      <c r="LY708" s="3"/>
      <c r="LZ708" s="3"/>
      <c r="MA708" s="3"/>
      <c r="MB708" s="3"/>
      <c r="MC708" s="3"/>
      <c r="MD708" s="3"/>
      <c r="ME708" s="3"/>
      <c r="MF708" s="3"/>
      <c r="MG708" s="3"/>
      <c r="MH708" s="3"/>
      <c r="MI708" s="3"/>
    </row>
    <row r="709" spans="1:347"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c r="HX709" s="3"/>
      <c r="HY709" s="3"/>
      <c r="HZ709" s="3"/>
      <c r="IA709" s="3"/>
      <c r="IB709" s="3"/>
      <c r="IC709" s="3"/>
      <c r="ID709" s="3"/>
      <c r="IE709" s="3"/>
      <c r="IF709" s="3"/>
      <c r="IG709" s="3"/>
      <c r="IH709" s="3"/>
      <c r="II709" s="3"/>
      <c r="IJ709" s="3"/>
      <c r="IK709" s="3"/>
      <c r="IL709" s="3"/>
      <c r="IM709" s="3"/>
      <c r="IN709" s="3"/>
      <c r="IO709" s="3"/>
      <c r="IP709" s="3"/>
      <c r="IQ709" s="3"/>
      <c r="IR709" s="3"/>
      <c r="IS709" s="3"/>
      <c r="IT709" s="3"/>
      <c r="IU709" s="3"/>
      <c r="IV709" s="3"/>
      <c r="IW709" s="3"/>
      <c r="IX709" s="3"/>
      <c r="IY709" s="3"/>
      <c r="IZ709" s="3"/>
      <c r="JA709" s="3"/>
      <c r="JB709" s="3"/>
      <c r="JC709" s="3"/>
      <c r="JD709" s="3"/>
      <c r="JE709" s="3"/>
      <c r="JF709" s="3"/>
      <c r="JG709" s="3"/>
      <c r="JH709" s="3"/>
      <c r="JI709" s="3"/>
      <c r="JJ709" s="3"/>
      <c r="JK709" s="3"/>
      <c r="JL709" s="3"/>
      <c r="JM709" s="3"/>
      <c r="JN709" s="3"/>
      <c r="JO709" s="3"/>
      <c r="JP709" s="3"/>
      <c r="JQ709" s="3"/>
      <c r="JR709" s="3"/>
      <c r="JS709" s="3"/>
      <c r="JT709" s="3"/>
      <c r="JU709" s="3"/>
      <c r="JV709" s="3"/>
      <c r="JW709" s="3"/>
      <c r="JX709" s="3"/>
      <c r="JY709" s="3"/>
      <c r="JZ709" s="3"/>
      <c r="KA709" s="3"/>
      <c r="KB709" s="3"/>
      <c r="KC709" s="3"/>
      <c r="KD709" s="3"/>
      <c r="KE709" s="3"/>
      <c r="KF709" s="3"/>
      <c r="KG709" s="3"/>
      <c r="KH709" s="3"/>
      <c r="KI709" s="3"/>
      <c r="KJ709" s="3"/>
      <c r="KK709" s="3"/>
      <c r="KL709" s="3"/>
      <c r="KM709" s="3"/>
      <c r="KN709" s="3"/>
      <c r="KO709" s="3"/>
      <c r="KP709" s="3"/>
      <c r="KQ709" s="3"/>
      <c r="KR709" s="3"/>
      <c r="KS709" s="3"/>
      <c r="KT709" s="3"/>
      <c r="KU709" s="3"/>
      <c r="KV709" s="3"/>
      <c r="KW709" s="3"/>
      <c r="KX709" s="3"/>
      <c r="KY709" s="3"/>
      <c r="KZ709" s="3"/>
      <c r="LA709" s="3"/>
      <c r="LB709" s="3"/>
      <c r="LC709" s="3"/>
      <c r="LD709" s="3"/>
      <c r="LE709" s="3"/>
      <c r="LF709" s="3"/>
      <c r="LG709" s="3"/>
      <c r="LH709" s="3"/>
      <c r="LI709" s="3"/>
      <c r="LJ709" s="3"/>
      <c r="LK709" s="3"/>
      <c r="LL709" s="3"/>
      <c r="LM709" s="3"/>
      <c r="LN709" s="3"/>
      <c r="LO709" s="3"/>
      <c r="LP709" s="3"/>
      <c r="LQ709" s="3"/>
      <c r="LR709" s="3"/>
      <c r="LS709" s="3"/>
      <c r="LT709" s="3"/>
      <c r="LU709" s="3"/>
      <c r="LV709" s="3"/>
      <c r="LW709" s="3"/>
      <c r="LX709" s="3"/>
      <c r="LY709" s="3"/>
      <c r="LZ709" s="3"/>
      <c r="MA709" s="3"/>
      <c r="MB709" s="3"/>
      <c r="MC709" s="3"/>
      <c r="MD709" s="3"/>
      <c r="ME709" s="3"/>
      <c r="MF709" s="3"/>
      <c r="MG709" s="3"/>
      <c r="MH709" s="3"/>
      <c r="MI709" s="3"/>
    </row>
    <row r="710" spans="1:347"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c r="HX710" s="3"/>
      <c r="HY710" s="3"/>
      <c r="HZ710" s="3"/>
      <c r="IA710" s="3"/>
      <c r="IB710" s="3"/>
      <c r="IC710" s="3"/>
      <c r="ID710" s="3"/>
      <c r="IE710" s="3"/>
      <c r="IF710" s="3"/>
      <c r="IG710" s="3"/>
      <c r="IH710" s="3"/>
      <c r="II710" s="3"/>
      <c r="IJ710" s="3"/>
      <c r="IK710" s="3"/>
      <c r="IL710" s="3"/>
      <c r="IM710" s="3"/>
      <c r="IN710" s="3"/>
      <c r="IO710" s="3"/>
      <c r="IP710" s="3"/>
      <c r="IQ710" s="3"/>
      <c r="IR710" s="3"/>
      <c r="IS710" s="3"/>
      <c r="IT710" s="3"/>
      <c r="IU710" s="3"/>
      <c r="IV710" s="3"/>
      <c r="IW710" s="3"/>
      <c r="IX710" s="3"/>
      <c r="IY710" s="3"/>
      <c r="IZ710" s="3"/>
      <c r="JA710" s="3"/>
      <c r="JB710" s="3"/>
      <c r="JC710" s="3"/>
      <c r="JD710" s="3"/>
      <c r="JE710" s="3"/>
      <c r="JF710" s="3"/>
      <c r="JG710" s="3"/>
      <c r="JH710" s="3"/>
      <c r="JI710" s="3"/>
      <c r="JJ710" s="3"/>
      <c r="JK710" s="3"/>
      <c r="JL710" s="3"/>
      <c r="JM710" s="3"/>
      <c r="JN710" s="3"/>
      <c r="JO710" s="3"/>
      <c r="JP710" s="3"/>
      <c r="JQ710" s="3"/>
      <c r="JR710" s="3"/>
      <c r="JS710" s="3"/>
      <c r="JT710" s="3"/>
      <c r="JU710" s="3"/>
      <c r="JV710" s="3"/>
      <c r="JW710" s="3"/>
      <c r="JX710" s="3"/>
      <c r="JY710" s="3"/>
      <c r="JZ710" s="3"/>
      <c r="KA710" s="3"/>
      <c r="KB710" s="3"/>
      <c r="KC710" s="3"/>
      <c r="KD710" s="3"/>
      <c r="KE710" s="3"/>
      <c r="KF710" s="3"/>
      <c r="KG710" s="3"/>
      <c r="KH710" s="3"/>
      <c r="KI710" s="3"/>
      <c r="KJ710" s="3"/>
      <c r="KK710" s="3"/>
      <c r="KL710" s="3"/>
      <c r="KM710" s="3"/>
      <c r="KN710" s="3"/>
      <c r="KO710" s="3"/>
      <c r="KP710" s="3"/>
      <c r="KQ710" s="3"/>
      <c r="KR710" s="3"/>
      <c r="KS710" s="3"/>
      <c r="KT710" s="3"/>
      <c r="KU710" s="3"/>
      <c r="KV710" s="3"/>
      <c r="KW710" s="3"/>
      <c r="KX710" s="3"/>
      <c r="KY710" s="3"/>
      <c r="KZ710" s="3"/>
      <c r="LA710" s="3"/>
      <c r="LB710" s="3"/>
      <c r="LC710" s="3"/>
      <c r="LD710" s="3"/>
      <c r="LE710" s="3"/>
      <c r="LF710" s="3"/>
      <c r="LG710" s="3"/>
      <c r="LH710" s="3"/>
      <c r="LI710" s="3"/>
      <c r="LJ710" s="3"/>
      <c r="LK710" s="3"/>
      <c r="LL710" s="3"/>
      <c r="LM710" s="3"/>
      <c r="LN710" s="3"/>
      <c r="LO710" s="3"/>
      <c r="LP710" s="3"/>
      <c r="LQ710" s="3"/>
      <c r="LR710" s="3"/>
      <c r="LS710" s="3"/>
      <c r="LT710" s="3"/>
      <c r="LU710" s="3"/>
      <c r="LV710" s="3"/>
      <c r="LW710" s="3"/>
      <c r="LX710" s="3"/>
      <c r="LY710" s="3"/>
      <c r="LZ710" s="3"/>
      <c r="MA710" s="3"/>
      <c r="MB710" s="3"/>
      <c r="MC710" s="3"/>
      <c r="MD710" s="3"/>
      <c r="ME710" s="3"/>
      <c r="MF710" s="3"/>
      <c r="MG710" s="3"/>
      <c r="MH710" s="3"/>
      <c r="MI710" s="3"/>
    </row>
    <row r="711" spans="1:347"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c r="HX711" s="3"/>
      <c r="HY711" s="3"/>
      <c r="HZ711" s="3"/>
      <c r="IA711" s="3"/>
      <c r="IB711" s="3"/>
      <c r="IC711" s="3"/>
      <c r="ID711" s="3"/>
      <c r="IE711" s="3"/>
      <c r="IF711" s="3"/>
      <c r="IG711" s="3"/>
      <c r="IH711" s="3"/>
      <c r="II711" s="3"/>
      <c r="IJ711" s="3"/>
      <c r="IK711" s="3"/>
      <c r="IL711" s="3"/>
      <c r="IM711" s="3"/>
      <c r="IN711" s="3"/>
      <c r="IO711" s="3"/>
      <c r="IP711" s="3"/>
      <c r="IQ711" s="3"/>
      <c r="IR711" s="3"/>
      <c r="IS711" s="3"/>
      <c r="IT711" s="3"/>
      <c r="IU711" s="3"/>
      <c r="IV711" s="3"/>
      <c r="IW711" s="3"/>
      <c r="IX711" s="3"/>
      <c r="IY711" s="3"/>
      <c r="IZ711" s="3"/>
      <c r="JA711" s="3"/>
      <c r="JB711" s="3"/>
      <c r="JC711" s="3"/>
      <c r="JD711" s="3"/>
      <c r="JE711" s="3"/>
      <c r="JF711" s="3"/>
      <c r="JG711" s="3"/>
      <c r="JH711" s="3"/>
      <c r="JI711" s="3"/>
      <c r="JJ711" s="3"/>
      <c r="JK711" s="3"/>
      <c r="JL711" s="3"/>
      <c r="JM711" s="3"/>
      <c r="JN711" s="3"/>
      <c r="JO711" s="3"/>
      <c r="JP711" s="3"/>
      <c r="JQ711" s="3"/>
      <c r="JR711" s="3"/>
      <c r="JS711" s="3"/>
      <c r="JT711" s="3"/>
      <c r="JU711" s="3"/>
      <c r="JV711" s="3"/>
      <c r="JW711" s="3"/>
      <c r="JX711" s="3"/>
      <c r="JY711" s="3"/>
      <c r="JZ711" s="3"/>
      <c r="KA711" s="3"/>
      <c r="KB711" s="3"/>
      <c r="KC711" s="3"/>
      <c r="KD711" s="3"/>
      <c r="KE711" s="3"/>
      <c r="KF711" s="3"/>
      <c r="KG711" s="3"/>
      <c r="KH711" s="3"/>
      <c r="KI711" s="3"/>
      <c r="KJ711" s="3"/>
      <c r="KK711" s="3"/>
      <c r="KL711" s="3"/>
      <c r="KM711" s="3"/>
      <c r="KN711" s="3"/>
      <c r="KO711" s="3"/>
      <c r="KP711" s="3"/>
      <c r="KQ711" s="3"/>
      <c r="KR711" s="3"/>
      <c r="KS711" s="3"/>
      <c r="KT711" s="3"/>
      <c r="KU711" s="3"/>
      <c r="KV711" s="3"/>
      <c r="KW711" s="3"/>
      <c r="KX711" s="3"/>
      <c r="KY711" s="3"/>
      <c r="KZ711" s="3"/>
      <c r="LA711" s="3"/>
      <c r="LB711" s="3"/>
      <c r="LC711" s="3"/>
      <c r="LD711" s="3"/>
      <c r="LE711" s="3"/>
      <c r="LF711" s="3"/>
      <c r="LG711" s="3"/>
      <c r="LH711" s="3"/>
      <c r="LI711" s="3"/>
      <c r="LJ711" s="3"/>
      <c r="LK711" s="3"/>
      <c r="LL711" s="3"/>
      <c r="LM711" s="3"/>
      <c r="LN711" s="3"/>
      <c r="LO711" s="3"/>
      <c r="LP711" s="3"/>
      <c r="LQ711" s="3"/>
      <c r="LR711" s="3"/>
      <c r="LS711" s="3"/>
      <c r="LT711" s="3"/>
      <c r="LU711" s="3"/>
      <c r="LV711" s="3"/>
      <c r="LW711" s="3"/>
      <c r="LX711" s="3"/>
      <c r="LY711" s="3"/>
      <c r="LZ711" s="3"/>
      <c r="MA711" s="3"/>
      <c r="MB711" s="3"/>
      <c r="MC711" s="3"/>
      <c r="MD711" s="3"/>
      <c r="ME711" s="3"/>
      <c r="MF711" s="3"/>
      <c r="MG711" s="3"/>
      <c r="MH711" s="3"/>
      <c r="MI711" s="3"/>
    </row>
    <row r="712" spans="1:347"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c r="HX712" s="3"/>
      <c r="HY712" s="3"/>
      <c r="HZ712" s="3"/>
      <c r="IA712" s="3"/>
      <c r="IB712" s="3"/>
      <c r="IC712" s="3"/>
      <c r="ID712" s="3"/>
      <c r="IE712" s="3"/>
      <c r="IF712" s="3"/>
      <c r="IG712" s="3"/>
      <c r="IH712" s="3"/>
      <c r="II712" s="3"/>
      <c r="IJ712" s="3"/>
      <c r="IK712" s="3"/>
      <c r="IL712" s="3"/>
      <c r="IM712" s="3"/>
      <c r="IN712" s="3"/>
      <c r="IO712" s="3"/>
      <c r="IP712" s="3"/>
      <c r="IQ712" s="3"/>
      <c r="IR712" s="3"/>
      <c r="IS712" s="3"/>
      <c r="IT712" s="3"/>
      <c r="IU712" s="3"/>
      <c r="IV712" s="3"/>
      <c r="IW712" s="3"/>
      <c r="IX712" s="3"/>
      <c r="IY712" s="3"/>
      <c r="IZ712" s="3"/>
      <c r="JA712" s="3"/>
      <c r="JB712" s="3"/>
      <c r="JC712" s="3"/>
      <c r="JD712" s="3"/>
      <c r="JE712" s="3"/>
      <c r="JF712" s="3"/>
      <c r="JG712" s="3"/>
      <c r="JH712" s="3"/>
      <c r="JI712" s="3"/>
      <c r="JJ712" s="3"/>
      <c r="JK712" s="3"/>
      <c r="JL712" s="3"/>
      <c r="JM712" s="3"/>
      <c r="JN712" s="3"/>
      <c r="JO712" s="3"/>
      <c r="JP712" s="3"/>
      <c r="JQ712" s="3"/>
      <c r="JR712" s="3"/>
      <c r="JS712" s="3"/>
      <c r="JT712" s="3"/>
      <c r="JU712" s="3"/>
      <c r="JV712" s="3"/>
      <c r="JW712" s="3"/>
      <c r="JX712" s="3"/>
      <c r="JY712" s="3"/>
      <c r="JZ712" s="3"/>
      <c r="KA712" s="3"/>
      <c r="KB712" s="3"/>
      <c r="KC712" s="3"/>
      <c r="KD712" s="3"/>
      <c r="KE712" s="3"/>
      <c r="KF712" s="3"/>
      <c r="KG712" s="3"/>
      <c r="KH712" s="3"/>
      <c r="KI712" s="3"/>
      <c r="KJ712" s="3"/>
      <c r="KK712" s="3"/>
      <c r="KL712" s="3"/>
      <c r="KM712" s="3"/>
      <c r="KN712" s="3"/>
      <c r="KO712" s="3"/>
      <c r="KP712" s="3"/>
      <c r="KQ712" s="3"/>
      <c r="KR712" s="3"/>
      <c r="KS712" s="3"/>
      <c r="KT712" s="3"/>
      <c r="KU712" s="3"/>
      <c r="KV712" s="3"/>
      <c r="KW712" s="3"/>
      <c r="KX712" s="3"/>
      <c r="KY712" s="3"/>
      <c r="KZ712" s="3"/>
      <c r="LA712" s="3"/>
      <c r="LB712" s="3"/>
      <c r="LC712" s="3"/>
      <c r="LD712" s="3"/>
      <c r="LE712" s="3"/>
      <c r="LF712" s="3"/>
      <c r="LG712" s="3"/>
      <c r="LH712" s="3"/>
      <c r="LI712" s="3"/>
      <c r="LJ712" s="3"/>
      <c r="LK712" s="3"/>
      <c r="LL712" s="3"/>
      <c r="LM712" s="3"/>
      <c r="LN712" s="3"/>
      <c r="LO712" s="3"/>
      <c r="LP712" s="3"/>
      <c r="LQ712" s="3"/>
      <c r="LR712" s="3"/>
      <c r="LS712" s="3"/>
      <c r="LT712" s="3"/>
      <c r="LU712" s="3"/>
      <c r="LV712" s="3"/>
      <c r="LW712" s="3"/>
      <c r="LX712" s="3"/>
      <c r="LY712" s="3"/>
      <c r="LZ712" s="3"/>
      <c r="MA712" s="3"/>
      <c r="MB712" s="3"/>
      <c r="MC712" s="3"/>
      <c r="MD712" s="3"/>
      <c r="ME712" s="3"/>
      <c r="MF712" s="3"/>
      <c r="MG712" s="3"/>
      <c r="MH712" s="3"/>
      <c r="MI712" s="3"/>
    </row>
    <row r="713" spans="1:347"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row>
    <row r="714" spans="1:347"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c r="IZ714" s="3"/>
      <c r="JA714" s="3"/>
      <c r="JB714" s="3"/>
      <c r="JC714" s="3"/>
      <c r="JD714" s="3"/>
      <c r="JE714" s="3"/>
      <c r="JF714" s="3"/>
      <c r="JG714" s="3"/>
      <c r="JH714" s="3"/>
      <c r="JI714" s="3"/>
      <c r="JJ714" s="3"/>
      <c r="JK714" s="3"/>
      <c r="JL714" s="3"/>
      <c r="JM714" s="3"/>
      <c r="JN714" s="3"/>
      <c r="JO714" s="3"/>
      <c r="JP714" s="3"/>
      <c r="JQ714" s="3"/>
      <c r="JR714" s="3"/>
      <c r="JS714" s="3"/>
      <c r="JT714" s="3"/>
      <c r="JU714" s="3"/>
      <c r="JV714" s="3"/>
      <c r="JW714" s="3"/>
      <c r="JX714" s="3"/>
      <c r="JY714" s="3"/>
      <c r="JZ714" s="3"/>
      <c r="KA714" s="3"/>
      <c r="KB714" s="3"/>
      <c r="KC714" s="3"/>
      <c r="KD714" s="3"/>
      <c r="KE714" s="3"/>
      <c r="KF714" s="3"/>
      <c r="KG714" s="3"/>
      <c r="KH714" s="3"/>
      <c r="KI714" s="3"/>
      <c r="KJ714" s="3"/>
      <c r="KK714" s="3"/>
      <c r="KL714" s="3"/>
      <c r="KM714" s="3"/>
      <c r="KN714" s="3"/>
      <c r="KO714" s="3"/>
      <c r="KP714" s="3"/>
      <c r="KQ714" s="3"/>
      <c r="KR714" s="3"/>
      <c r="KS714" s="3"/>
      <c r="KT714" s="3"/>
      <c r="KU714" s="3"/>
      <c r="KV714" s="3"/>
      <c r="KW714" s="3"/>
      <c r="KX714" s="3"/>
      <c r="KY714" s="3"/>
      <c r="KZ714" s="3"/>
      <c r="LA714" s="3"/>
      <c r="LB714" s="3"/>
      <c r="LC714" s="3"/>
      <c r="LD714" s="3"/>
      <c r="LE714" s="3"/>
      <c r="LF714" s="3"/>
      <c r="LG714" s="3"/>
      <c r="LH714" s="3"/>
      <c r="LI714" s="3"/>
      <c r="LJ714" s="3"/>
      <c r="LK714" s="3"/>
      <c r="LL714" s="3"/>
      <c r="LM714" s="3"/>
      <c r="LN714" s="3"/>
      <c r="LO714" s="3"/>
      <c r="LP714" s="3"/>
      <c r="LQ714" s="3"/>
      <c r="LR714" s="3"/>
      <c r="LS714" s="3"/>
      <c r="LT714" s="3"/>
      <c r="LU714" s="3"/>
      <c r="LV714" s="3"/>
      <c r="LW714" s="3"/>
      <c r="LX714" s="3"/>
      <c r="LY714" s="3"/>
      <c r="LZ714" s="3"/>
      <c r="MA714" s="3"/>
      <c r="MB714" s="3"/>
      <c r="MC714" s="3"/>
      <c r="MD714" s="3"/>
      <c r="ME714" s="3"/>
      <c r="MF714" s="3"/>
      <c r="MG714" s="3"/>
      <c r="MH714" s="3"/>
      <c r="MI714" s="3"/>
    </row>
    <row r="715" spans="1:347"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row>
    <row r="716" spans="1:347"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c r="HX716" s="3"/>
      <c r="HY716" s="3"/>
      <c r="HZ716" s="3"/>
      <c r="IA716" s="3"/>
      <c r="IB716" s="3"/>
      <c r="IC716" s="3"/>
      <c r="ID716" s="3"/>
      <c r="IE716" s="3"/>
      <c r="IF716" s="3"/>
      <c r="IG716" s="3"/>
      <c r="IH716" s="3"/>
      <c r="II716" s="3"/>
      <c r="IJ716" s="3"/>
      <c r="IK716" s="3"/>
      <c r="IL716" s="3"/>
      <c r="IM716" s="3"/>
      <c r="IN716" s="3"/>
      <c r="IO716" s="3"/>
      <c r="IP716" s="3"/>
      <c r="IQ716" s="3"/>
      <c r="IR716" s="3"/>
      <c r="IS716" s="3"/>
      <c r="IT716" s="3"/>
      <c r="IU716" s="3"/>
      <c r="IV716" s="3"/>
      <c r="IW716" s="3"/>
      <c r="IX716" s="3"/>
      <c r="IY716" s="3"/>
      <c r="IZ716" s="3"/>
      <c r="JA716" s="3"/>
      <c r="JB716" s="3"/>
      <c r="JC716" s="3"/>
      <c r="JD716" s="3"/>
      <c r="JE716" s="3"/>
      <c r="JF716" s="3"/>
      <c r="JG716" s="3"/>
      <c r="JH716" s="3"/>
      <c r="JI716" s="3"/>
      <c r="JJ716" s="3"/>
      <c r="JK716" s="3"/>
      <c r="JL716" s="3"/>
      <c r="JM716" s="3"/>
      <c r="JN716" s="3"/>
      <c r="JO716" s="3"/>
      <c r="JP716" s="3"/>
      <c r="JQ716" s="3"/>
      <c r="JR716" s="3"/>
      <c r="JS716" s="3"/>
      <c r="JT716" s="3"/>
      <c r="JU716" s="3"/>
      <c r="JV716" s="3"/>
      <c r="JW716" s="3"/>
      <c r="JX716" s="3"/>
      <c r="JY716" s="3"/>
      <c r="JZ716" s="3"/>
      <c r="KA716" s="3"/>
      <c r="KB716" s="3"/>
      <c r="KC716" s="3"/>
      <c r="KD716" s="3"/>
      <c r="KE716" s="3"/>
      <c r="KF716" s="3"/>
      <c r="KG716" s="3"/>
      <c r="KH716" s="3"/>
      <c r="KI716" s="3"/>
      <c r="KJ716" s="3"/>
      <c r="KK716" s="3"/>
      <c r="KL716" s="3"/>
      <c r="KM716" s="3"/>
      <c r="KN716" s="3"/>
      <c r="KO716" s="3"/>
      <c r="KP716" s="3"/>
      <c r="KQ716" s="3"/>
      <c r="KR716" s="3"/>
      <c r="KS716" s="3"/>
      <c r="KT716" s="3"/>
      <c r="KU716" s="3"/>
      <c r="KV716" s="3"/>
      <c r="KW716" s="3"/>
      <c r="KX716" s="3"/>
      <c r="KY716" s="3"/>
      <c r="KZ716" s="3"/>
      <c r="LA716" s="3"/>
      <c r="LB716" s="3"/>
      <c r="LC716" s="3"/>
      <c r="LD716" s="3"/>
      <c r="LE716" s="3"/>
      <c r="LF716" s="3"/>
      <c r="LG716" s="3"/>
      <c r="LH716" s="3"/>
      <c r="LI716" s="3"/>
      <c r="LJ716" s="3"/>
      <c r="LK716" s="3"/>
      <c r="LL716" s="3"/>
      <c r="LM716" s="3"/>
      <c r="LN716" s="3"/>
      <c r="LO716" s="3"/>
      <c r="LP716" s="3"/>
      <c r="LQ716" s="3"/>
      <c r="LR716" s="3"/>
      <c r="LS716" s="3"/>
      <c r="LT716" s="3"/>
      <c r="LU716" s="3"/>
      <c r="LV716" s="3"/>
      <c r="LW716" s="3"/>
      <c r="LX716" s="3"/>
      <c r="LY716" s="3"/>
      <c r="LZ716" s="3"/>
      <c r="MA716" s="3"/>
      <c r="MB716" s="3"/>
      <c r="MC716" s="3"/>
      <c r="MD716" s="3"/>
      <c r="ME716" s="3"/>
      <c r="MF716" s="3"/>
      <c r="MG716" s="3"/>
      <c r="MH716" s="3"/>
      <c r="MI716" s="3"/>
    </row>
    <row r="717" spans="1:347"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c r="HX717" s="3"/>
      <c r="HY717" s="3"/>
      <c r="HZ717" s="3"/>
      <c r="IA717" s="3"/>
      <c r="IB717" s="3"/>
      <c r="IC717" s="3"/>
      <c r="ID717" s="3"/>
      <c r="IE717" s="3"/>
      <c r="IF717" s="3"/>
      <c r="IG717" s="3"/>
      <c r="IH717" s="3"/>
      <c r="II717" s="3"/>
      <c r="IJ717" s="3"/>
      <c r="IK717" s="3"/>
      <c r="IL717" s="3"/>
      <c r="IM717" s="3"/>
      <c r="IN717" s="3"/>
      <c r="IO717" s="3"/>
      <c r="IP717" s="3"/>
      <c r="IQ717" s="3"/>
      <c r="IR717" s="3"/>
      <c r="IS717" s="3"/>
      <c r="IT717" s="3"/>
      <c r="IU717" s="3"/>
      <c r="IV717" s="3"/>
      <c r="IW717" s="3"/>
      <c r="IX717" s="3"/>
      <c r="IY717" s="3"/>
      <c r="IZ717" s="3"/>
      <c r="JA717" s="3"/>
      <c r="JB717" s="3"/>
      <c r="JC717" s="3"/>
      <c r="JD717" s="3"/>
      <c r="JE717" s="3"/>
      <c r="JF717" s="3"/>
      <c r="JG717" s="3"/>
      <c r="JH717" s="3"/>
      <c r="JI717" s="3"/>
      <c r="JJ717" s="3"/>
      <c r="JK717" s="3"/>
      <c r="JL717" s="3"/>
      <c r="JM717" s="3"/>
      <c r="JN717" s="3"/>
      <c r="JO717" s="3"/>
      <c r="JP717" s="3"/>
      <c r="JQ717" s="3"/>
      <c r="JR717" s="3"/>
      <c r="JS717" s="3"/>
      <c r="JT717" s="3"/>
      <c r="JU717" s="3"/>
      <c r="JV717" s="3"/>
      <c r="JW717" s="3"/>
      <c r="JX717" s="3"/>
      <c r="JY717" s="3"/>
      <c r="JZ717" s="3"/>
      <c r="KA717" s="3"/>
      <c r="KB717" s="3"/>
      <c r="KC717" s="3"/>
      <c r="KD717" s="3"/>
      <c r="KE717" s="3"/>
      <c r="KF717" s="3"/>
      <c r="KG717" s="3"/>
      <c r="KH717" s="3"/>
      <c r="KI717" s="3"/>
      <c r="KJ717" s="3"/>
      <c r="KK717" s="3"/>
      <c r="KL717" s="3"/>
      <c r="KM717" s="3"/>
      <c r="KN717" s="3"/>
      <c r="KO717" s="3"/>
      <c r="KP717" s="3"/>
      <c r="KQ717" s="3"/>
      <c r="KR717" s="3"/>
      <c r="KS717" s="3"/>
      <c r="KT717" s="3"/>
      <c r="KU717" s="3"/>
      <c r="KV717" s="3"/>
      <c r="KW717" s="3"/>
      <c r="KX717" s="3"/>
      <c r="KY717" s="3"/>
      <c r="KZ717" s="3"/>
      <c r="LA717" s="3"/>
      <c r="LB717" s="3"/>
      <c r="LC717" s="3"/>
      <c r="LD717" s="3"/>
      <c r="LE717" s="3"/>
      <c r="LF717" s="3"/>
      <c r="LG717" s="3"/>
      <c r="LH717" s="3"/>
      <c r="LI717" s="3"/>
      <c r="LJ717" s="3"/>
      <c r="LK717" s="3"/>
      <c r="LL717" s="3"/>
      <c r="LM717" s="3"/>
      <c r="LN717" s="3"/>
      <c r="LO717" s="3"/>
      <c r="LP717" s="3"/>
      <c r="LQ717" s="3"/>
      <c r="LR717" s="3"/>
      <c r="LS717" s="3"/>
      <c r="LT717" s="3"/>
      <c r="LU717" s="3"/>
      <c r="LV717" s="3"/>
      <c r="LW717" s="3"/>
      <c r="LX717" s="3"/>
      <c r="LY717" s="3"/>
      <c r="LZ717" s="3"/>
      <c r="MA717" s="3"/>
      <c r="MB717" s="3"/>
      <c r="MC717" s="3"/>
      <c r="MD717" s="3"/>
      <c r="ME717" s="3"/>
      <c r="MF717" s="3"/>
      <c r="MG717" s="3"/>
      <c r="MH717" s="3"/>
      <c r="MI717" s="3"/>
    </row>
    <row r="718" spans="1:347"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c r="HX718" s="3"/>
      <c r="HY718" s="3"/>
      <c r="HZ718" s="3"/>
      <c r="IA718" s="3"/>
      <c r="IB718" s="3"/>
      <c r="IC718" s="3"/>
      <c r="ID718" s="3"/>
      <c r="IE718" s="3"/>
      <c r="IF718" s="3"/>
      <c r="IG718" s="3"/>
      <c r="IH718" s="3"/>
      <c r="II718" s="3"/>
      <c r="IJ718" s="3"/>
      <c r="IK718" s="3"/>
      <c r="IL718" s="3"/>
      <c r="IM718" s="3"/>
      <c r="IN718" s="3"/>
      <c r="IO718" s="3"/>
      <c r="IP718" s="3"/>
      <c r="IQ718" s="3"/>
      <c r="IR718" s="3"/>
      <c r="IS718" s="3"/>
      <c r="IT718" s="3"/>
      <c r="IU718" s="3"/>
      <c r="IV718" s="3"/>
      <c r="IW718" s="3"/>
      <c r="IX718" s="3"/>
      <c r="IY718" s="3"/>
      <c r="IZ718" s="3"/>
      <c r="JA718" s="3"/>
      <c r="JB718" s="3"/>
      <c r="JC718" s="3"/>
      <c r="JD718" s="3"/>
      <c r="JE718" s="3"/>
      <c r="JF718" s="3"/>
      <c r="JG718" s="3"/>
      <c r="JH718" s="3"/>
      <c r="JI718" s="3"/>
      <c r="JJ718" s="3"/>
      <c r="JK718" s="3"/>
      <c r="JL718" s="3"/>
      <c r="JM718" s="3"/>
      <c r="JN718" s="3"/>
      <c r="JO718" s="3"/>
      <c r="JP718" s="3"/>
      <c r="JQ718" s="3"/>
      <c r="JR718" s="3"/>
      <c r="JS718" s="3"/>
      <c r="JT718" s="3"/>
      <c r="JU718" s="3"/>
      <c r="JV718" s="3"/>
      <c r="JW718" s="3"/>
      <c r="JX718" s="3"/>
      <c r="JY718" s="3"/>
      <c r="JZ718" s="3"/>
      <c r="KA718" s="3"/>
      <c r="KB718" s="3"/>
      <c r="KC718" s="3"/>
      <c r="KD718" s="3"/>
      <c r="KE718" s="3"/>
      <c r="KF718" s="3"/>
      <c r="KG718" s="3"/>
      <c r="KH718" s="3"/>
      <c r="KI718" s="3"/>
      <c r="KJ718" s="3"/>
      <c r="KK718" s="3"/>
      <c r="KL718" s="3"/>
      <c r="KM718" s="3"/>
      <c r="KN718" s="3"/>
      <c r="KO718" s="3"/>
      <c r="KP718" s="3"/>
      <c r="KQ718" s="3"/>
      <c r="KR718" s="3"/>
      <c r="KS718" s="3"/>
      <c r="KT718" s="3"/>
      <c r="KU718" s="3"/>
      <c r="KV718" s="3"/>
      <c r="KW718" s="3"/>
      <c r="KX718" s="3"/>
      <c r="KY718" s="3"/>
      <c r="KZ718" s="3"/>
      <c r="LA718" s="3"/>
      <c r="LB718" s="3"/>
      <c r="LC718" s="3"/>
      <c r="LD718" s="3"/>
      <c r="LE718" s="3"/>
      <c r="LF718" s="3"/>
      <c r="LG718" s="3"/>
      <c r="LH718" s="3"/>
      <c r="LI718" s="3"/>
      <c r="LJ718" s="3"/>
      <c r="LK718" s="3"/>
      <c r="LL718" s="3"/>
      <c r="LM718" s="3"/>
      <c r="LN718" s="3"/>
      <c r="LO718" s="3"/>
      <c r="LP718" s="3"/>
      <c r="LQ718" s="3"/>
      <c r="LR718" s="3"/>
      <c r="LS718" s="3"/>
      <c r="LT718" s="3"/>
      <c r="LU718" s="3"/>
      <c r="LV718" s="3"/>
      <c r="LW718" s="3"/>
      <c r="LX718" s="3"/>
      <c r="LY718" s="3"/>
      <c r="LZ718" s="3"/>
      <c r="MA718" s="3"/>
      <c r="MB718" s="3"/>
      <c r="MC718" s="3"/>
      <c r="MD718" s="3"/>
      <c r="ME718" s="3"/>
      <c r="MF718" s="3"/>
      <c r="MG718" s="3"/>
      <c r="MH718" s="3"/>
      <c r="MI718" s="3"/>
    </row>
    <row r="719" spans="1:347"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c r="HX719" s="3"/>
      <c r="HY719" s="3"/>
      <c r="HZ719" s="3"/>
      <c r="IA719" s="3"/>
      <c r="IB719" s="3"/>
      <c r="IC719" s="3"/>
      <c r="ID719" s="3"/>
      <c r="IE719" s="3"/>
      <c r="IF719" s="3"/>
      <c r="IG719" s="3"/>
      <c r="IH719" s="3"/>
      <c r="II719" s="3"/>
      <c r="IJ719" s="3"/>
      <c r="IK719" s="3"/>
      <c r="IL719" s="3"/>
      <c r="IM719" s="3"/>
      <c r="IN719" s="3"/>
      <c r="IO719" s="3"/>
      <c r="IP719" s="3"/>
      <c r="IQ719" s="3"/>
      <c r="IR719" s="3"/>
      <c r="IS719" s="3"/>
      <c r="IT719" s="3"/>
      <c r="IU719" s="3"/>
      <c r="IV719" s="3"/>
      <c r="IW719" s="3"/>
      <c r="IX719" s="3"/>
      <c r="IY719" s="3"/>
      <c r="IZ719" s="3"/>
      <c r="JA719" s="3"/>
      <c r="JB719" s="3"/>
      <c r="JC719" s="3"/>
      <c r="JD719" s="3"/>
      <c r="JE719" s="3"/>
      <c r="JF719" s="3"/>
      <c r="JG719" s="3"/>
      <c r="JH719" s="3"/>
      <c r="JI719" s="3"/>
      <c r="JJ719" s="3"/>
      <c r="JK719" s="3"/>
      <c r="JL719" s="3"/>
      <c r="JM719" s="3"/>
      <c r="JN719" s="3"/>
      <c r="JO719" s="3"/>
      <c r="JP719" s="3"/>
      <c r="JQ719" s="3"/>
      <c r="JR719" s="3"/>
      <c r="JS719" s="3"/>
      <c r="JT719" s="3"/>
      <c r="JU719" s="3"/>
      <c r="JV719" s="3"/>
      <c r="JW719" s="3"/>
      <c r="JX719" s="3"/>
      <c r="JY719" s="3"/>
      <c r="JZ719" s="3"/>
      <c r="KA719" s="3"/>
      <c r="KB719" s="3"/>
      <c r="KC719" s="3"/>
      <c r="KD719" s="3"/>
      <c r="KE719" s="3"/>
      <c r="KF719" s="3"/>
      <c r="KG719" s="3"/>
      <c r="KH719" s="3"/>
      <c r="KI719" s="3"/>
      <c r="KJ719" s="3"/>
      <c r="KK719" s="3"/>
      <c r="KL719" s="3"/>
      <c r="KM719" s="3"/>
      <c r="KN719" s="3"/>
      <c r="KO719" s="3"/>
      <c r="KP719" s="3"/>
      <c r="KQ719" s="3"/>
      <c r="KR719" s="3"/>
      <c r="KS719" s="3"/>
      <c r="KT719" s="3"/>
      <c r="KU719" s="3"/>
      <c r="KV719" s="3"/>
      <c r="KW719" s="3"/>
      <c r="KX719" s="3"/>
      <c r="KY719" s="3"/>
      <c r="KZ719" s="3"/>
      <c r="LA719" s="3"/>
      <c r="LB719" s="3"/>
      <c r="LC719" s="3"/>
      <c r="LD719" s="3"/>
      <c r="LE719" s="3"/>
      <c r="LF719" s="3"/>
      <c r="LG719" s="3"/>
      <c r="LH719" s="3"/>
      <c r="LI719" s="3"/>
      <c r="LJ719" s="3"/>
      <c r="LK719" s="3"/>
      <c r="LL719" s="3"/>
      <c r="LM719" s="3"/>
      <c r="LN719" s="3"/>
      <c r="LO719" s="3"/>
      <c r="LP719" s="3"/>
      <c r="LQ719" s="3"/>
      <c r="LR719" s="3"/>
      <c r="LS719" s="3"/>
      <c r="LT719" s="3"/>
      <c r="LU719" s="3"/>
      <c r="LV719" s="3"/>
      <c r="LW719" s="3"/>
      <c r="LX719" s="3"/>
      <c r="LY719" s="3"/>
      <c r="LZ719" s="3"/>
      <c r="MA719" s="3"/>
      <c r="MB719" s="3"/>
      <c r="MC719" s="3"/>
      <c r="MD719" s="3"/>
      <c r="ME719" s="3"/>
      <c r="MF719" s="3"/>
      <c r="MG719" s="3"/>
      <c r="MH719" s="3"/>
      <c r="MI719" s="3"/>
    </row>
    <row r="720" spans="1:347"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c r="HX720" s="3"/>
      <c r="HY720" s="3"/>
      <c r="HZ720" s="3"/>
      <c r="IA720" s="3"/>
      <c r="IB720" s="3"/>
      <c r="IC720" s="3"/>
      <c r="ID720" s="3"/>
      <c r="IE720" s="3"/>
      <c r="IF720" s="3"/>
      <c r="IG720" s="3"/>
      <c r="IH720" s="3"/>
      <c r="II720" s="3"/>
      <c r="IJ720" s="3"/>
      <c r="IK720" s="3"/>
      <c r="IL720" s="3"/>
      <c r="IM720" s="3"/>
      <c r="IN720" s="3"/>
      <c r="IO720" s="3"/>
      <c r="IP720" s="3"/>
      <c r="IQ720" s="3"/>
      <c r="IR720" s="3"/>
      <c r="IS720" s="3"/>
      <c r="IT720" s="3"/>
      <c r="IU720" s="3"/>
      <c r="IV720" s="3"/>
      <c r="IW720" s="3"/>
      <c r="IX720" s="3"/>
      <c r="IY720" s="3"/>
      <c r="IZ720" s="3"/>
      <c r="JA720" s="3"/>
      <c r="JB720" s="3"/>
      <c r="JC720" s="3"/>
      <c r="JD720" s="3"/>
      <c r="JE720" s="3"/>
      <c r="JF720" s="3"/>
      <c r="JG720" s="3"/>
      <c r="JH720" s="3"/>
      <c r="JI720" s="3"/>
      <c r="JJ720" s="3"/>
      <c r="JK720" s="3"/>
      <c r="JL720" s="3"/>
      <c r="JM720" s="3"/>
      <c r="JN720" s="3"/>
      <c r="JO720" s="3"/>
      <c r="JP720" s="3"/>
      <c r="JQ720" s="3"/>
      <c r="JR720" s="3"/>
      <c r="JS720" s="3"/>
      <c r="JT720" s="3"/>
      <c r="JU720" s="3"/>
      <c r="JV720" s="3"/>
      <c r="JW720" s="3"/>
      <c r="JX720" s="3"/>
      <c r="JY720" s="3"/>
      <c r="JZ720" s="3"/>
      <c r="KA720" s="3"/>
      <c r="KB720" s="3"/>
      <c r="KC720" s="3"/>
      <c r="KD720" s="3"/>
      <c r="KE720" s="3"/>
      <c r="KF720" s="3"/>
      <c r="KG720" s="3"/>
      <c r="KH720" s="3"/>
      <c r="KI720" s="3"/>
      <c r="KJ720" s="3"/>
      <c r="KK720" s="3"/>
      <c r="KL720" s="3"/>
      <c r="KM720" s="3"/>
      <c r="KN720" s="3"/>
      <c r="KO720" s="3"/>
      <c r="KP720" s="3"/>
      <c r="KQ720" s="3"/>
      <c r="KR720" s="3"/>
      <c r="KS720" s="3"/>
      <c r="KT720" s="3"/>
      <c r="KU720" s="3"/>
      <c r="KV720" s="3"/>
      <c r="KW720" s="3"/>
      <c r="KX720" s="3"/>
      <c r="KY720" s="3"/>
      <c r="KZ720" s="3"/>
      <c r="LA720" s="3"/>
      <c r="LB720" s="3"/>
      <c r="LC720" s="3"/>
      <c r="LD720" s="3"/>
      <c r="LE720" s="3"/>
      <c r="LF720" s="3"/>
      <c r="LG720" s="3"/>
      <c r="LH720" s="3"/>
      <c r="LI720" s="3"/>
      <c r="LJ720" s="3"/>
      <c r="LK720" s="3"/>
      <c r="LL720" s="3"/>
      <c r="LM720" s="3"/>
      <c r="LN720" s="3"/>
      <c r="LO720" s="3"/>
      <c r="LP720" s="3"/>
      <c r="LQ720" s="3"/>
      <c r="LR720" s="3"/>
      <c r="LS720" s="3"/>
      <c r="LT720" s="3"/>
      <c r="LU720" s="3"/>
      <c r="LV720" s="3"/>
      <c r="LW720" s="3"/>
      <c r="LX720" s="3"/>
      <c r="LY720" s="3"/>
      <c r="LZ720" s="3"/>
      <c r="MA720" s="3"/>
      <c r="MB720" s="3"/>
      <c r="MC720" s="3"/>
      <c r="MD720" s="3"/>
      <c r="ME720" s="3"/>
      <c r="MF720" s="3"/>
      <c r="MG720" s="3"/>
      <c r="MH720" s="3"/>
      <c r="MI720" s="3"/>
    </row>
    <row r="721" spans="1:347"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c r="HX721" s="3"/>
      <c r="HY721" s="3"/>
      <c r="HZ721" s="3"/>
      <c r="IA721" s="3"/>
      <c r="IB721" s="3"/>
      <c r="IC721" s="3"/>
      <c r="ID721" s="3"/>
      <c r="IE721" s="3"/>
      <c r="IF721" s="3"/>
      <c r="IG721" s="3"/>
      <c r="IH721" s="3"/>
      <c r="II721" s="3"/>
      <c r="IJ721" s="3"/>
      <c r="IK721" s="3"/>
      <c r="IL721" s="3"/>
      <c r="IM721" s="3"/>
      <c r="IN721" s="3"/>
      <c r="IO721" s="3"/>
      <c r="IP721" s="3"/>
      <c r="IQ721" s="3"/>
      <c r="IR721" s="3"/>
      <c r="IS721" s="3"/>
      <c r="IT721" s="3"/>
      <c r="IU721" s="3"/>
      <c r="IV721" s="3"/>
      <c r="IW721" s="3"/>
      <c r="IX721" s="3"/>
      <c r="IY721" s="3"/>
      <c r="IZ721" s="3"/>
      <c r="JA721" s="3"/>
      <c r="JB721" s="3"/>
      <c r="JC721" s="3"/>
      <c r="JD721" s="3"/>
      <c r="JE721" s="3"/>
      <c r="JF721" s="3"/>
      <c r="JG721" s="3"/>
      <c r="JH721" s="3"/>
      <c r="JI721" s="3"/>
      <c r="JJ721" s="3"/>
      <c r="JK721" s="3"/>
      <c r="JL721" s="3"/>
      <c r="JM721" s="3"/>
      <c r="JN721" s="3"/>
      <c r="JO721" s="3"/>
      <c r="JP721" s="3"/>
      <c r="JQ721" s="3"/>
      <c r="JR721" s="3"/>
      <c r="JS721" s="3"/>
      <c r="JT721" s="3"/>
      <c r="JU721" s="3"/>
      <c r="JV721" s="3"/>
      <c r="JW721" s="3"/>
      <c r="JX721" s="3"/>
      <c r="JY721" s="3"/>
      <c r="JZ721" s="3"/>
      <c r="KA721" s="3"/>
      <c r="KB721" s="3"/>
      <c r="KC721" s="3"/>
      <c r="KD721" s="3"/>
      <c r="KE721" s="3"/>
      <c r="KF721" s="3"/>
      <c r="KG721" s="3"/>
      <c r="KH721" s="3"/>
      <c r="KI721" s="3"/>
      <c r="KJ721" s="3"/>
      <c r="KK721" s="3"/>
      <c r="KL721" s="3"/>
      <c r="KM721" s="3"/>
      <c r="KN721" s="3"/>
      <c r="KO721" s="3"/>
      <c r="KP721" s="3"/>
      <c r="KQ721" s="3"/>
      <c r="KR721" s="3"/>
      <c r="KS721" s="3"/>
      <c r="KT721" s="3"/>
      <c r="KU721" s="3"/>
      <c r="KV721" s="3"/>
      <c r="KW721" s="3"/>
      <c r="KX721" s="3"/>
      <c r="KY721" s="3"/>
      <c r="KZ721" s="3"/>
      <c r="LA721" s="3"/>
      <c r="LB721" s="3"/>
      <c r="LC721" s="3"/>
      <c r="LD721" s="3"/>
      <c r="LE721" s="3"/>
      <c r="LF721" s="3"/>
      <c r="LG721" s="3"/>
      <c r="LH721" s="3"/>
      <c r="LI721" s="3"/>
      <c r="LJ721" s="3"/>
      <c r="LK721" s="3"/>
      <c r="LL721" s="3"/>
      <c r="LM721" s="3"/>
      <c r="LN721" s="3"/>
      <c r="LO721" s="3"/>
      <c r="LP721" s="3"/>
      <c r="LQ721" s="3"/>
      <c r="LR721" s="3"/>
      <c r="LS721" s="3"/>
      <c r="LT721" s="3"/>
      <c r="LU721" s="3"/>
      <c r="LV721" s="3"/>
      <c r="LW721" s="3"/>
      <c r="LX721" s="3"/>
      <c r="LY721" s="3"/>
      <c r="LZ721" s="3"/>
      <c r="MA721" s="3"/>
      <c r="MB721" s="3"/>
      <c r="MC721" s="3"/>
      <c r="MD721" s="3"/>
      <c r="ME721" s="3"/>
      <c r="MF721" s="3"/>
      <c r="MG721" s="3"/>
      <c r="MH721" s="3"/>
      <c r="MI721" s="3"/>
    </row>
    <row r="722" spans="1:347"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c r="HX722" s="3"/>
      <c r="HY722" s="3"/>
      <c r="HZ722" s="3"/>
      <c r="IA722" s="3"/>
      <c r="IB722" s="3"/>
      <c r="IC722" s="3"/>
      <c r="ID722" s="3"/>
      <c r="IE722" s="3"/>
      <c r="IF722" s="3"/>
      <c r="IG722" s="3"/>
      <c r="IH722" s="3"/>
      <c r="II722" s="3"/>
      <c r="IJ722" s="3"/>
      <c r="IK722" s="3"/>
      <c r="IL722" s="3"/>
      <c r="IM722" s="3"/>
      <c r="IN722" s="3"/>
      <c r="IO722" s="3"/>
      <c r="IP722" s="3"/>
      <c r="IQ722" s="3"/>
      <c r="IR722" s="3"/>
      <c r="IS722" s="3"/>
      <c r="IT722" s="3"/>
      <c r="IU722" s="3"/>
      <c r="IV722" s="3"/>
      <c r="IW722" s="3"/>
      <c r="IX722" s="3"/>
      <c r="IY722" s="3"/>
      <c r="IZ722" s="3"/>
      <c r="JA722" s="3"/>
      <c r="JB722" s="3"/>
      <c r="JC722" s="3"/>
      <c r="JD722" s="3"/>
      <c r="JE722" s="3"/>
      <c r="JF722" s="3"/>
      <c r="JG722" s="3"/>
      <c r="JH722" s="3"/>
      <c r="JI722" s="3"/>
      <c r="JJ722" s="3"/>
      <c r="JK722" s="3"/>
      <c r="JL722" s="3"/>
      <c r="JM722" s="3"/>
      <c r="JN722" s="3"/>
      <c r="JO722" s="3"/>
      <c r="JP722" s="3"/>
      <c r="JQ722" s="3"/>
      <c r="JR722" s="3"/>
      <c r="JS722" s="3"/>
      <c r="JT722" s="3"/>
      <c r="JU722" s="3"/>
      <c r="JV722" s="3"/>
      <c r="JW722" s="3"/>
      <c r="JX722" s="3"/>
      <c r="JY722" s="3"/>
      <c r="JZ722" s="3"/>
      <c r="KA722" s="3"/>
      <c r="KB722" s="3"/>
      <c r="KC722" s="3"/>
      <c r="KD722" s="3"/>
      <c r="KE722" s="3"/>
      <c r="KF722" s="3"/>
      <c r="KG722" s="3"/>
      <c r="KH722" s="3"/>
      <c r="KI722" s="3"/>
      <c r="KJ722" s="3"/>
      <c r="KK722" s="3"/>
      <c r="KL722" s="3"/>
      <c r="KM722" s="3"/>
      <c r="KN722" s="3"/>
      <c r="KO722" s="3"/>
      <c r="KP722" s="3"/>
      <c r="KQ722" s="3"/>
      <c r="KR722" s="3"/>
      <c r="KS722" s="3"/>
      <c r="KT722" s="3"/>
      <c r="KU722" s="3"/>
      <c r="KV722" s="3"/>
      <c r="KW722" s="3"/>
      <c r="KX722" s="3"/>
      <c r="KY722" s="3"/>
      <c r="KZ722" s="3"/>
      <c r="LA722" s="3"/>
      <c r="LB722" s="3"/>
      <c r="LC722" s="3"/>
      <c r="LD722" s="3"/>
      <c r="LE722" s="3"/>
      <c r="LF722" s="3"/>
      <c r="LG722" s="3"/>
      <c r="LH722" s="3"/>
      <c r="LI722" s="3"/>
      <c r="LJ722" s="3"/>
      <c r="LK722" s="3"/>
      <c r="LL722" s="3"/>
      <c r="LM722" s="3"/>
      <c r="LN722" s="3"/>
      <c r="LO722" s="3"/>
      <c r="LP722" s="3"/>
      <c r="LQ722" s="3"/>
      <c r="LR722" s="3"/>
      <c r="LS722" s="3"/>
      <c r="LT722" s="3"/>
      <c r="LU722" s="3"/>
      <c r="LV722" s="3"/>
      <c r="LW722" s="3"/>
      <c r="LX722" s="3"/>
      <c r="LY722" s="3"/>
      <c r="LZ722" s="3"/>
      <c r="MA722" s="3"/>
      <c r="MB722" s="3"/>
      <c r="MC722" s="3"/>
      <c r="MD722" s="3"/>
      <c r="ME722" s="3"/>
      <c r="MF722" s="3"/>
      <c r="MG722" s="3"/>
      <c r="MH722" s="3"/>
      <c r="MI722" s="3"/>
    </row>
    <row r="723" spans="1:347"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c r="HX723" s="3"/>
      <c r="HY723" s="3"/>
      <c r="HZ723" s="3"/>
      <c r="IA723" s="3"/>
      <c r="IB723" s="3"/>
      <c r="IC723" s="3"/>
      <c r="ID723" s="3"/>
      <c r="IE723" s="3"/>
      <c r="IF723" s="3"/>
      <c r="IG723" s="3"/>
      <c r="IH723" s="3"/>
      <c r="II723" s="3"/>
      <c r="IJ723" s="3"/>
      <c r="IK723" s="3"/>
      <c r="IL723" s="3"/>
      <c r="IM723" s="3"/>
      <c r="IN723" s="3"/>
      <c r="IO723" s="3"/>
      <c r="IP723" s="3"/>
      <c r="IQ723" s="3"/>
      <c r="IR723" s="3"/>
      <c r="IS723" s="3"/>
      <c r="IT723" s="3"/>
      <c r="IU723" s="3"/>
      <c r="IV723" s="3"/>
      <c r="IW723" s="3"/>
      <c r="IX723" s="3"/>
      <c r="IY723" s="3"/>
      <c r="IZ723" s="3"/>
      <c r="JA723" s="3"/>
      <c r="JB723" s="3"/>
      <c r="JC723" s="3"/>
      <c r="JD723" s="3"/>
      <c r="JE723" s="3"/>
      <c r="JF723" s="3"/>
      <c r="JG723" s="3"/>
      <c r="JH723" s="3"/>
      <c r="JI723" s="3"/>
      <c r="JJ723" s="3"/>
      <c r="JK723" s="3"/>
      <c r="JL723" s="3"/>
      <c r="JM723" s="3"/>
      <c r="JN723" s="3"/>
      <c r="JO723" s="3"/>
      <c r="JP723" s="3"/>
      <c r="JQ723" s="3"/>
      <c r="JR723" s="3"/>
      <c r="JS723" s="3"/>
      <c r="JT723" s="3"/>
      <c r="JU723" s="3"/>
      <c r="JV723" s="3"/>
      <c r="JW723" s="3"/>
      <c r="JX723" s="3"/>
      <c r="JY723" s="3"/>
      <c r="JZ723" s="3"/>
      <c r="KA723" s="3"/>
      <c r="KB723" s="3"/>
      <c r="KC723" s="3"/>
      <c r="KD723" s="3"/>
      <c r="KE723" s="3"/>
      <c r="KF723" s="3"/>
      <c r="KG723" s="3"/>
      <c r="KH723" s="3"/>
      <c r="KI723" s="3"/>
      <c r="KJ723" s="3"/>
      <c r="KK723" s="3"/>
      <c r="KL723" s="3"/>
      <c r="KM723" s="3"/>
      <c r="KN723" s="3"/>
      <c r="KO723" s="3"/>
      <c r="KP723" s="3"/>
      <c r="KQ723" s="3"/>
      <c r="KR723" s="3"/>
      <c r="KS723" s="3"/>
      <c r="KT723" s="3"/>
      <c r="KU723" s="3"/>
      <c r="KV723" s="3"/>
      <c r="KW723" s="3"/>
      <c r="KX723" s="3"/>
      <c r="KY723" s="3"/>
      <c r="KZ723" s="3"/>
      <c r="LA723" s="3"/>
      <c r="LB723" s="3"/>
      <c r="LC723" s="3"/>
      <c r="LD723" s="3"/>
      <c r="LE723" s="3"/>
      <c r="LF723" s="3"/>
      <c r="LG723" s="3"/>
      <c r="LH723" s="3"/>
      <c r="LI723" s="3"/>
      <c r="LJ723" s="3"/>
      <c r="LK723" s="3"/>
      <c r="LL723" s="3"/>
      <c r="LM723" s="3"/>
      <c r="LN723" s="3"/>
      <c r="LO723" s="3"/>
      <c r="LP723" s="3"/>
      <c r="LQ723" s="3"/>
      <c r="LR723" s="3"/>
      <c r="LS723" s="3"/>
      <c r="LT723" s="3"/>
      <c r="LU723" s="3"/>
      <c r="LV723" s="3"/>
      <c r="LW723" s="3"/>
      <c r="LX723" s="3"/>
      <c r="LY723" s="3"/>
      <c r="LZ723" s="3"/>
      <c r="MA723" s="3"/>
      <c r="MB723" s="3"/>
      <c r="MC723" s="3"/>
      <c r="MD723" s="3"/>
      <c r="ME723" s="3"/>
      <c r="MF723" s="3"/>
      <c r="MG723" s="3"/>
      <c r="MH723" s="3"/>
      <c r="MI723" s="3"/>
    </row>
    <row r="724" spans="1:347"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c r="HX724" s="3"/>
      <c r="HY724" s="3"/>
      <c r="HZ724" s="3"/>
      <c r="IA724" s="3"/>
      <c r="IB724" s="3"/>
      <c r="IC724" s="3"/>
      <c r="ID724" s="3"/>
      <c r="IE724" s="3"/>
      <c r="IF724" s="3"/>
      <c r="IG724" s="3"/>
      <c r="IH724" s="3"/>
      <c r="II724" s="3"/>
      <c r="IJ724" s="3"/>
      <c r="IK724" s="3"/>
      <c r="IL724" s="3"/>
      <c r="IM724" s="3"/>
      <c r="IN724" s="3"/>
      <c r="IO724" s="3"/>
      <c r="IP724" s="3"/>
      <c r="IQ724" s="3"/>
      <c r="IR724" s="3"/>
      <c r="IS724" s="3"/>
      <c r="IT724" s="3"/>
      <c r="IU724" s="3"/>
      <c r="IV724" s="3"/>
      <c r="IW724" s="3"/>
      <c r="IX724" s="3"/>
      <c r="IY724" s="3"/>
      <c r="IZ724" s="3"/>
      <c r="JA724" s="3"/>
      <c r="JB724" s="3"/>
      <c r="JC724" s="3"/>
      <c r="JD724" s="3"/>
      <c r="JE724" s="3"/>
      <c r="JF724" s="3"/>
      <c r="JG724" s="3"/>
      <c r="JH724" s="3"/>
      <c r="JI724" s="3"/>
      <c r="JJ724" s="3"/>
      <c r="JK724" s="3"/>
      <c r="JL724" s="3"/>
      <c r="JM724" s="3"/>
      <c r="JN724" s="3"/>
      <c r="JO724" s="3"/>
      <c r="JP724" s="3"/>
      <c r="JQ724" s="3"/>
      <c r="JR724" s="3"/>
      <c r="JS724" s="3"/>
      <c r="JT724" s="3"/>
      <c r="JU724" s="3"/>
      <c r="JV724" s="3"/>
      <c r="JW724" s="3"/>
      <c r="JX724" s="3"/>
      <c r="JY724" s="3"/>
      <c r="JZ724" s="3"/>
      <c r="KA724" s="3"/>
      <c r="KB724" s="3"/>
      <c r="KC724" s="3"/>
      <c r="KD724" s="3"/>
      <c r="KE724" s="3"/>
      <c r="KF724" s="3"/>
      <c r="KG724" s="3"/>
      <c r="KH724" s="3"/>
      <c r="KI724" s="3"/>
      <c r="KJ724" s="3"/>
      <c r="KK724" s="3"/>
      <c r="KL724" s="3"/>
      <c r="KM724" s="3"/>
      <c r="KN724" s="3"/>
      <c r="KO724" s="3"/>
      <c r="KP724" s="3"/>
      <c r="KQ724" s="3"/>
      <c r="KR724" s="3"/>
      <c r="KS724" s="3"/>
      <c r="KT724" s="3"/>
      <c r="KU724" s="3"/>
      <c r="KV724" s="3"/>
      <c r="KW724" s="3"/>
      <c r="KX724" s="3"/>
      <c r="KY724" s="3"/>
      <c r="KZ724" s="3"/>
      <c r="LA724" s="3"/>
      <c r="LB724" s="3"/>
      <c r="LC724" s="3"/>
      <c r="LD724" s="3"/>
      <c r="LE724" s="3"/>
      <c r="LF724" s="3"/>
      <c r="LG724" s="3"/>
      <c r="LH724" s="3"/>
      <c r="LI724" s="3"/>
      <c r="LJ724" s="3"/>
      <c r="LK724" s="3"/>
      <c r="LL724" s="3"/>
      <c r="LM724" s="3"/>
      <c r="LN724" s="3"/>
      <c r="LO724" s="3"/>
      <c r="LP724" s="3"/>
      <c r="LQ724" s="3"/>
      <c r="LR724" s="3"/>
      <c r="LS724" s="3"/>
      <c r="LT724" s="3"/>
      <c r="LU724" s="3"/>
      <c r="LV724" s="3"/>
      <c r="LW724" s="3"/>
      <c r="LX724" s="3"/>
      <c r="LY724" s="3"/>
      <c r="LZ724" s="3"/>
      <c r="MA724" s="3"/>
      <c r="MB724" s="3"/>
      <c r="MC724" s="3"/>
      <c r="MD724" s="3"/>
      <c r="ME724" s="3"/>
      <c r="MF724" s="3"/>
      <c r="MG724" s="3"/>
      <c r="MH724" s="3"/>
      <c r="MI724" s="3"/>
    </row>
    <row r="725" spans="1:347"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c r="IW725" s="3"/>
      <c r="IX725" s="3"/>
      <c r="IY725" s="3"/>
      <c r="IZ725" s="3"/>
      <c r="JA725" s="3"/>
      <c r="JB725" s="3"/>
      <c r="JC725" s="3"/>
      <c r="JD725" s="3"/>
      <c r="JE725" s="3"/>
      <c r="JF725" s="3"/>
      <c r="JG725" s="3"/>
      <c r="JH725" s="3"/>
      <c r="JI725" s="3"/>
      <c r="JJ725" s="3"/>
      <c r="JK725" s="3"/>
      <c r="JL725" s="3"/>
      <c r="JM725" s="3"/>
      <c r="JN725" s="3"/>
      <c r="JO725" s="3"/>
      <c r="JP725" s="3"/>
      <c r="JQ725" s="3"/>
      <c r="JR725" s="3"/>
      <c r="JS725" s="3"/>
      <c r="JT725" s="3"/>
      <c r="JU725" s="3"/>
      <c r="JV725" s="3"/>
      <c r="JW725" s="3"/>
      <c r="JX725" s="3"/>
      <c r="JY725" s="3"/>
      <c r="JZ725" s="3"/>
      <c r="KA725" s="3"/>
      <c r="KB725" s="3"/>
      <c r="KC725" s="3"/>
      <c r="KD725" s="3"/>
      <c r="KE725" s="3"/>
      <c r="KF725" s="3"/>
      <c r="KG725" s="3"/>
      <c r="KH725" s="3"/>
      <c r="KI725" s="3"/>
      <c r="KJ725" s="3"/>
      <c r="KK725" s="3"/>
      <c r="KL725" s="3"/>
      <c r="KM725" s="3"/>
      <c r="KN725" s="3"/>
      <c r="KO725" s="3"/>
      <c r="KP725" s="3"/>
      <c r="KQ725" s="3"/>
      <c r="KR725" s="3"/>
      <c r="KS725" s="3"/>
      <c r="KT725" s="3"/>
      <c r="KU725" s="3"/>
      <c r="KV725" s="3"/>
      <c r="KW725" s="3"/>
      <c r="KX725" s="3"/>
      <c r="KY725" s="3"/>
      <c r="KZ725" s="3"/>
      <c r="LA725" s="3"/>
      <c r="LB725" s="3"/>
      <c r="LC725" s="3"/>
      <c r="LD725" s="3"/>
      <c r="LE725" s="3"/>
      <c r="LF725" s="3"/>
      <c r="LG725" s="3"/>
      <c r="LH725" s="3"/>
      <c r="LI725" s="3"/>
      <c r="LJ725" s="3"/>
      <c r="LK725" s="3"/>
      <c r="LL725" s="3"/>
      <c r="LM725" s="3"/>
      <c r="LN725" s="3"/>
      <c r="LO725" s="3"/>
      <c r="LP725" s="3"/>
      <c r="LQ725" s="3"/>
      <c r="LR725" s="3"/>
      <c r="LS725" s="3"/>
      <c r="LT725" s="3"/>
      <c r="LU725" s="3"/>
      <c r="LV725" s="3"/>
      <c r="LW725" s="3"/>
      <c r="LX725" s="3"/>
      <c r="LY725" s="3"/>
      <c r="LZ725" s="3"/>
      <c r="MA725" s="3"/>
      <c r="MB725" s="3"/>
      <c r="MC725" s="3"/>
      <c r="MD725" s="3"/>
      <c r="ME725" s="3"/>
      <c r="MF725" s="3"/>
      <c r="MG725" s="3"/>
      <c r="MH725" s="3"/>
      <c r="MI725" s="3"/>
    </row>
    <row r="726" spans="1:347"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c r="IW726" s="3"/>
      <c r="IX726" s="3"/>
      <c r="IY726" s="3"/>
      <c r="IZ726" s="3"/>
      <c r="JA726" s="3"/>
      <c r="JB726" s="3"/>
      <c r="JC726" s="3"/>
      <c r="JD726" s="3"/>
      <c r="JE726" s="3"/>
      <c r="JF726" s="3"/>
      <c r="JG726" s="3"/>
      <c r="JH726" s="3"/>
      <c r="JI726" s="3"/>
      <c r="JJ726" s="3"/>
      <c r="JK726" s="3"/>
      <c r="JL726" s="3"/>
      <c r="JM726" s="3"/>
      <c r="JN726" s="3"/>
      <c r="JO726" s="3"/>
      <c r="JP726" s="3"/>
      <c r="JQ726" s="3"/>
      <c r="JR726" s="3"/>
      <c r="JS726" s="3"/>
      <c r="JT726" s="3"/>
      <c r="JU726" s="3"/>
      <c r="JV726" s="3"/>
      <c r="JW726" s="3"/>
      <c r="JX726" s="3"/>
      <c r="JY726" s="3"/>
      <c r="JZ726" s="3"/>
      <c r="KA726" s="3"/>
      <c r="KB726" s="3"/>
      <c r="KC726" s="3"/>
      <c r="KD726" s="3"/>
      <c r="KE726" s="3"/>
      <c r="KF726" s="3"/>
      <c r="KG726" s="3"/>
      <c r="KH726" s="3"/>
      <c r="KI726" s="3"/>
      <c r="KJ726" s="3"/>
      <c r="KK726" s="3"/>
      <c r="KL726" s="3"/>
      <c r="KM726" s="3"/>
      <c r="KN726" s="3"/>
      <c r="KO726" s="3"/>
      <c r="KP726" s="3"/>
      <c r="KQ726" s="3"/>
      <c r="KR726" s="3"/>
      <c r="KS726" s="3"/>
      <c r="KT726" s="3"/>
      <c r="KU726" s="3"/>
      <c r="KV726" s="3"/>
      <c r="KW726" s="3"/>
      <c r="KX726" s="3"/>
      <c r="KY726" s="3"/>
      <c r="KZ726" s="3"/>
      <c r="LA726" s="3"/>
      <c r="LB726" s="3"/>
      <c r="LC726" s="3"/>
      <c r="LD726" s="3"/>
      <c r="LE726" s="3"/>
      <c r="LF726" s="3"/>
      <c r="LG726" s="3"/>
      <c r="LH726" s="3"/>
      <c r="LI726" s="3"/>
      <c r="LJ726" s="3"/>
      <c r="LK726" s="3"/>
      <c r="LL726" s="3"/>
      <c r="LM726" s="3"/>
      <c r="LN726" s="3"/>
      <c r="LO726" s="3"/>
      <c r="LP726" s="3"/>
      <c r="LQ726" s="3"/>
      <c r="LR726" s="3"/>
      <c r="LS726" s="3"/>
      <c r="LT726" s="3"/>
      <c r="LU726" s="3"/>
      <c r="LV726" s="3"/>
      <c r="LW726" s="3"/>
      <c r="LX726" s="3"/>
      <c r="LY726" s="3"/>
      <c r="LZ726" s="3"/>
      <c r="MA726" s="3"/>
      <c r="MB726" s="3"/>
      <c r="MC726" s="3"/>
      <c r="MD726" s="3"/>
      <c r="ME726" s="3"/>
      <c r="MF726" s="3"/>
      <c r="MG726" s="3"/>
      <c r="MH726" s="3"/>
      <c r="MI726" s="3"/>
    </row>
    <row r="727" spans="1:347"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c r="HX727" s="3"/>
      <c r="HY727" s="3"/>
      <c r="HZ727" s="3"/>
      <c r="IA727" s="3"/>
      <c r="IB727" s="3"/>
      <c r="IC727" s="3"/>
      <c r="ID727" s="3"/>
      <c r="IE727" s="3"/>
      <c r="IF727" s="3"/>
      <c r="IG727" s="3"/>
      <c r="IH727" s="3"/>
      <c r="II727" s="3"/>
      <c r="IJ727" s="3"/>
      <c r="IK727" s="3"/>
      <c r="IL727" s="3"/>
      <c r="IM727" s="3"/>
      <c r="IN727" s="3"/>
      <c r="IO727" s="3"/>
      <c r="IP727" s="3"/>
      <c r="IQ727" s="3"/>
      <c r="IR727" s="3"/>
      <c r="IS727" s="3"/>
      <c r="IT727" s="3"/>
      <c r="IU727" s="3"/>
      <c r="IV727" s="3"/>
      <c r="IW727" s="3"/>
      <c r="IX727" s="3"/>
      <c r="IY727" s="3"/>
      <c r="IZ727" s="3"/>
      <c r="JA727" s="3"/>
      <c r="JB727" s="3"/>
      <c r="JC727" s="3"/>
      <c r="JD727" s="3"/>
      <c r="JE727" s="3"/>
      <c r="JF727" s="3"/>
      <c r="JG727" s="3"/>
      <c r="JH727" s="3"/>
      <c r="JI727" s="3"/>
      <c r="JJ727" s="3"/>
      <c r="JK727" s="3"/>
      <c r="JL727" s="3"/>
      <c r="JM727" s="3"/>
      <c r="JN727" s="3"/>
      <c r="JO727" s="3"/>
      <c r="JP727" s="3"/>
      <c r="JQ727" s="3"/>
      <c r="JR727" s="3"/>
      <c r="JS727" s="3"/>
      <c r="JT727" s="3"/>
      <c r="JU727" s="3"/>
      <c r="JV727" s="3"/>
      <c r="JW727" s="3"/>
      <c r="JX727" s="3"/>
      <c r="JY727" s="3"/>
      <c r="JZ727" s="3"/>
      <c r="KA727" s="3"/>
      <c r="KB727" s="3"/>
      <c r="KC727" s="3"/>
      <c r="KD727" s="3"/>
      <c r="KE727" s="3"/>
      <c r="KF727" s="3"/>
      <c r="KG727" s="3"/>
      <c r="KH727" s="3"/>
      <c r="KI727" s="3"/>
      <c r="KJ727" s="3"/>
      <c r="KK727" s="3"/>
      <c r="KL727" s="3"/>
      <c r="KM727" s="3"/>
      <c r="KN727" s="3"/>
      <c r="KO727" s="3"/>
      <c r="KP727" s="3"/>
      <c r="KQ727" s="3"/>
      <c r="KR727" s="3"/>
      <c r="KS727" s="3"/>
      <c r="KT727" s="3"/>
      <c r="KU727" s="3"/>
      <c r="KV727" s="3"/>
      <c r="KW727" s="3"/>
      <c r="KX727" s="3"/>
      <c r="KY727" s="3"/>
      <c r="KZ727" s="3"/>
      <c r="LA727" s="3"/>
      <c r="LB727" s="3"/>
      <c r="LC727" s="3"/>
      <c r="LD727" s="3"/>
      <c r="LE727" s="3"/>
      <c r="LF727" s="3"/>
      <c r="LG727" s="3"/>
      <c r="LH727" s="3"/>
      <c r="LI727" s="3"/>
      <c r="LJ727" s="3"/>
      <c r="LK727" s="3"/>
      <c r="LL727" s="3"/>
      <c r="LM727" s="3"/>
      <c r="LN727" s="3"/>
      <c r="LO727" s="3"/>
      <c r="LP727" s="3"/>
      <c r="LQ727" s="3"/>
      <c r="LR727" s="3"/>
      <c r="LS727" s="3"/>
      <c r="LT727" s="3"/>
      <c r="LU727" s="3"/>
      <c r="LV727" s="3"/>
      <c r="LW727" s="3"/>
      <c r="LX727" s="3"/>
      <c r="LY727" s="3"/>
      <c r="LZ727" s="3"/>
      <c r="MA727" s="3"/>
      <c r="MB727" s="3"/>
      <c r="MC727" s="3"/>
      <c r="MD727" s="3"/>
      <c r="ME727" s="3"/>
      <c r="MF727" s="3"/>
      <c r="MG727" s="3"/>
      <c r="MH727" s="3"/>
      <c r="MI727" s="3"/>
    </row>
    <row r="728" spans="1:347"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c r="HX728" s="3"/>
      <c r="HY728" s="3"/>
      <c r="HZ728" s="3"/>
      <c r="IA728" s="3"/>
      <c r="IB728" s="3"/>
      <c r="IC728" s="3"/>
      <c r="ID728" s="3"/>
      <c r="IE728" s="3"/>
      <c r="IF728" s="3"/>
      <c r="IG728" s="3"/>
      <c r="IH728" s="3"/>
      <c r="II728" s="3"/>
      <c r="IJ728" s="3"/>
      <c r="IK728" s="3"/>
      <c r="IL728" s="3"/>
      <c r="IM728" s="3"/>
      <c r="IN728" s="3"/>
      <c r="IO728" s="3"/>
      <c r="IP728" s="3"/>
      <c r="IQ728" s="3"/>
      <c r="IR728" s="3"/>
      <c r="IS728" s="3"/>
      <c r="IT728" s="3"/>
      <c r="IU728" s="3"/>
      <c r="IV728" s="3"/>
      <c r="IW728" s="3"/>
      <c r="IX728" s="3"/>
      <c r="IY728" s="3"/>
      <c r="IZ728" s="3"/>
      <c r="JA728" s="3"/>
      <c r="JB728" s="3"/>
      <c r="JC728" s="3"/>
      <c r="JD728" s="3"/>
      <c r="JE728" s="3"/>
      <c r="JF728" s="3"/>
      <c r="JG728" s="3"/>
      <c r="JH728" s="3"/>
      <c r="JI728" s="3"/>
      <c r="JJ728" s="3"/>
      <c r="JK728" s="3"/>
      <c r="JL728" s="3"/>
      <c r="JM728" s="3"/>
      <c r="JN728" s="3"/>
      <c r="JO728" s="3"/>
      <c r="JP728" s="3"/>
      <c r="JQ728" s="3"/>
      <c r="JR728" s="3"/>
      <c r="JS728" s="3"/>
      <c r="JT728" s="3"/>
      <c r="JU728" s="3"/>
      <c r="JV728" s="3"/>
      <c r="JW728" s="3"/>
      <c r="JX728" s="3"/>
      <c r="JY728" s="3"/>
      <c r="JZ728" s="3"/>
      <c r="KA728" s="3"/>
      <c r="KB728" s="3"/>
      <c r="KC728" s="3"/>
      <c r="KD728" s="3"/>
      <c r="KE728" s="3"/>
      <c r="KF728" s="3"/>
      <c r="KG728" s="3"/>
      <c r="KH728" s="3"/>
      <c r="KI728" s="3"/>
      <c r="KJ728" s="3"/>
      <c r="KK728" s="3"/>
      <c r="KL728" s="3"/>
      <c r="KM728" s="3"/>
      <c r="KN728" s="3"/>
      <c r="KO728" s="3"/>
      <c r="KP728" s="3"/>
      <c r="KQ728" s="3"/>
      <c r="KR728" s="3"/>
      <c r="KS728" s="3"/>
      <c r="KT728" s="3"/>
      <c r="KU728" s="3"/>
      <c r="KV728" s="3"/>
      <c r="KW728" s="3"/>
      <c r="KX728" s="3"/>
      <c r="KY728" s="3"/>
      <c r="KZ728" s="3"/>
      <c r="LA728" s="3"/>
      <c r="LB728" s="3"/>
      <c r="LC728" s="3"/>
      <c r="LD728" s="3"/>
      <c r="LE728" s="3"/>
      <c r="LF728" s="3"/>
      <c r="LG728" s="3"/>
      <c r="LH728" s="3"/>
      <c r="LI728" s="3"/>
      <c r="LJ728" s="3"/>
      <c r="LK728" s="3"/>
      <c r="LL728" s="3"/>
      <c r="LM728" s="3"/>
      <c r="LN728" s="3"/>
      <c r="LO728" s="3"/>
      <c r="LP728" s="3"/>
      <c r="LQ728" s="3"/>
      <c r="LR728" s="3"/>
      <c r="LS728" s="3"/>
      <c r="LT728" s="3"/>
      <c r="LU728" s="3"/>
      <c r="LV728" s="3"/>
      <c r="LW728" s="3"/>
      <c r="LX728" s="3"/>
      <c r="LY728" s="3"/>
      <c r="LZ728" s="3"/>
      <c r="MA728" s="3"/>
      <c r="MB728" s="3"/>
      <c r="MC728" s="3"/>
      <c r="MD728" s="3"/>
      <c r="ME728" s="3"/>
      <c r="MF728" s="3"/>
      <c r="MG728" s="3"/>
      <c r="MH728" s="3"/>
      <c r="MI728" s="3"/>
    </row>
    <row r="729" spans="1:347"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c r="HX729" s="3"/>
      <c r="HY729" s="3"/>
      <c r="HZ729" s="3"/>
      <c r="IA729" s="3"/>
      <c r="IB729" s="3"/>
      <c r="IC729" s="3"/>
      <c r="ID729" s="3"/>
      <c r="IE729" s="3"/>
      <c r="IF729" s="3"/>
      <c r="IG729" s="3"/>
      <c r="IH729" s="3"/>
      <c r="II729" s="3"/>
      <c r="IJ729" s="3"/>
      <c r="IK729" s="3"/>
      <c r="IL729" s="3"/>
      <c r="IM729" s="3"/>
      <c r="IN729" s="3"/>
      <c r="IO729" s="3"/>
      <c r="IP729" s="3"/>
      <c r="IQ729" s="3"/>
      <c r="IR729" s="3"/>
      <c r="IS729" s="3"/>
      <c r="IT729" s="3"/>
      <c r="IU729" s="3"/>
      <c r="IV729" s="3"/>
      <c r="IW729" s="3"/>
      <c r="IX729" s="3"/>
      <c r="IY729" s="3"/>
      <c r="IZ729" s="3"/>
      <c r="JA729" s="3"/>
      <c r="JB729" s="3"/>
      <c r="JC729" s="3"/>
      <c r="JD729" s="3"/>
      <c r="JE729" s="3"/>
      <c r="JF729" s="3"/>
      <c r="JG729" s="3"/>
      <c r="JH729" s="3"/>
      <c r="JI729" s="3"/>
      <c r="JJ729" s="3"/>
      <c r="JK729" s="3"/>
      <c r="JL729" s="3"/>
      <c r="JM729" s="3"/>
      <c r="JN729" s="3"/>
      <c r="JO729" s="3"/>
      <c r="JP729" s="3"/>
      <c r="JQ729" s="3"/>
      <c r="JR729" s="3"/>
      <c r="JS729" s="3"/>
      <c r="JT729" s="3"/>
      <c r="JU729" s="3"/>
      <c r="JV729" s="3"/>
      <c r="JW729" s="3"/>
      <c r="JX729" s="3"/>
      <c r="JY729" s="3"/>
      <c r="JZ729" s="3"/>
      <c r="KA729" s="3"/>
      <c r="KB729" s="3"/>
      <c r="KC729" s="3"/>
      <c r="KD729" s="3"/>
      <c r="KE729" s="3"/>
      <c r="KF729" s="3"/>
      <c r="KG729" s="3"/>
      <c r="KH729" s="3"/>
      <c r="KI729" s="3"/>
      <c r="KJ729" s="3"/>
      <c r="KK729" s="3"/>
      <c r="KL729" s="3"/>
      <c r="KM729" s="3"/>
      <c r="KN729" s="3"/>
      <c r="KO729" s="3"/>
      <c r="KP729" s="3"/>
      <c r="KQ729" s="3"/>
      <c r="KR729" s="3"/>
      <c r="KS729" s="3"/>
      <c r="KT729" s="3"/>
      <c r="KU729" s="3"/>
      <c r="KV729" s="3"/>
      <c r="KW729" s="3"/>
      <c r="KX729" s="3"/>
      <c r="KY729" s="3"/>
      <c r="KZ729" s="3"/>
      <c r="LA729" s="3"/>
      <c r="LB729" s="3"/>
      <c r="LC729" s="3"/>
      <c r="LD729" s="3"/>
      <c r="LE729" s="3"/>
      <c r="LF729" s="3"/>
      <c r="LG729" s="3"/>
      <c r="LH729" s="3"/>
      <c r="LI729" s="3"/>
      <c r="LJ729" s="3"/>
      <c r="LK729" s="3"/>
      <c r="LL729" s="3"/>
      <c r="LM729" s="3"/>
      <c r="LN729" s="3"/>
      <c r="LO729" s="3"/>
      <c r="LP729" s="3"/>
      <c r="LQ729" s="3"/>
      <c r="LR729" s="3"/>
      <c r="LS729" s="3"/>
      <c r="LT729" s="3"/>
      <c r="LU729" s="3"/>
      <c r="LV729" s="3"/>
      <c r="LW729" s="3"/>
      <c r="LX729" s="3"/>
      <c r="LY729" s="3"/>
      <c r="LZ729" s="3"/>
      <c r="MA729" s="3"/>
      <c r="MB729" s="3"/>
      <c r="MC729" s="3"/>
      <c r="MD729" s="3"/>
      <c r="ME729" s="3"/>
      <c r="MF729" s="3"/>
      <c r="MG729" s="3"/>
      <c r="MH729" s="3"/>
      <c r="MI729" s="3"/>
    </row>
    <row r="730" spans="1:347"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c r="HX730" s="3"/>
      <c r="HY730" s="3"/>
      <c r="HZ730" s="3"/>
      <c r="IA730" s="3"/>
      <c r="IB730" s="3"/>
      <c r="IC730" s="3"/>
      <c r="ID730" s="3"/>
      <c r="IE730" s="3"/>
      <c r="IF730" s="3"/>
      <c r="IG730" s="3"/>
      <c r="IH730" s="3"/>
      <c r="II730" s="3"/>
      <c r="IJ730" s="3"/>
      <c r="IK730" s="3"/>
      <c r="IL730" s="3"/>
      <c r="IM730" s="3"/>
      <c r="IN730" s="3"/>
      <c r="IO730" s="3"/>
      <c r="IP730" s="3"/>
      <c r="IQ730" s="3"/>
      <c r="IR730" s="3"/>
      <c r="IS730" s="3"/>
      <c r="IT730" s="3"/>
      <c r="IU730" s="3"/>
      <c r="IV730" s="3"/>
      <c r="IW730" s="3"/>
      <c r="IX730" s="3"/>
      <c r="IY730" s="3"/>
      <c r="IZ730" s="3"/>
      <c r="JA730" s="3"/>
      <c r="JB730" s="3"/>
      <c r="JC730" s="3"/>
      <c r="JD730" s="3"/>
      <c r="JE730" s="3"/>
      <c r="JF730" s="3"/>
      <c r="JG730" s="3"/>
      <c r="JH730" s="3"/>
      <c r="JI730" s="3"/>
      <c r="JJ730" s="3"/>
      <c r="JK730" s="3"/>
      <c r="JL730" s="3"/>
      <c r="JM730" s="3"/>
      <c r="JN730" s="3"/>
      <c r="JO730" s="3"/>
      <c r="JP730" s="3"/>
      <c r="JQ730" s="3"/>
      <c r="JR730" s="3"/>
      <c r="JS730" s="3"/>
      <c r="JT730" s="3"/>
      <c r="JU730" s="3"/>
      <c r="JV730" s="3"/>
      <c r="JW730" s="3"/>
      <c r="JX730" s="3"/>
      <c r="JY730" s="3"/>
      <c r="JZ730" s="3"/>
      <c r="KA730" s="3"/>
      <c r="KB730" s="3"/>
      <c r="KC730" s="3"/>
      <c r="KD730" s="3"/>
      <c r="KE730" s="3"/>
      <c r="KF730" s="3"/>
      <c r="KG730" s="3"/>
      <c r="KH730" s="3"/>
      <c r="KI730" s="3"/>
      <c r="KJ730" s="3"/>
      <c r="KK730" s="3"/>
      <c r="KL730" s="3"/>
      <c r="KM730" s="3"/>
      <c r="KN730" s="3"/>
      <c r="KO730" s="3"/>
      <c r="KP730" s="3"/>
      <c r="KQ730" s="3"/>
      <c r="KR730" s="3"/>
      <c r="KS730" s="3"/>
      <c r="KT730" s="3"/>
      <c r="KU730" s="3"/>
      <c r="KV730" s="3"/>
      <c r="KW730" s="3"/>
      <c r="KX730" s="3"/>
      <c r="KY730" s="3"/>
      <c r="KZ730" s="3"/>
      <c r="LA730" s="3"/>
      <c r="LB730" s="3"/>
      <c r="LC730" s="3"/>
      <c r="LD730" s="3"/>
      <c r="LE730" s="3"/>
      <c r="LF730" s="3"/>
      <c r="LG730" s="3"/>
      <c r="LH730" s="3"/>
      <c r="LI730" s="3"/>
      <c r="LJ730" s="3"/>
      <c r="LK730" s="3"/>
      <c r="LL730" s="3"/>
      <c r="LM730" s="3"/>
      <c r="LN730" s="3"/>
      <c r="LO730" s="3"/>
      <c r="LP730" s="3"/>
      <c r="LQ730" s="3"/>
      <c r="LR730" s="3"/>
      <c r="LS730" s="3"/>
      <c r="LT730" s="3"/>
      <c r="LU730" s="3"/>
      <c r="LV730" s="3"/>
      <c r="LW730" s="3"/>
      <c r="LX730" s="3"/>
      <c r="LY730" s="3"/>
      <c r="LZ730" s="3"/>
      <c r="MA730" s="3"/>
      <c r="MB730" s="3"/>
      <c r="MC730" s="3"/>
      <c r="MD730" s="3"/>
      <c r="ME730" s="3"/>
      <c r="MF730" s="3"/>
      <c r="MG730" s="3"/>
      <c r="MH730" s="3"/>
      <c r="MI730" s="3"/>
    </row>
    <row r="731" spans="1:347"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c r="HX731" s="3"/>
      <c r="HY731" s="3"/>
      <c r="HZ731" s="3"/>
      <c r="IA731" s="3"/>
      <c r="IB731" s="3"/>
      <c r="IC731" s="3"/>
      <c r="ID731" s="3"/>
      <c r="IE731" s="3"/>
      <c r="IF731" s="3"/>
      <c r="IG731" s="3"/>
      <c r="IH731" s="3"/>
      <c r="II731" s="3"/>
      <c r="IJ731" s="3"/>
      <c r="IK731" s="3"/>
      <c r="IL731" s="3"/>
      <c r="IM731" s="3"/>
      <c r="IN731" s="3"/>
      <c r="IO731" s="3"/>
      <c r="IP731" s="3"/>
      <c r="IQ731" s="3"/>
      <c r="IR731" s="3"/>
      <c r="IS731" s="3"/>
      <c r="IT731" s="3"/>
      <c r="IU731" s="3"/>
      <c r="IV731" s="3"/>
      <c r="IW731" s="3"/>
      <c r="IX731" s="3"/>
      <c r="IY731" s="3"/>
      <c r="IZ731" s="3"/>
      <c r="JA731" s="3"/>
      <c r="JB731" s="3"/>
      <c r="JC731" s="3"/>
      <c r="JD731" s="3"/>
      <c r="JE731" s="3"/>
      <c r="JF731" s="3"/>
      <c r="JG731" s="3"/>
      <c r="JH731" s="3"/>
      <c r="JI731" s="3"/>
      <c r="JJ731" s="3"/>
      <c r="JK731" s="3"/>
      <c r="JL731" s="3"/>
      <c r="JM731" s="3"/>
      <c r="JN731" s="3"/>
      <c r="JO731" s="3"/>
      <c r="JP731" s="3"/>
      <c r="JQ731" s="3"/>
      <c r="JR731" s="3"/>
      <c r="JS731" s="3"/>
      <c r="JT731" s="3"/>
      <c r="JU731" s="3"/>
      <c r="JV731" s="3"/>
      <c r="JW731" s="3"/>
      <c r="JX731" s="3"/>
      <c r="JY731" s="3"/>
      <c r="JZ731" s="3"/>
      <c r="KA731" s="3"/>
      <c r="KB731" s="3"/>
      <c r="KC731" s="3"/>
      <c r="KD731" s="3"/>
      <c r="KE731" s="3"/>
      <c r="KF731" s="3"/>
      <c r="KG731" s="3"/>
      <c r="KH731" s="3"/>
      <c r="KI731" s="3"/>
      <c r="KJ731" s="3"/>
      <c r="KK731" s="3"/>
      <c r="KL731" s="3"/>
      <c r="KM731" s="3"/>
      <c r="KN731" s="3"/>
      <c r="KO731" s="3"/>
      <c r="KP731" s="3"/>
      <c r="KQ731" s="3"/>
      <c r="KR731" s="3"/>
      <c r="KS731" s="3"/>
      <c r="KT731" s="3"/>
      <c r="KU731" s="3"/>
      <c r="KV731" s="3"/>
      <c r="KW731" s="3"/>
      <c r="KX731" s="3"/>
      <c r="KY731" s="3"/>
      <c r="KZ731" s="3"/>
      <c r="LA731" s="3"/>
      <c r="LB731" s="3"/>
      <c r="LC731" s="3"/>
      <c r="LD731" s="3"/>
      <c r="LE731" s="3"/>
      <c r="LF731" s="3"/>
      <c r="LG731" s="3"/>
      <c r="LH731" s="3"/>
      <c r="LI731" s="3"/>
      <c r="LJ731" s="3"/>
      <c r="LK731" s="3"/>
      <c r="LL731" s="3"/>
      <c r="LM731" s="3"/>
      <c r="LN731" s="3"/>
      <c r="LO731" s="3"/>
      <c r="LP731" s="3"/>
      <c r="LQ731" s="3"/>
      <c r="LR731" s="3"/>
      <c r="LS731" s="3"/>
      <c r="LT731" s="3"/>
      <c r="LU731" s="3"/>
      <c r="LV731" s="3"/>
      <c r="LW731" s="3"/>
      <c r="LX731" s="3"/>
      <c r="LY731" s="3"/>
      <c r="LZ731" s="3"/>
      <c r="MA731" s="3"/>
      <c r="MB731" s="3"/>
      <c r="MC731" s="3"/>
      <c r="MD731" s="3"/>
      <c r="ME731" s="3"/>
      <c r="MF731" s="3"/>
      <c r="MG731" s="3"/>
      <c r="MH731" s="3"/>
      <c r="MI731" s="3"/>
    </row>
    <row r="732" spans="1:347"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c r="HX732" s="3"/>
      <c r="HY732" s="3"/>
      <c r="HZ732" s="3"/>
      <c r="IA732" s="3"/>
      <c r="IB732" s="3"/>
      <c r="IC732" s="3"/>
      <c r="ID732" s="3"/>
      <c r="IE732" s="3"/>
      <c r="IF732" s="3"/>
      <c r="IG732" s="3"/>
      <c r="IH732" s="3"/>
      <c r="II732" s="3"/>
      <c r="IJ732" s="3"/>
      <c r="IK732" s="3"/>
      <c r="IL732" s="3"/>
      <c r="IM732" s="3"/>
      <c r="IN732" s="3"/>
      <c r="IO732" s="3"/>
      <c r="IP732" s="3"/>
      <c r="IQ732" s="3"/>
      <c r="IR732" s="3"/>
      <c r="IS732" s="3"/>
      <c r="IT732" s="3"/>
      <c r="IU732" s="3"/>
      <c r="IV732" s="3"/>
      <c r="IW732" s="3"/>
      <c r="IX732" s="3"/>
      <c r="IY732" s="3"/>
      <c r="IZ732" s="3"/>
      <c r="JA732" s="3"/>
      <c r="JB732" s="3"/>
      <c r="JC732" s="3"/>
      <c r="JD732" s="3"/>
      <c r="JE732" s="3"/>
      <c r="JF732" s="3"/>
      <c r="JG732" s="3"/>
      <c r="JH732" s="3"/>
      <c r="JI732" s="3"/>
      <c r="JJ732" s="3"/>
      <c r="JK732" s="3"/>
      <c r="JL732" s="3"/>
      <c r="JM732" s="3"/>
      <c r="JN732" s="3"/>
      <c r="JO732" s="3"/>
      <c r="JP732" s="3"/>
      <c r="JQ732" s="3"/>
      <c r="JR732" s="3"/>
      <c r="JS732" s="3"/>
      <c r="JT732" s="3"/>
      <c r="JU732" s="3"/>
      <c r="JV732" s="3"/>
      <c r="JW732" s="3"/>
      <c r="JX732" s="3"/>
      <c r="JY732" s="3"/>
      <c r="JZ732" s="3"/>
      <c r="KA732" s="3"/>
      <c r="KB732" s="3"/>
      <c r="KC732" s="3"/>
      <c r="KD732" s="3"/>
      <c r="KE732" s="3"/>
      <c r="KF732" s="3"/>
      <c r="KG732" s="3"/>
      <c r="KH732" s="3"/>
      <c r="KI732" s="3"/>
      <c r="KJ732" s="3"/>
      <c r="KK732" s="3"/>
      <c r="KL732" s="3"/>
      <c r="KM732" s="3"/>
      <c r="KN732" s="3"/>
      <c r="KO732" s="3"/>
      <c r="KP732" s="3"/>
      <c r="KQ732" s="3"/>
      <c r="KR732" s="3"/>
      <c r="KS732" s="3"/>
      <c r="KT732" s="3"/>
      <c r="KU732" s="3"/>
      <c r="KV732" s="3"/>
      <c r="KW732" s="3"/>
      <c r="KX732" s="3"/>
      <c r="KY732" s="3"/>
      <c r="KZ732" s="3"/>
      <c r="LA732" s="3"/>
      <c r="LB732" s="3"/>
      <c r="LC732" s="3"/>
      <c r="LD732" s="3"/>
      <c r="LE732" s="3"/>
      <c r="LF732" s="3"/>
      <c r="LG732" s="3"/>
      <c r="LH732" s="3"/>
      <c r="LI732" s="3"/>
      <c r="LJ732" s="3"/>
      <c r="LK732" s="3"/>
      <c r="LL732" s="3"/>
      <c r="LM732" s="3"/>
      <c r="LN732" s="3"/>
      <c r="LO732" s="3"/>
      <c r="LP732" s="3"/>
      <c r="LQ732" s="3"/>
      <c r="LR732" s="3"/>
      <c r="LS732" s="3"/>
      <c r="LT732" s="3"/>
      <c r="LU732" s="3"/>
      <c r="LV732" s="3"/>
      <c r="LW732" s="3"/>
      <c r="LX732" s="3"/>
      <c r="LY732" s="3"/>
      <c r="LZ732" s="3"/>
      <c r="MA732" s="3"/>
      <c r="MB732" s="3"/>
      <c r="MC732" s="3"/>
      <c r="MD732" s="3"/>
      <c r="ME732" s="3"/>
      <c r="MF732" s="3"/>
      <c r="MG732" s="3"/>
      <c r="MH732" s="3"/>
      <c r="MI732" s="3"/>
    </row>
    <row r="733" spans="1:347"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c r="HX733" s="3"/>
      <c r="HY733" s="3"/>
      <c r="HZ733" s="3"/>
      <c r="IA733" s="3"/>
      <c r="IB733" s="3"/>
      <c r="IC733" s="3"/>
      <c r="ID733" s="3"/>
      <c r="IE733" s="3"/>
      <c r="IF733" s="3"/>
      <c r="IG733" s="3"/>
      <c r="IH733" s="3"/>
      <c r="II733" s="3"/>
      <c r="IJ733" s="3"/>
      <c r="IK733" s="3"/>
      <c r="IL733" s="3"/>
      <c r="IM733" s="3"/>
      <c r="IN733" s="3"/>
      <c r="IO733" s="3"/>
      <c r="IP733" s="3"/>
      <c r="IQ733" s="3"/>
      <c r="IR733" s="3"/>
      <c r="IS733" s="3"/>
      <c r="IT733" s="3"/>
      <c r="IU733" s="3"/>
      <c r="IV733" s="3"/>
      <c r="IW733" s="3"/>
      <c r="IX733" s="3"/>
      <c r="IY733" s="3"/>
      <c r="IZ733" s="3"/>
      <c r="JA733" s="3"/>
      <c r="JB733" s="3"/>
      <c r="JC733" s="3"/>
      <c r="JD733" s="3"/>
      <c r="JE733" s="3"/>
      <c r="JF733" s="3"/>
      <c r="JG733" s="3"/>
      <c r="JH733" s="3"/>
      <c r="JI733" s="3"/>
      <c r="JJ733" s="3"/>
      <c r="JK733" s="3"/>
      <c r="JL733" s="3"/>
      <c r="JM733" s="3"/>
      <c r="JN733" s="3"/>
      <c r="JO733" s="3"/>
      <c r="JP733" s="3"/>
      <c r="JQ733" s="3"/>
      <c r="JR733" s="3"/>
      <c r="JS733" s="3"/>
      <c r="JT733" s="3"/>
      <c r="JU733" s="3"/>
      <c r="JV733" s="3"/>
      <c r="JW733" s="3"/>
      <c r="JX733" s="3"/>
      <c r="JY733" s="3"/>
      <c r="JZ733" s="3"/>
      <c r="KA733" s="3"/>
      <c r="KB733" s="3"/>
      <c r="KC733" s="3"/>
      <c r="KD733" s="3"/>
      <c r="KE733" s="3"/>
      <c r="KF733" s="3"/>
      <c r="KG733" s="3"/>
      <c r="KH733" s="3"/>
      <c r="KI733" s="3"/>
      <c r="KJ733" s="3"/>
      <c r="KK733" s="3"/>
      <c r="KL733" s="3"/>
      <c r="KM733" s="3"/>
      <c r="KN733" s="3"/>
      <c r="KO733" s="3"/>
      <c r="KP733" s="3"/>
      <c r="KQ733" s="3"/>
      <c r="KR733" s="3"/>
      <c r="KS733" s="3"/>
      <c r="KT733" s="3"/>
      <c r="KU733" s="3"/>
      <c r="KV733" s="3"/>
      <c r="KW733" s="3"/>
      <c r="KX733" s="3"/>
      <c r="KY733" s="3"/>
      <c r="KZ733" s="3"/>
      <c r="LA733" s="3"/>
      <c r="LB733" s="3"/>
      <c r="LC733" s="3"/>
      <c r="LD733" s="3"/>
      <c r="LE733" s="3"/>
      <c r="LF733" s="3"/>
      <c r="LG733" s="3"/>
      <c r="LH733" s="3"/>
      <c r="LI733" s="3"/>
      <c r="LJ733" s="3"/>
      <c r="LK733" s="3"/>
      <c r="LL733" s="3"/>
      <c r="LM733" s="3"/>
      <c r="LN733" s="3"/>
      <c r="LO733" s="3"/>
      <c r="LP733" s="3"/>
      <c r="LQ733" s="3"/>
      <c r="LR733" s="3"/>
      <c r="LS733" s="3"/>
      <c r="LT733" s="3"/>
      <c r="LU733" s="3"/>
      <c r="LV733" s="3"/>
      <c r="LW733" s="3"/>
      <c r="LX733" s="3"/>
      <c r="LY733" s="3"/>
      <c r="LZ733" s="3"/>
      <c r="MA733" s="3"/>
      <c r="MB733" s="3"/>
      <c r="MC733" s="3"/>
      <c r="MD733" s="3"/>
      <c r="ME733" s="3"/>
      <c r="MF733" s="3"/>
      <c r="MG733" s="3"/>
      <c r="MH733" s="3"/>
      <c r="MI733" s="3"/>
    </row>
    <row r="734" spans="1:347"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c r="HX734" s="3"/>
      <c r="HY734" s="3"/>
      <c r="HZ734" s="3"/>
      <c r="IA734" s="3"/>
      <c r="IB734" s="3"/>
      <c r="IC734" s="3"/>
      <c r="ID734" s="3"/>
      <c r="IE734" s="3"/>
      <c r="IF734" s="3"/>
      <c r="IG734" s="3"/>
      <c r="IH734" s="3"/>
      <c r="II734" s="3"/>
      <c r="IJ734" s="3"/>
      <c r="IK734" s="3"/>
      <c r="IL734" s="3"/>
      <c r="IM734" s="3"/>
      <c r="IN734" s="3"/>
      <c r="IO734" s="3"/>
      <c r="IP734" s="3"/>
      <c r="IQ734" s="3"/>
      <c r="IR734" s="3"/>
      <c r="IS734" s="3"/>
      <c r="IT734" s="3"/>
      <c r="IU734" s="3"/>
      <c r="IV734" s="3"/>
      <c r="IW734" s="3"/>
      <c r="IX734" s="3"/>
      <c r="IY734" s="3"/>
      <c r="IZ734" s="3"/>
      <c r="JA734" s="3"/>
      <c r="JB734" s="3"/>
      <c r="JC734" s="3"/>
      <c r="JD734" s="3"/>
      <c r="JE734" s="3"/>
      <c r="JF734" s="3"/>
      <c r="JG734" s="3"/>
      <c r="JH734" s="3"/>
      <c r="JI734" s="3"/>
      <c r="JJ734" s="3"/>
      <c r="JK734" s="3"/>
      <c r="JL734" s="3"/>
      <c r="JM734" s="3"/>
      <c r="JN734" s="3"/>
      <c r="JO734" s="3"/>
      <c r="JP734" s="3"/>
      <c r="JQ734" s="3"/>
      <c r="JR734" s="3"/>
      <c r="JS734" s="3"/>
      <c r="JT734" s="3"/>
      <c r="JU734" s="3"/>
      <c r="JV734" s="3"/>
      <c r="JW734" s="3"/>
      <c r="JX734" s="3"/>
      <c r="JY734" s="3"/>
      <c r="JZ734" s="3"/>
      <c r="KA734" s="3"/>
      <c r="KB734" s="3"/>
      <c r="KC734" s="3"/>
      <c r="KD734" s="3"/>
      <c r="KE734" s="3"/>
      <c r="KF734" s="3"/>
      <c r="KG734" s="3"/>
      <c r="KH734" s="3"/>
      <c r="KI734" s="3"/>
      <c r="KJ734" s="3"/>
      <c r="KK734" s="3"/>
      <c r="KL734" s="3"/>
      <c r="KM734" s="3"/>
      <c r="KN734" s="3"/>
      <c r="KO734" s="3"/>
      <c r="KP734" s="3"/>
      <c r="KQ734" s="3"/>
      <c r="KR734" s="3"/>
      <c r="KS734" s="3"/>
      <c r="KT734" s="3"/>
      <c r="KU734" s="3"/>
      <c r="KV734" s="3"/>
      <c r="KW734" s="3"/>
      <c r="KX734" s="3"/>
      <c r="KY734" s="3"/>
      <c r="KZ734" s="3"/>
      <c r="LA734" s="3"/>
      <c r="LB734" s="3"/>
      <c r="LC734" s="3"/>
      <c r="LD734" s="3"/>
      <c r="LE734" s="3"/>
      <c r="LF734" s="3"/>
      <c r="LG734" s="3"/>
      <c r="LH734" s="3"/>
      <c r="LI734" s="3"/>
      <c r="LJ734" s="3"/>
      <c r="LK734" s="3"/>
      <c r="LL734" s="3"/>
      <c r="LM734" s="3"/>
      <c r="LN734" s="3"/>
      <c r="LO734" s="3"/>
      <c r="LP734" s="3"/>
      <c r="LQ734" s="3"/>
      <c r="LR734" s="3"/>
      <c r="LS734" s="3"/>
      <c r="LT734" s="3"/>
      <c r="LU734" s="3"/>
      <c r="LV734" s="3"/>
      <c r="LW734" s="3"/>
      <c r="LX734" s="3"/>
      <c r="LY734" s="3"/>
      <c r="LZ734" s="3"/>
      <c r="MA734" s="3"/>
      <c r="MB734" s="3"/>
      <c r="MC734" s="3"/>
      <c r="MD734" s="3"/>
      <c r="ME734" s="3"/>
      <c r="MF734" s="3"/>
      <c r="MG734" s="3"/>
      <c r="MH734" s="3"/>
      <c r="MI734" s="3"/>
    </row>
    <row r="735" spans="1:347"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c r="HX735" s="3"/>
      <c r="HY735" s="3"/>
      <c r="HZ735" s="3"/>
      <c r="IA735" s="3"/>
      <c r="IB735" s="3"/>
      <c r="IC735" s="3"/>
      <c r="ID735" s="3"/>
      <c r="IE735" s="3"/>
      <c r="IF735" s="3"/>
      <c r="IG735" s="3"/>
      <c r="IH735" s="3"/>
      <c r="II735" s="3"/>
      <c r="IJ735" s="3"/>
      <c r="IK735" s="3"/>
      <c r="IL735" s="3"/>
      <c r="IM735" s="3"/>
      <c r="IN735" s="3"/>
      <c r="IO735" s="3"/>
      <c r="IP735" s="3"/>
      <c r="IQ735" s="3"/>
      <c r="IR735" s="3"/>
      <c r="IS735" s="3"/>
      <c r="IT735" s="3"/>
      <c r="IU735" s="3"/>
      <c r="IV735" s="3"/>
      <c r="IW735" s="3"/>
      <c r="IX735" s="3"/>
      <c r="IY735" s="3"/>
      <c r="IZ735" s="3"/>
      <c r="JA735" s="3"/>
      <c r="JB735" s="3"/>
      <c r="JC735" s="3"/>
      <c r="JD735" s="3"/>
      <c r="JE735" s="3"/>
      <c r="JF735" s="3"/>
      <c r="JG735" s="3"/>
      <c r="JH735" s="3"/>
      <c r="JI735" s="3"/>
      <c r="JJ735" s="3"/>
      <c r="JK735" s="3"/>
      <c r="JL735" s="3"/>
      <c r="JM735" s="3"/>
      <c r="JN735" s="3"/>
      <c r="JO735" s="3"/>
      <c r="JP735" s="3"/>
      <c r="JQ735" s="3"/>
      <c r="JR735" s="3"/>
      <c r="JS735" s="3"/>
      <c r="JT735" s="3"/>
      <c r="JU735" s="3"/>
      <c r="JV735" s="3"/>
      <c r="JW735" s="3"/>
      <c r="JX735" s="3"/>
      <c r="JY735" s="3"/>
      <c r="JZ735" s="3"/>
      <c r="KA735" s="3"/>
      <c r="KB735" s="3"/>
      <c r="KC735" s="3"/>
      <c r="KD735" s="3"/>
      <c r="KE735" s="3"/>
      <c r="KF735" s="3"/>
      <c r="KG735" s="3"/>
      <c r="KH735" s="3"/>
      <c r="KI735" s="3"/>
      <c r="KJ735" s="3"/>
      <c r="KK735" s="3"/>
      <c r="KL735" s="3"/>
      <c r="KM735" s="3"/>
      <c r="KN735" s="3"/>
      <c r="KO735" s="3"/>
      <c r="KP735" s="3"/>
      <c r="KQ735" s="3"/>
      <c r="KR735" s="3"/>
      <c r="KS735" s="3"/>
      <c r="KT735" s="3"/>
      <c r="KU735" s="3"/>
      <c r="KV735" s="3"/>
      <c r="KW735" s="3"/>
      <c r="KX735" s="3"/>
      <c r="KY735" s="3"/>
      <c r="KZ735" s="3"/>
      <c r="LA735" s="3"/>
      <c r="LB735" s="3"/>
      <c r="LC735" s="3"/>
      <c r="LD735" s="3"/>
      <c r="LE735" s="3"/>
      <c r="LF735" s="3"/>
      <c r="LG735" s="3"/>
      <c r="LH735" s="3"/>
      <c r="LI735" s="3"/>
      <c r="LJ735" s="3"/>
      <c r="LK735" s="3"/>
      <c r="LL735" s="3"/>
      <c r="LM735" s="3"/>
      <c r="LN735" s="3"/>
      <c r="LO735" s="3"/>
      <c r="LP735" s="3"/>
      <c r="LQ735" s="3"/>
      <c r="LR735" s="3"/>
      <c r="LS735" s="3"/>
      <c r="LT735" s="3"/>
      <c r="LU735" s="3"/>
      <c r="LV735" s="3"/>
      <c r="LW735" s="3"/>
      <c r="LX735" s="3"/>
      <c r="LY735" s="3"/>
      <c r="LZ735" s="3"/>
      <c r="MA735" s="3"/>
      <c r="MB735" s="3"/>
      <c r="MC735" s="3"/>
      <c r="MD735" s="3"/>
      <c r="ME735" s="3"/>
      <c r="MF735" s="3"/>
      <c r="MG735" s="3"/>
      <c r="MH735" s="3"/>
      <c r="MI735" s="3"/>
    </row>
    <row r="736" spans="1:347"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c r="HX736" s="3"/>
      <c r="HY736" s="3"/>
      <c r="HZ736" s="3"/>
      <c r="IA736" s="3"/>
      <c r="IB736" s="3"/>
      <c r="IC736" s="3"/>
      <c r="ID736" s="3"/>
      <c r="IE736" s="3"/>
      <c r="IF736" s="3"/>
      <c r="IG736" s="3"/>
      <c r="IH736" s="3"/>
      <c r="II736" s="3"/>
      <c r="IJ736" s="3"/>
      <c r="IK736" s="3"/>
      <c r="IL736" s="3"/>
      <c r="IM736" s="3"/>
      <c r="IN736" s="3"/>
      <c r="IO736" s="3"/>
      <c r="IP736" s="3"/>
      <c r="IQ736" s="3"/>
      <c r="IR736" s="3"/>
      <c r="IS736" s="3"/>
      <c r="IT736" s="3"/>
      <c r="IU736" s="3"/>
      <c r="IV736" s="3"/>
      <c r="IW736" s="3"/>
      <c r="IX736" s="3"/>
      <c r="IY736" s="3"/>
      <c r="IZ736" s="3"/>
      <c r="JA736" s="3"/>
      <c r="JB736" s="3"/>
      <c r="JC736" s="3"/>
      <c r="JD736" s="3"/>
      <c r="JE736" s="3"/>
      <c r="JF736" s="3"/>
      <c r="JG736" s="3"/>
      <c r="JH736" s="3"/>
      <c r="JI736" s="3"/>
      <c r="JJ736" s="3"/>
      <c r="JK736" s="3"/>
      <c r="JL736" s="3"/>
      <c r="JM736" s="3"/>
      <c r="JN736" s="3"/>
      <c r="JO736" s="3"/>
      <c r="JP736" s="3"/>
      <c r="JQ736" s="3"/>
      <c r="JR736" s="3"/>
      <c r="JS736" s="3"/>
      <c r="JT736" s="3"/>
      <c r="JU736" s="3"/>
      <c r="JV736" s="3"/>
      <c r="JW736" s="3"/>
      <c r="JX736" s="3"/>
      <c r="JY736" s="3"/>
      <c r="JZ736" s="3"/>
      <c r="KA736" s="3"/>
      <c r="KB736" s="3"/>
      <c r="KC736" s="3"/>
      <c r="KD736" s="3"/>
      <c r="KE736" s="3"/>
      <c r="KF736" s="3"/>
      <c r="KG736" s="3"/>
      <c r="KH736" s="3"/>
      <c r="KI736" s="3"/>
      <c r="KJ736" s="3"/>
      <c r="KK736" s="3"/>
      <c r="KL736" s="3"/>
      <c r="KM736" s="3"/>
      <c r="KN736" s="3"/>
      <c r="KO736" s="3"/>
      <c r="KP736" s="3"/>
      <c r="KQ736" s="3"/>
      <c r="KR736" s="3"/>
      <c r="KS736" s="3"/>
      <c r="KT736" s="3"/>
      <c r="KU736" s="3"/>
      <c r="KV736" s="3"/>
      <c r="KW736" s="3"/>
      <c r="KX736" s="3"/>
      <c r="KY736" s="3"/>
      <c r="KZ736" s="3"/>
      <c r="LA736" s="3"/>
      <c r="LB736" s="3"/>
      <c r="LC736" s="3"/>
      <c r="LD736" s="3"/>
      <c r="LE736" s="3"/>
      <c r="LF736" s="3"/>
      <c r="LG736" s="3"/>
      <c r="LH736" s="3"/>
      <c r="LI736" s="3"/>
      <c r="LJ736" s="3"/>
      <c r="LK736" s="3"/>
      <c r="LL736" s="3"/>
      <c r="LM736" s="3"/>
      <c r="LN736" s="3"/>
      <c r="LO736" s="3"/>
      <c r="LP736" s="3"/>
      <c r="LQ736" s="3"/>
      <c r="LR736" s="3"/>
      <c r="LS736" s="3"/>
      <c r="LT736" s="3"/>
      <c r="LU736" s="3"/>
      <c r="LV736" s="3"/>
      <c r="LW736" s="3"/>
      <c r="LX736" s="3"/>
      <c r="LY736" s="3"/>
      <c r="LZ736" s="3"/>
      <c r="MA736" s="3"/>
      <c r="MB736" s="3"/>
      <c r="MC736" s="3"/>
      <c r="MD736" s="3"/>
      <c r="ME736" s="3"/>
      <c r="MF736" s="3"/>
      <c r="MG736" s="3"/>
      <c r="MH736" s="3"/>
      <c r="MI736" s="3"/>
    </row>
    <row r="737" spans="1:347"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c r="HX737" s="3"/>
      <c r="HY737" s="3"/>
      <c r="HZ737" s="3"/>
      <c r="IA737" s="3"/>
      <c r="IB737" s="3"/>
      <c r="IC737" s="3"/>
      <c r="ID737" s="3"/>
      <c r="IE737" s="3"/>
      <c r="IF737" s="3"/>
      <c r="IG737" s="3"/>
      <c r="IH737" s="3"/>
      <c r="II737" s="3"/>
      <c r="IJ737" s="3"/>
      <c r="IK737" s="3"/>
      <c r="IL737" s="3"/>
      <c r="IM737" s="3"/>
      <c r="IN737" s="3"/>
      <c r="IO737" s="3"/>
      <c r="IP737" s="3"/>
      <c r="IQ737" s="3"/>
      <c r="IR737" s="3"/>
      <c r="IS737" s="3"/>
      <c r="IT737" s="3"/>
      <c r="IU737" s="3"/>
      <c r="IV737" s="3"/>
      <c r="IW737" s="3"/>
      <c r="IX737" s="3"/>
      <c r="IY737" s="3"/>
      <c r="IZ737" s="3"/>
      <c r="JA737" s="3"/>
      <c r="JB737" s="3"/>
      <c r="JC737" s="3"/>
      <c r="JD737" s="3"/>
      <c r="JE737" s="3"/>
      <c r="JF737" s="3"/>
      <c r="JG737" s="3"/>
      <c r="JH737" s="3"/>
      <c r="JI737" s="3"/>
      <c r="JJ737" s="3"/>
      <c r="JK737" s="3"/>
      <c r="JL737" s="3"/>
      <c r="JM737" s="3"/>
      <c r="JN737" s="3"/>
      <c r="JO737" s="3"/>
      <c r="JP737" s="3"/>
      <c r="JQ737" s="3"/>
      <c r="JR737" s="3"/>
      <c r="JS737" s="3"/>
      <c r="JT737" s="3"/>
      <c r="JU737" s="3"/>
      <c r="JV737" s="3"/>
      <c r="JW737" s="3"/>
      <c r="JX737" s="3"/>
      <c r="JY737" s="3"/>
      <c r="JZ737" s="3"/>
      <c r="KA737" s="3"/>
      <c r="KB737" s="3"/>
      <c r="KC737" s="3"/>
      <c r="KD737" s="3"/>
      <c r="KE737" s="3"/>
      <c r="KF737" s="3"/>
      <c r="KG737" s="3"/>
      <c r="KH737" s="3"/>
      <c r="KI737" s="3"/>
      <c r="KJ737" s="3"/>
      <c r="KK737" s="3"/>
      <c r="KL737" s="3"/>
      <c r="KM737" s="3"/>
      <c r="KN737" s="3"/>
      <c r="KO737" s="3"/>
      <c r="KP737" s="3"/>
      <c r="KQ737" s="3"/>
      <c r="KR737" s="3"/>
      <c r="KS737" s="3"/>
      <c r="KT737" s="3"/>
      <c r="KU737" s="3"/>
      <c r="KV737" s="3"/>
      <c r="KW737" s="3"/>
      <c r="KX737" s="3"/>
      <c r="KY737" s="3"/>
      <c r="KZ737" s="3"/>
      <c r="LA737" s="3"/>
      <c r="LB737" s="3"/>
      <c r="LC737" s="3"/>
      <c r="LD737" s="3"/>
      <c r="LE737" s="3"/>
      <c r="LF737" s="3"/>
      <c r="LG737" s="3"/>
      <c r="LH737" s="3"/>
      <c r="LI737" s="3"/>
      <c r="LJ737" s="3"/>
      <c r="LK737" s="3"/>
      <c r="LL737" s="3"/>
      <c r="LM737" s="3"/>
      <c r="LN737" s="3"/>
      <c r="LO737" s="3"/>
      <c r="LP737" s="3"/>
      <c r="LQ737" s="3"/>
      <c r="LR737" s="3"/>
      <c r="LS737" s="3"/>
      <c r="LT737" s="3"/>
      <c r="LU737" s="3"/>
      <c r="LV737" s="3"/>
      <c r="LW737" s="3"/>
      <c r="LX737" s="3"/>
      <c r="LY737" s="3"/>
      <c r="LZ737" s="3"/>
      <c r="MA737" s="3"/>
      <c r="MB737" s="3"/>
      <c r="MC737" s="3"/>
      <c r="MD737" s="3"/>
      <c r="ME737" s="3"/>
      <c r="MF737" s="3"/>
      <c r="MG737" s="3"/>
      <c r="MH737" s="3"/>
      <c r="MI737" s="3"/>
    </row>
    <row r="738" spans="1:347"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c r="HX738" s="3"/>
      <c r="HY738" s="3"/>
      <c r="HZ738" s="3"/>
      <c r="IA738" s="3"/>
      <c r="IB738" s="3"/>
      <c r="IC738" s="3"/>
      <c r="ID738" s="3"/>
      <c r="IE738" s="3"/>
      <c r="IF738" s="3"/>
      <c r="IG738" s="3"/>
      <c r="IH738" s="3"/>
      <c r="II738" s="3"/>
      <c r="IJ738" s="3"/>
      <c r="IK738" s="3"/>
      <c r="IL738" s="3"/>
      <c r="IM738" s="3"/>
      <c r="IN738" s="3"/>
      <c r="IO738" s="3"/>
      <c r="IP738" s="3"/>
      <c r="IQ738" s="3"/>
      <c r="IR738" s="3"/>
      <c r="IS738" s="3"/>
      <c r="IT738" s="3"/>
      <c r="IU738" s="3"/>
      <c r="IV738" s="3"/>
      <c r="IW738" s="3"/>
      <c r="IX738" s="3"/>
      <c r="IY738" s="3"/>
      <c r="IZ738" s="3"/>
      <c r="JA738" s="3"/>
      <c r="JB738" s="3"/>
      <c r="JC738" s="3"/>
      <c r="JD738" s="3"/>
      <c r="JE738" s="3"/>
      <c r="JF738" s="3"/>
      <c r="JG738" s="3"/>
      <c r="JH738" s="3"/>
      <c r="JI738" s="3"/>
      <c r="JJ738" s="3"/>
      <c r="JK738" s="3"/>
      <c r="JL738" s="3"/>
      <c r="JM738" s="3"/>
      <c r="JN738" s="3"/>
      <c r="JO738" s="3"/>
      <c r="JP738" s="3"/>
      <c r="JQ738" s="3"/>
      <c r="JR738" s="3"/>
      <c r="JS738" s="3"/>
      <c r="JT738" s="3"/>
      <c r="JU738" s="3"/>
      <c r="JV738" s="3"/>
      <c r="JW738" s="3"/>
      <c r="JX738" s="3"/>
      <c r="JY738" s="3"/>
      <c r="JZ738" s="3"/>
      <c r="KA738" s="3"/>
      <c r="KB738" s="3"/>
      <c r="KC738" s="3"/>
      <c r="KD738" s="3"/>
      <c r="KE738" s="3"/>
      <c r="KF738" s="3"/>
      <c r="KG738" s="3"/>
      <c r="KH738" s="3"/>
      <c r="KI738" s="3"/>
      <c r="KJ738" s="3"/>
      <c r="KK738" s="3"/>
      <c r="KL738" s="3"/>
      <c r="KM738" s="3"/>
      <c r="KN738" s="3"/>
      <c r="KO738" s="3"/>
      <c r="KP738" s="3"/>
      <c r="KQ738" s="3"/>
      <c r="KR738" s="3"/>
      <c r="KS738" s="3"/>
      <c r="KT738" s="3"/>
      <c r="KU738" s="3"/>
      <c r="KV738" s="3"/>
      <c r="KW738" s="3"/>
      <c r="KX738" s="3"/>
      <c r="KY738" s="3"/>
      <c r="KZ738" s="3"/>
      <c r="LA738" s="3"/>
      <c r="LB738" s="3"/>
      <c r="LC738" s="3"/>
      <c r="LD738" s="3"/>
      <c r="LE738" s="3"/>
      <c r="LF738" s="3"/>
      <c r="LG738" s="3"/>
      <c r="LH738" s="3"/>
      <c r="LI738" s="3"/>
      <c r="LJ738" s="3"/>
      <c r="LK738" s="3"/>
      <c r="LL738" s="3"/>
      <c r="LM738" s="3"/>
      <c r="LN738" s="3"/>
      <c r="LO738" s="3"/>
      <c r="LP738" s="3"/>
      <c r="LQ738" s="3"/>
      <c r="LR738" s="3"/>
      <c r="LS738" s="3"/>
      <c r="LT738" s="3"/>
      <c r="LU738" s="3"/>
      <c r="LV738" s="3"/>
      <c r="LW738" s="3"/>
      <c r="LX738" s="3"/>
      <c r="LY738" s="3"/>
      <c r="LZ738" s="3"/>
      <c r="MA738" s="3"/>
      <c r="MB738" s="3"/>
      <c r="MC738" s="3"/>
      <c r="MD738" s="3"/>
      <c r="ME738" s="3"/>
      <c r="MF738" s="3"/>
      <c r="MG738" s="3"/>
      <c r="MH738" s="3"/>
      <c r="MI738" s="3"/>
    </row>
    <row r="739" spans="1:347"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c r="HX739" s="3"/>
      <c r="HY739" s="3"/>
      <c r="HZ739" s="3"/>
      <c r="IA739" s="3"/>
      <c r="IB739" s="3"/>
      <c r="IC739" s="3"/>
      <c r="ID739" s="3"/>
      <c r="IE739" s="3"/>
      <c r="IF739" s="3"/>
      <c r="IG739" s="3"/>
      <c r="IH739" s="3"/>
      <c r="II739" s="3"/>
      <c r="IJ739" s="3"/>
      <c r="IK739" s="3"/>
      <c r="IL739" s="3"/>
      <c r="IM739" s="3"/>
      <c r="IN739" s="3"/>
      <c r="IO739" s="3"/>
      <c r="IP739" s="3"/>
      <c r="IQ739" s="3"/>
      <c r="IR739" s="3"/>
      <c r="IS739" s="3"/>
      <c r="IT739" s="3"/>
      <c r="IU739" s="3"/>
      <c r="IV739" s="3"/>
      <c r="IW739" s="3"/>
      <c r="IX739" s="3"/>
      <c r="IY739" s="3"/>
      <c r="IZ739" s="3"/>
      <c r="JA739" s="3"/>
      <c r="JB739" s="3"/>
      <c r="JC739" s="3"/>
      <c r="JD739" s="3"/>
      <c r="JE739" s="3"/>
      <c r="JF739" s="3"/>
      <c r="JG739" s="3"/>
      <c r="JH739" s="3"/>
      <c r="JI739" s="3"/>
      <c r="JJ739" s="3"/>
      <c r="JK739" s="3"/>
      <c r="JL739" s="3"/>
      <c r="JM739" s="3"/>
      <c r="JN739" s="3"/>
      <c r="JO739" s="3"/>
      <c r="JP739" s="3"/>
      <c r="JQ739" s="3"/>
      <c r="JR739" s="3"/>
      <c r="JS739" s="3"/>
      <c r="JT739" s="3"/>
      <c r="JU739" s="3"/>
      <c r="JV739" s="3"/>
      <c r="JW739" s="3"/>
      <c r="JX739" s="3"/>
      <c r="JY739" s="3"/>
      <c r="JZ739" s="3"/>
      <c r="KA739" s="3"/>
      <c r="KB739" s="3"/>
      <c r="KC739" s="3"/>
      <c r="KD739" s="3"/>
      <c r="KE739" s="3"/>
      <c r="KF739" s="3"/>
      <c r="KG739" s="3"/>
      <c r="KH739" s="3"/>
      <c r="KI739" s="3"/>
      <c r="KJ739" s="3"/>
      <c r="KK739" s="3"/>
      <c r="KL739" s="3"/>
      <c r="KM739" s="3"/>
      <c r="KN739" s="3"/>
      <c r="KO739" s="3"/>
      <c r="KP739" s="3"/>
      <c r="KQ739" s="3"/>
      <c r="KR739" s="3"/>
      <c r="KS739" s="3"/>
      <c r="KT739" s="3"/>
      <c r="KU739" s="3"/>
      <c r="KV739" s="3"/>
      <c r="KW739" s="3"/>
      <c r="KX739" s="3"/>
      <c r="KY739" s="3"/>
      <c r="KZ739" s="3"/>
      <c r="LA739" s="3"/>
      <c r="LB739" s="3"/>
      <c r="LC739" s="3"/>
      <c r="LD739" s="3"/>
      <c r="LE739" s="3"/>
      <c r="LF739" s="3"/>
      <c r="LG739" s="3"/>
      <c r="LH739" s="3"/>
      <c r="LI739" s="3"/>
      <c r="LJ739" s="3"/>
      <c r="LK739" s="3"/>
      <c r="LL739" s="3"/>
      <c r="LM739" s="3"/>
      <c r="LN739" s="3"/>
      <c r="LO739" s="3"/>
      <c r="LP739" s="3"/>
      <c r="LQ739" s="3"/>
      <c r="LR739" s="3"/>
      <c r="LS739" s="3"/>
      <c r="LT739" s="3"/>
      <c r="LU739" s="3"/>
      <c r="LV739" s="3"/>
      <c r="LW739" s="3"/>
      <c r="LX739" s="3"/>
      <c r="LY739" s="3"/>
      <c r="LZ739" s="3"/>
      <c r="MA739" s="3"/>
      <c r="MB739" s="3"/>
      <c r="MC739" s="3"/>
      <c r="MD739" s="3"/>
      <c r="ME739" s="3"/>
      <c r="MF739" s="3"/>
      <c r="MG739" s="3"/>
      <c r="MH739" s="3"/>
      <c r="MI739" s="3"/>
    </row>
    <row r="740" spans="1:347"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c r="HX740" s="3"/>
      <c r="HY740" s="3"/>
      <c r="HZ740" s="3"/>
      <c r="IA740" s="3"/>
      <c r="IB740" s="3"/>
      <c r="IC740" s="3"/>
      <c r="ID740" s="3"/>
      <c r="IE740" s="3"/>
      <c r="IF740" s="3"/>
      <c r="IG740" s="3"/>
      <c r="IH740" s="3"/>
      <c r="II740" s="3"/>
      <c r="IJ740" s="3"/>
      <c r="IK740" s="3"/>
      <c r="IL740" s="3"/>
      <c r="IM740" s="3"/>
      <c r="IN740" s="3"/>
      <c r="IO740" s="3"/>
      <c r="IP740" s="3"/>
      <c r="IQ740" s="3"/>
      <c r="IR740" s="3"/>
      <c r="IS740" s="3"/>
      <c r="IT740" s="3"/>
      <c r="IU740" s="3"/>
      <c r="IV740" s="3"/>
      <c r="IW740" s="3"/>
      <c r="IX740" s="3"/>
      <c r="IY740" s="3"/>
      <c r="IZ740" s="3"/>
      <c r="JA740" s="3"/>
      <c r="JB740" s="3"/>
      <c r="JC740" s="3"/>
      <c r="JD740" s="3"/>
      <c r="JE740" s="3"/>
      <c r="JF740" s="3"/>
      <c r="JG740" s="3"/>
      <c r="JH740" s="3"/>
      <c r="JI740" s="3"/>
      <c r="JJ740" s="3"/>
      <c r="JK740" s="3"/>
      <c r="JL740" s="3"/>
      <c r="JM740" s="3"/>
      <c r="JN740" s="3"/>
      <c r="JO740" s="3"/>
      <c r="JP740" s="3"/>
      <c r="JQ740" s="3"/>
      <c r="JR740" s="3"/>
      <c r="JS740" s="3"/>
      <c r="JT740" s="3"/>
      <c r="JU740" s="3"/>
      <c r="JV740" s="3"/>
      <c r="JW740" s="3"/>
      <c r="JX740" s="3"/>
      <c r="JY740" s="3"/>
      <c r="JZ740" s="3"/>
      <c r="KA740" s="3"/>
      <c r="KB740" s="3"/>
      <c r="KC740" s="3"/>
      <c r="KD740" s="3"/>
      <c r="KE740" s="3"/>
      <c r="KF740" s="3"/>
      <c r="KG740" s="3"/>
      <c r="KH740" s="3"/>
      <c r="KI740" s="3"/>
      <c r="KJ740" s="3"/>
      <c r="KK740" s="3"/>
      <c r="KL740" s="3"/>
      <c r="KM740" s="3"/>
      <c r="KN740" s="3"/>
      <c r="KO740" s="3"/>
      <c r="KP740" s="3"/>
      <c r="KQ740" s="3"/>
      <c r="KR740" s="3"/>
      <c r="KS740" s="3"/>
      <c r="KT740" s="3"/>
      <c r="KU740" s="3"/>
      <c r="KV740" s="3"/>
      <c r="KW740" s="3"/>
      <c r="KX740" s="3"/>
      <c r="KY740" s="3"/>
      <c r="KZ740" s="3"/>
      <c r="LA740" s="3"/>
      <c r="LB740" s="3"/>
      <c r="LC740" s="3"/>
      <c r="LD740" s="3"/>
      <c r="LE740" s="3"/>
      <c r="LF740" s="3"/>
      <c r="LG740" s="3"/>
      <c r="LH740" s="3"/>
      <c r="LI740" s="3"/>
      <c r="LJ740" s="3"/>
      <c r="LK740" s="3"/>
      <c r="LL740" s="3"/>
      <c r="LM740" s="3"/>
      <c r="LN740" s="3"/>
      <c r="LO740" s="3"/>
      <c r="LP740" s="3"/>
      <c r="LQ740" s="3"/>
      <c r="LR740" s="3"/>
      <c r="LS740" s="3"/>
      <c r="LT740" s="3"/>
      <c r="LU740" s="3"/>
      <c r="LV740" s="3"/>
      <c r="LW740" s="3"/>
      <c r="LX740" s="3"/>
      <c r="LY740" s="3"/>
      <c r="LZ740" s="3"/>
      <c r="MA740" s="3"/>
      <c r="MB740" s="3"/>
      <c r="MC740" s="3"/>
      <c r="MD740" s="3"/>
      <c r="ME740" s="3"/>
      <c r="MF740" s="3"/>
      <c r="MG740" s="3"/>
      <c r="MH740" s="3"/>
      <c r="MI740" s="3"/>
    </row>
    <row r="741" spans="1:347"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c r="HX741" s="3"/>
      <c r="HY741" s="3"/>
      <c r="HZ741" s="3"/>
      <c r="IA741" s="3"/>
      <c r="IB741" s="3"/>
      <c r="IC741" s="3"/>
      <c r="ID741" s="3"/>
      <c r="IE741" s="3"/>
      <c r="IF741" s="3"/>
      <c r="IG741" s="3"/>
      <c r="IH741" s="3"/>
      <c r="II741" s="3"/>
      <c r="IJ741" s="3"/>
      <c r="IK741" s="3"/>
      <c r="IL741" s="3"/>
      <c r="IM741" s="3"/>
      <c r="IN741" s="3"/>
      <c r="IO741" s="3"/>
      <c r="IP741" s="3"/>
      <c r="IQ741" s="3"/>
      <c r="IR741" s="3"/>
      <c r="IS741" s="3"/>
      <c r="IT741" s="3"/>
      <c r="IU741" s="3"/>
      <c r="IV741" s="3"/>
      <c r="IW741" s="3"/>
      <c r="IX741" s="3"/>
      <c r="IY741" s="3"/>
      <c r="IZ741" s="3"/>
      <c r="JA741" s="3"/>
      <c r="JB741" s="3"/>
      <c r="JC741" s="3"/>
      <c r="JD741" s="3"/>
      <c r="JE741" s="3"/>
      <c r="JF741" s="3"/>
      <c r="JG741" s="3"/>
      <c r="JH741" s="3"/>
      <c r="JI741" s="3"/>
      <c r="JJ741" s="3"/>
      <c r="JK741" s="3"/>
      <c r="JL741" s="3"/>
      <c r="JM741" s="3"/>
      <c r="JN741" s="3"/>
      <c r="JO741" s="3"/>
      <c r="JP741" s="3"/>
      <c r="JQ741" s="3"/>
      <c r="JR741" s="3"/>
      <c r="JS741" s="3"/>
      <c r="JT741" s="3"/>
      <c r="JU741" s="3"/>
      <c r="JV741" s="3"/>
      <c r="JW741" s="3"/>
      <c r="JX741" s="3"/>
      <c r="JY741" s="3"/>
      <c r="JZ741" s="3"/>
      <c r="KA741" s="3"/>
      <c r="KB741" s="3"/>
      <c r="KC741" s="3"/>
      <c r="KD741" s="3"/>
      <c r="KE741" s="3"/>
      <c r="KF741" s="3"/>
      <c r="KG741" s="3"/>
      <c r="KH741" s="3"/>
      <c r="KI741" s="3"/>
      <c r="KJ741" s="3"/>
      <c r="KK741" s="3"/>
      <c r="KL741" s="3"/>
      <c r="KM741" s="3"/>
      <c r="KN741" s="3"/>
      <c r="KO741" s="3"/>
      <c r="KP741" s="3"/>
      <c r="KQ741" s="3"/>
      <c r="KR741" s="3"/>
      <c r="KS741" s="3"/>
      <c r="KT741" s="3"/>
      <c r="KU741" s="3"/>
      <c r="KV741" s="3"/>
      <c r="KW741" s="3"/>
      <c r="KX741" s="3"/>
      <c r="KY741" s="3"/>
      <c r="KZ741" s="3"/>
      <c r="LA741" s="3"/>
      <c r="LB741" s="3"/>
      <c r="LC741" s="3"/>
      <c r="LD741" s="3"/>
      <c r="LE741" s="3"/>
      <c r="LF741" s="3"/>
      <c r="LG741" s="3"/>
      <c r="LH741" s="3"/>
      <c r="LI741" s="3"/>
      <c r="LJ741" s="3"/>
      <c r="LK741" s="3"/>
      <c r="LL741" s="3"/>
      <c r="LM741" s="3"/>
      <c r="LN741" s="3"/>
      <c r="LO741" s="3"/>
      <c r="LP741" s="3"/>
      <c r="LQ741" s="3"/>
      <c r="LR741" s="3"/>
      <c r="LS741" s="3"/>
      <c r="LT741" s="3"/>
      <c r="LU741" s="3"/>
      <c r="LV741" s="3"/>
      <c r="LW741" s="3"/>
      <c r="LX741" s="3"/>
      <c r="LY741" s="3"/>
      <c r="LZ741" s="3"/>
      <c r="MA741" s="3"/>
      <c r="MB741" s="3"/>
      <c r="MC741" s="3"/>
      <c r="MD741" s="3"/>
      <c r="ME741" s="3"/>
      <c r="MF741" s="3"/>
      <c r="MG741" s="3"/>
      <c r="MH741" s="3"/>
      <c r="MI741" s="3"/>
    </row>
    <row r="742" spans="1:347"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c r="HX742" s="3"/>
      <c r="HY742" s="3"/>
      <c r="HZ742" s="3"/>
      <c r="IA742" s="3"/>
      <c r="IB742" s="3"/>
      <c r="IC742" s="3"/>
      <c r="ID742" s="3"/>
      <c r="IE742" s="3"/>
      <c r="IF742" s="3"/>
      <c r="IG742" s="3"/>
      <c r="IH742" s="3"/>
      <c r="II742" s="3"/>
      <c r="IJ742" s="3"/>
      <c r="IK742" s="3"/>
      <c r="IL742" s="3"/>
      <c r="IM742" s="3"/>
      <c r="IN742" s="3"/>
      <c r="IO742" s="3"/>
      <c r="IP742" s="3"/>
      <c r="IQ742" s="3"/>
      <c r="IR742" s="3"/>
      <c r="IS742" s="3"/>
      <c r="IT742" s="3"/>
      <c r="IU742" s="3"/>
      <c r="IV742" s="3"/>
      <c r="IW742" s="3"/>
      <c r="IX742" s="3"/>
      <c r="IY742" s="3"/>
      <c r="IZ742" s="3"/>
      <c r="JA742" s="3"/>
      <c r="JB742" s="3"/>
      <c r="JC742" s="3"/>
      <c r="JD742" s="3"/>
      <c r="JE742" s="3"/>
      <c r="JF742" s="3"/>
      <c r="JG742" s="3"/>
      <c r="JH742" s="3"/>
      <c r="JI742" s="3"/>
      <c r="JJ742" s="3"/>
      <c r="JK742" s="3"/>
      <c r="JL742" s="3"/>
      <c r="JM742" s="3"/>
      <c r="JN742" s="3"/>
      <c r="JO742" s="3"/>
      <c r="JP742" s="3"/>
      <c r="JQ742" s="3"/>
      <c r="JR742" s="3"/>
      <c r="JS742" s="3"/>
      <c r="JT742" s="3"/>
      <c r="JU742" s="3"/>
      <c r="JV742" s="3"/>
      <c r="JW742" s="3"/>
      <c r="JX742" s="3"/>
      <c r="JY742" s="3"/>
      <c r="JZ742" s="3"/>
      <c r="KA742" s="3"/>
      <c r="KB742" s="3"/>
      <c r="KC742" s="3"/>
      <c r="KD742" s="3"/>
      <c r="KE742" s="3"/>
      <c r="KF742" s="3"/>
      <c r="KG742" s="3"/>
      <c r="KH742" s="3"/>
      <c r="KI742" s="3"/>
      <c r="KJ742" s="3"/>
      <c r="KK742" s="3"/>
      <c r="KL742" s="3"/>
      <c r="KM742" s="3"/>
      <c r="KN742" s="3"/>
      <c r="KO742" s="3"/>
      <c r="KP742" s="3"/>
      <c r="KQ742" s="3"/>
      <c r="KR742" s="3"/>
      <c r="KS742" s="3"/>
      <c r="KT742" s="3"/>
      <c r="KU742" s="3"/>
      <c r="KV742" s="3"/>
      <c r="KW742" s="3"/>
      <c r="KX742" s="3"/>
      <c r="KY742" s="3"/>
      <c r="KZ742" s="3"/>
      <c r="LA742" s="3"/>
      <c r="LB742" s="3"/>
      <c r="LC742" s="3"/>
      <c r="LD742" s="3"/>
      <c r="LE742" s="3"/>
      <c r="LF742" s="3"/>
      <c r="LG742" s="3"/>
      <c r="LH742" s="3"/>
      <c r="LI742" s="3"/>
      <c r="LJ742" s="3"/>
      <c r="LK742" s="3"/>
      <c r="LL742" s="3"/>
      <c r="LM742" s="3"/>
      <c r="LN742" s="3"/>
      <c r="LO742" s="3"/>
      <c r="LP742" s="3"/>
      <c r="LQ742" s="3"/>
      <c r="LR742" s="3"/>
      <c r="LS742" s="3"/>
      <c r="LT742" s="3"/>
      <c r="LU742" s="3"/>
      <c r="LV742" s="3"/>
      <c r="LW742" s="3"/>
      <c r="LX742" s="3"/>
      <c r="LY742" s="3"/>
      <c r="LZ742" s="3"/>
      <c r="MA742" s="3"/>
      <c r="MB742" s="3"/>
      <c r="MC742" s="3"/>
      <c r="MD742" s="3"/>
      <c r="ME742" s="3"/>
      <c r="MF742" s="3"/>
      <c r="MG742" s="3"/>
      <c r="MH742" s="3"/>
      <c r="MI742" s="3"/>
    </row>
    <row r="743" spans="1:347"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c r="HX743" s="3"/>
      <c r="HY743" s="3"/>
      <c r="HZ743" s="3"/>
      <c r="IA743" s="3"/>
      <c r="IB743" s="3"/>
      <c r="IC743" s="3"/>
      <c r="ID743" s="3"/>
      <c r="IE743" s="3"/>
      <c r="IF743" s="3"/>
      <c r="IG743" s="3"/>
      <c r="IH743" s="3"/>
      <c r="II743" s="3"/>
      <c r="IJ743" s="3"/>
      <c r="IK743" s="3"/>
      <c r="IL743" s="3"/>
      <c r="IM743" s="3"/>
      <c r="IN743" s="3"/>
      <c r="IO743" s="3"/>
      <c r="IP743" s="3"/>
      <c r="IQ743" s="3"/>
      <c r="IR743" s="3"/>
      <c r="IS743" s="3"/>
      <c r="IT743" s="3"/>
      <c r="IU743" s="3"/>
      <c r="IV743" s="3"/>
      <c r="IW743" s="3"/>
      <c r="IX743" s="3"/>
      <c r="IY743" s="3"/>
      <c r="IZ743" s="3"/>
      <c r="JA743" s="3"/>
      <c r="JB743" s="3"/>
      <c r="JC743" s="3"/>
      <c r="JD743" s="3"/>
      <c r="JE743" s="3"/>
      <c r="JF743" s="3"/>
      <c r="JG743" s="3"/>
      <c r="JH743" s="3"/>
      <c r="JI743" s="3"/>
      <c r="JJ743" s="3"/>
      <c r="JK743" s="3"/>
      <c r="JL743" s="3"/>
      <c r="JM743" s="3"/>
      <c r="JN743" s="3"/>
      <c r="JO743" s="3"/>
      <c r="JP743" s="3"/>
      <c r="JQ743" s="3"/>
      <c r="JR743" s="3"/>
      <c r="JS743" s="3"/>
      <c r="JT743" s="3"/>
      <c r="JU743" s="3"/>
      <c r="JV743" s="3"/>
      <c r="JW743" s="3"/>
      <c r="JX743" s="3"/>
      <c r="JY743" s="3"/>
      <c r="JZ743" s="3"/>
      <c r="KA743" s="3"/>
      <c r="KB743" s="3"/>
      <c r="KC743" s="3"/>
      <c r="KD743" s="3"/>
      <c r="KE743" s="3"/>
      <c r="KF743" s="3"/>
      <c r="KG743" s="3"/>
      <c r="KH743" s="3"/>
      <c r="KI743" s="3"/>
      <c r="KJ743" s="3"/>
      <c r="KK743" s="3"/>
      <c r="KL743" s="3"/>
      <c r="KM743" s="3"/>
      <c r="KN743" s="3"/>
      <c r="KO743" s="3"/>
      <c r="KP743" s="3"/>
      <c r="KQ743" s="3"/>
      <c r="KR743" s="3"/>
      <c r="KS743" s="3"/>
      <c r="KT743" s="3"/>
      <c r="KU743" s="3"/>
      <c r="KV743" s="3"/>
      <c r="KW743" s="3"/>
      <c r="KX743" s="3"/>
      <c r="KY743" s="3"/>
      <c r="KZ743" s="3"/>
      <c r="LA743" s="3"/>
      <c r="LB743" s="3"/>
      <c r="LC743" s="3"/>
      <c r="LD743" s="3"/>
      <c r="LE743" s="3"/>
      <c r="LF743" s="3"/>
      <c r="LG743" s="3"/>
      <c r="LH743" s="3"/>
      <c r="LI743" s="3"/>
      <c r="LJ743" s="3"/>
      <c r="LK743" s="3"/>
      <c r="LL743" s="3"/>
      <c r="LM743" s="3"/>
      <c r="LN743" s="3"/>
      <c r="LO743" s="3"/>
      <c r="LP743" s="3"/>
      <c r="LQ743" s="3"/>
      <c r="LR743" s="3"/>
      <c r="LS743" s="3"/>
      <c r="LT743" s="3"/>
      <c r="LU743" s="3"/>
      <c r="LV743" s="3"/>
      <c r="LW743" s="3"/>
      <c r="LX743" s="3"/>
      <c r="LY743" s="3"/>
      <c r="LZ743" s="3"/>
      <c r="MA743" s="3"/>
      <c r="MB743" s="3"/>
      <c r="MC743" s="3"/>
      <c r="MD743" s="3"/>
      <c r="ME743" s="3"/>
      <c r="MF743" s="3"/>
      <c r="MG743" s="3"/>
      <c r="MH743" s="3"/>
      <c r="MI743" s="3"/>
    </row>
    <row r="744" spans="1:347"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c r="HX744" s="3"/>
      <c r="HY744" s="3"/>
      <c r="HZ744" s="3"/>
      <c r="IA744" s="3"/>
      <c r="IB744" s="3"/>
      <c r="IC744" s="3"/>
      <c r="ID744" s="3"/>
      <c r="IE744" s="3"/>
      <c r="IF744" s="3"/>
      <c r="IG744" s="3"/>
      <c r="IH744" s="3"/>
      <c r="II744" s="3"/>
      <c r="IJ744" s="3"/>
      <c r="IK744" s="3"/>
      <c r="IL744" s="3"/>
      <c r="IM744" s="3"/>
      <c r="IN744" s="3"/>
      <c r="IO744" s="3"/>
      <c r="IP744" s="3"/>
      <c r="IQ744" s="3"/>
      <c r="IR744" s="3"/>
      <c r="IS744" s="3"/>
      <c r="IT744" s="3"/>
      <c r="IU744" s="3"/>
      <c r="IV744" s="3"/>
      <c r="IW744" s="3"/>
      <c r="IX744" s="3"/>
      <c r="IY744" s="3"/>
      <c r="IZ744" s="3"/>
      <c r="JA744" s="3"/>
      <c r="JB744" s="3"/>
      <c r="JC744" s="3"/>
      <c r="JD744" s="3"/>
      <c r="JE744" s="3"/>
      <c r="JF744" s="3"/>
      <c r="JG744" s="3"/>
      <c r="JH744" s="3"/>
      <c r="JI744" s="3"/>
      <c r="JJ744" s="3"/>
      <c r="JK744" s="3"/>
      <c r="JL744" s="3"/>
      <c r="JM744" s="3"/>
      <c r="JN744" s="3"/>
      <c r="JO744" s="3"/>
      <c r="JP744" s="3"/>
      <c r="JQ744" s="3"/>
      <c r="JR744" s="3"/>
      <c r="JS744" s="3"/>
      <c r="JT744" s="3"/>
      <c r="JU744" s="3"/>
      <c r="JV744" s="3"/>
      <c r="JW744" s="3"/>
      <c r="JX744" s="3"/>
      <c r="JY744" s="3"/>
      <c r="JZ744" s="3"/>
      <c r="KA744" s="3"/>
      <c r="KB744" s="3"/>
      <c r="KC744" s="3"/>
      <c r="KD744" s="3"/>
      <c r="KE744" s="3"/>
      <c r="KF744" s="3"/>
      <c r="KG744" s="3"/>
      <c r="KH744" s="3"/>
      <c r="KI744" s="3"/>
      <c r="KJ744" s="3"/>
      <c r="KK744" s="3"/>
      <c r="KL744" s="3"/>
      <c r="KM744" s="3"/>
      <c r="KN744" s="3"/>
      <c r="KO744" s="3"/>
      <c r="KP744" s="3"/>
      <c r="KQ744" s="3"/>
      <c r="KR744" s="3"/>
      <c r="KS744" s="3"/>
      <c r="KT744" s="3"/>
      <c r="KU744" s="3"/>
      <c r="KV744" s="3"/>
      <c r="KW744" s="3"/>
      <c r="KX744" s="3"/>
      <c r="KY744" s="3"/>
      <c r="KZ744" s="3"/>
      <c r="LA744" s="3"/>
      <c r="LB744" s="3"/>
      <c r="LC744" s="3"/>
      <c r="LD744" s="3"/>
      <c r="LE744" s="3"/>
      <c r="LF744" s="3"/>
      <c r="LG744" s="3"/>
      <c r="LH744" s="3"/>
      <c r="LI744" s="3"/>
      <c r="LJ744" s="3"/>
      <c r="LK744" s="3"/>
      <c r="LL744" s="3"/>
      <c r="LM744" s="3"/>
      <c r="LN744" s="3"/>
      <c r="LO744" s="3"/>
      <c r="LP744" s="3"/>
      <c r="LQ744" s="3"/>
      <c r="LR744" s="3"/>
      <c r="LS744" s="3"/>
      <c r="LT744" s="3"/>
      <c r="LU744" s="3"/>
      <c r="LV744" s="3"/>
      <c r="LW744" s="3"/>
      <c r="LX744" s="3"/>
      <c r="LY744" s="3"/>
      <c r="LZ744" s="3"/>
      <c r="MA744" s="3"/>
      <c r="MB744" s="3"/>
      <c r="MC744" s="3"/>
      <c r="MD744" s="3"/>
      <c r="ME744" s="3"/>
      <c r="MF744" s="3"/>
      <c r="MG744" s="3"/>
      <c r="MH744" s="3"/>
      <c r="MI744" s="3"/>
    </row>
    <row r="745" spans="1:347"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c r="HX745" s="3"/>
      <c r="HY745" s="3"/>
      <c r="HZ745" s="3"/>
      <c r="IA745" s="3"/>
      <c r="IB745" s="3"/>
      <c r="IC745" s="3"/>
      <c r="ID745" s="3"/>
      <c r="IE745" s="3"/>
      <c r="IF745" s="3"/>
      <c r="IG745" s="3"/>
      <c r="IH745" s="3"/>
      <c r="II745" s="3"/>
      <c r="IJ745" s="3"/>
      <c r="IK745" s="3"/>
      <c r="IL745" s="3"/>
      <c r="IM745" s="3"/>
      <c r="IN745" s="3"/>
      <c r="IO745" s="3"/>
      <c r="IP745" s="3"/>
      <c r="IQ745" s="3"/>
      <c r="IR745" s="3"/>
      <c r="IS745" s="3"/>
      <c r="IT745" s="3"/>
      <c r="IU745" s="3"/>
      <c r="IV745" s="3"/>
      <c r="IW745" s="3"/>
      <c r="IX745" s="3"/>
      <c r="IY745" s="3"/>
      <c r="IZ745" s="3"/>
      <c r="JA745" s="3"/>
      <c r="JB745" s="3"/>
      <c r="JC745" s="3"/>
      <c r="JD745" s="3"/>
      <c r="JE745" s="3"/>
      <c r="JF745" s="3"/>
      <c r="JG745" s="3"/>
      <c r="JH745" s="3"/>
      <c r="JI745" s="3"/>
      <c r="JJ745" s="3"/>
      <c r="JK745" s="3"/>
      <c r="JL745" s="3"/>
      <c r="JM745" s="3"/>
      <c r="JN745" s="3"/>
      <c r="JO745" s="3"/>
      <c r="JP745" s="3"/>
      <c r="JQ745" s="3"/>
      <c r="JR745" s="3"/>
      <c r="JS745" s="3"/>
      <c r="JT745" s="3"/>
      <c r="JU745" s="3"/>
      <c r="JV745" s="3"/>
      <c r="JW745" s="3"/>
      <c r="JX745" s="3"/>
      <c r="JY745" s="3"/>
      <c r="JZ745" s="3"/>
      <c r="KA745" s="3"/>
      <c r="KB745" s="3"/>
      <c r="KC745" s="3"/>
      <c r="KD745" s="3"/>
      <c r="KE745" s="3"/>
      <c r="KF745" s="3"/>
      <c r="KG745" s="3"/>
      <c r="KH745" s="3"/>
      <c r="KI745" s="3"/>
      <c r="KJ745" s="3"/>
      <c r="KK745" s="3"/>
      <c r="KL745" s="3"/>
      <c r="KM745" s="3"/>
      <c r="KN745" s="3"/>
      <c r="KO745" s="3"/>
      <c r="KP745" s="3"/>
      <c r="KQ745" s="3"/>
      <c r="KR745" s="3"/>
      <c r="KS745" s="3"/>
      <c r="KT745" s="3"/>
      <c r="KU745" s="3"/>
      <c r="KV745" s="3"/>
      <c r="KW745" s="3"/>
      <c r="KX745" s="3"/>
      <c r="KY745" s="3"/>
      <c r="KZ745" s="3"/>
      <c r="LA745" s="3"/>
      <c r="LB745" s="3"/>
      <c r="LC745" s="3"/>
      <c r="LD745" s="3"/>
      <c r="LE745" s="3"/>
      <c r="LF745" s="3"/>
      <c r="LG745" s="3"/>
      <c r="LH745" s="3"/>
      <c r="LI745" s="3"/>
      <c r="LJ745" s="3"/>
      <c r="LK745" s="3"/>
      <c r="LL745" s="3"/>
      <c r="LM745" s="3"/>
      <c r="LN745" s="3"/>
      <c r="LO745" s="3"/>
      <c r="LP745" s="3"/>
      <c r="LQ745" s="3"/>
      <c r="LR745" s="3"/>
      <c r="LS745" s="3"/>
      <c r="LT745" s="3"/>
      <c r="LU745" s="3"/>
      <c r="LV745" s="3"/>
      <c r="LW745" s="3"/>
      <c r="LX745" s="3"/>
      <c r="LY745" s="3"/>
      <c r="LZ745" s="3"/>
      <c r="MA745" s="3"/>
      <c r="MB745" s="3"/>
      <c r="MC745" s="3"/>
      <c r="MD745" s="3"/>
      <c r="ME745" s="3"/>
      <c r="MF745" s="3"/>
      <c r="MG745" s="3"/>
      <c r="MH745" s="3"/>
      <c r="MI745" s="3"/>
    </row>
    <row r="746" spans="1:347"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c r="HX746" s="3"/>
      <c r="HY746" s="3"/>
      <c r="HZ746" s="3"/>
      <c r="IA746" s="3"/>
      <c r="IB746" s="3"/>
      <c r="IC746" s="3"/>
      <c r="ID746" s="3"/>
      <c r="IE746" s="3"/>
      <c r="IF746" s="3"/>
      <c r="IG746" s="3"/>
      <c r="IH746" s="3"/>
      <c r="II746" s="3"/>
      <c r="IJ746" s="3"/>
      <c r="IK746" s="3"/>
      <c r="IL746" s="3"/>
      <c r="IM746" s="3"/>
      <c r="IN746" s="3"/>
      <c r="IO746" s="3"/>
      <c r="IP746" s="3"/>
      <c r="IQ746" s="3"/>
      <c r="IR746" s="3"/>
      <c r="IS746" s="3"/>
      <c r="IT746" s="3"/>
      <c r="IU746" s="3"/>
      <c r="IV746" s="3"/>
      <c r="IW746" s="3"/>
      <c r="IX746" s="3"/>
      <c r="IY746" s="3"/>
      <c r="IZ746" s="3"/>
      <c r="JA746" s="3"/>
      <c r="JB746" s="3"/>
      <c r="JC746" s="3"/>
      <c r="JD746" s="3"/>
      <c r="JE746" s="3"/>
      <c r="JF746" s="3"/>
      <c r="JG746" s="3"/>
      <c r="JH746" s="3"/>
      <c r="JI746" s="3"/>
      <c r="JJ746" s="3"/>
      <c r="JK746" s="3"/>
      <c r="JL746" s="3"/>
      <c r="JM746" s="3"/>
      <c r="JN746" s="3"/>
      <c r="JO746" s="3"/>
      <c r="JP746" s="3"/>
      <c r="JQ746" s="3"/>
      <c r="JR746" s="3"/>
      <c r="JS746" s="3"/>
      <c r="JT746" s="3"/>
      <c r="JU746" s="3"/>
      <c r="JV746" s="3"/>
      <c r="JW746" s="3"/>
      <c r="JX746" s="3"/>
      <c r="JY746" s="3"/>
      <c r="JZ746" s="3"/>
      <c r="KA746" s="3"/>
      <c r="KB746" s="3"/>
      <c r="KC746" s="3"/>
      <c r="KD746" s="3"/>
      <c r="KE746" s="3"/>
      <c r="KF746" s="3"/>
      <c r="KG746" s="3"/>
      <c r="KH746" s="3"/>
      <c r="KI746" s="3"/>
      <c r="KJ746" s="3"/>
      <c r="KK746" s="3"/>
      <c r="KL746" s="3"/>
      <c r="KM746" s="3"/>
      <c r="KN746" s="3"/>
      <c r="KO746" s="3"/>
      <c r="KP746" s="3"/>
      <c r="KQ746" s="3"/>
      <c r="KR746" s="3"/>
      <c r="KS746" s="3"/>
      <c r="KT746" s="3"/>
      <c r="KU746" s="3"/>
      <c r="KV746" s="3"/>
      <c r="KW746" s="3"/>
      <c r="KX746" s="3"/>
      <c r="KY746" s="3"/>
      <c r="KZ746" s="3"/>
      <c r="LA746" s="3"/>
      <c r="LB746" s="3"/>
      <c r="LC746" s="3"/>
      <c r="LD746" s="3"/>
      <c r="LE746" s="3"/>
      <c r="LF746" s="3"/>
      <c r="LG746" s="3"/>
      <c r="LH746" s="3"/>
      <c r="LI746" s="3"/>
      <c r="LJ746" s="3"/>
      <c r="LK746" s="3"/>
      <c r="LL746" s="3"/>
      <c r="LM746" s="3"/>
      <c r="LN746" s="3"/>
      <c r="LO746" s="3"/>
      <c r="LP746" s="3"/>
      <c r="LQ746" s="3"/>
      <c r="LR746" s="3"/>
      <c r="LS746" s="3"/>
      <c r="LT746" s="3"/>
      <c r="LU746" s="3"/>
      <c r="LV746" s="3"/>
      <c r="LW746" s="3"/>
      <c r="LX746" s="3"/>
      <c r="LY746" s="3"/>
      <c r="LZ746" s="3"/>
      <c r="MA746" s="3"/>
      <c r="MB746" s="3"/>
      <c r="MC746" s="3"/>
      <c r="MD746" s="3"/>
      <c r="ME746" s="3"/>
      <c r="MF746" s="3"/>
      <c r="MG746" s="3"/>
      <c r="MH746" s="3"/>
      <c r="MI746" s="3"/>
    </row>
    <row r="747" spans="1:347"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c r="HX747" s="3"/>
      <c r="HY747" s="3"/>
      <c r="HZ747" s="3"/>
      <c r="IA747" s="3"/>
      <c r="IB747" s="3"/>
      <c r="IC747" s="3"/>
      <c r="ID747" s="3"/>
      <c r="IE747" s="3"/>
      <c r="IF747" s="3"/>
      <c r="IG747" s="3"/>
      <c r="IH747" s="3"/>
      <c r="II747" s="3"/>
      <c r="IJ747" s="3"/>
      <c r="IK747" s="3"/>
      <c r="IL747" s="3"/>
      <c r="IM747" s="3"/>
      <c r="IN747" s="3"/>
      <c r="IO747" s="3"/>
      <c r="IP747" s="3"/>
      <c r="IQ747" s="3"/>
      <c r="IR747" s="3"/>
      <c r="IS747" s="3"/>
      <c r="IT747" s="3"/>
      <c r="IU747" s="3"/>
      <c r="IV747" s="3"/>
      <c r="IW747" s="3"/>
      <c r="IX747" s="3"/>
      <c r="IY747" s="3"/>
      <c r="IZ747" s="3"/>
      <c r="JA747" s="3"/>
      <c r="JB747" s="3"/>
      <c r="JC747" s="3"/>
      <c r="JD747" s="3"/>
      <c r="JE747" s="3"/>
      <c r="JF747" s="3"/>
      <c r="JG747" s="3"/>
      <c r="JH747" s="3"/>
      <c r="JI747" s="3"/>
      <c r="JJ747" s="3"/>
      <c r="JK747" s="3"/>
      <c r="JL747" s="3"/>
      <c r="JM747" s="3"/>
      <c r="JN747" s="3"/>
      <c r="JO747" s="3"/>
      <c r="JP747" s="3"/>
      <c r="JQ747" s="3"/>
      <c r="JR747" s="3"/>
      <c r="JS747" s="3"/>
      <c r="JT747" s="3"/>
      <c r="JU747" s="3"/>
      <c r="JV747" s="3"/>
      <c r="JW747" s="3"/>
      <c r="JX747" s="3"/>
      <c r="JY747" s="3"/>
      <c r="JZ747" s="3"/>
      <c r="KA747" s="3"/>
      <c r="KB747" s="3"/>
      <c r="KC747" s="3"/>
      <c r="KD747" s="3"/>
      <c r="KE747" s="3"/>
      <c r="KF747" s="3"/>
      <c r="KG747" s="3"/>
      <c r="KH747" s="3"/>
      <c r="KI747" s="3"/>
      <c r="KJ747" s="3"/>
      <c r="KK747" s="3"/>
      <c r="KL747" s="3"/>
      <c r="KM747" s="3"/>
      <c r="KN747" s="3"/>
      <c r="KO747" s="3"/>
      <c r="KP747" s="3"/>
      <c r="KQ747" s="3"/>
      <c r="KR747" s="3"/>
      <c r="KS747" s="3"/>
      <c r="KT747" s="3"/>
      <c r="KU747" s="3"/>
      <c r="KV747" s="3"/>
      <c r="KW747" s="3"/>
      <c r="KX747" s="3"/>
      <c r="KY747" s="3"/>
      <c r="KZ747" s="3"/>
      <c r="LA747" s="3"/>
      <c r="LB747" s="3"/>
      <c r="LC747" s="3"/>
      <c r="LD747" s="3"/>
      <c r="LE747" s="3"/>
      <c r="LF747" s="3"/>
      <c r="LG747" s="3"/>
      <c r="LH747" s="3"/>
      <c r="LI747" s="3"/>
      <c r="LJ747" s="3"/>
      <c r="LK747" s="3"/>
      <c r="LL747" s="3"/>
      <c r="LM747" s="3"/>
      <c r="LN747" s="3"/>
      <c r="LO747" s="3"/>
      <c r="LP747" s="3"/>
      <c r="LQ747" s="3"/>
      <c r="LR747" s="3"/>
      <c r="LS747" s="3"/>
      <c r="LT747" s="3"/>
      <c r="LU747" s="3"/>
      <c r="LV747" s="3"/>
      <c r="LW747" s="3"/>
      <c r="LX747" s="3"/>
      <c r="LY747" s="3"/>
      <c r="LZ747" s="3"/>
      <c r="MA747" s="3"/>
      <c r="MB747" s="3"/>
      <c r="MC747" s="3"/>
      <c r="MD747" s="3"/>
      <c r="ME747" s="3"/>
      <c r="MF747" s="3"/>
      <c r="MG747" s="3"/>
      <c r="MH747" s="3"/>
      <c r="MI747" s="3"/>
    </row>
    <row r="748" spans="1:347"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c r="HX748" s="3"/>
      <c r="HY748" s="3"/>
      <c r="HZ748" s="3"/>
      <c r="IA748" s="3"/>
      <c r="IB748" s="3"/>
      <c r="IC748" s="3"/>
      <c r="ID748" s="3"/>
      <c r="IE748" s="3"/>
      <c r="IF748" s="3"/>
      <c r="IG748" s="3"/>
      <c r="IH748" s="3"/>
      <c r="II748" s="3"/>
      <c r="IJ748" s="3"/>
      <c r="IK748" s="3"/>
      <c r="IL748" s="3"/>
      <c r="IM748" s="3"/>
      <c r="IN748" s="3"/>
      <c r="IO748" s="3"/>
      <c r="IP748" s="3"/>
      <c r="IQ748" s="3"/>
      <c r="IR748" s="3"/>
      <c r="IS748" s="3"/>
      <c r="IT748" s="3"/>
      <c r="IU748" s="3"/>
      <c r="IV748" s="3"/>
      <c r="IW748" s="3"/>
      <c r="IX748" s="3"/>
      <c r="IY748" s="3"/>
      <c r="IZ748" s="3"/>
      <c r="JA748" s="3"/>
      <c r="JB748" s="3"/>
      <c r="JC748" s="3"/>
      <c r="JD748" s="3"/>
      <c r="JE748" s="3"/>
      <c r="JF748" s="3"/>
      <c r="JG748" s="3"/>
      <c r="JH748" s="3"/>
      <c r="JI748" s="3"/>
      <c r="JJ748" s="3"/>
      <c r="JK748" s="3"/>
      <c r="JL748" s="3"/>
      <c r="JM748" s="3"/>
      <c r="JN748" s="3"/>
      <c r="JO748" s="3"/>
      <c r="JP748" s="3"/>
      <c r="JQ748" s="3"/>
      <c r="JR748" s="3"/>
      <c r="JS748" s="3"/>
      <c r="JT748" s="3"/>
      <c r="JU748" s="3"/>
      <c r="JV748" s="3"/>
      <c r="JW748" s="3"/>
      <c r="JX748" s="3"/>
      <c r="JY748" s="3"/>
      <c r="JZ748" s="3"/>
      <c r="KA748" s="3"/>
      <c r="KB748" s="3"/>
      <c r="KC748" s="3"/>
      <c r="KD748" s="3"/>
      <c r="KE748" s="3"/>
      <c r="KF748" s="3"/>
      <c r="KG748" s="3"/>
      <c r="KH748" s="3"/>
      <c r="KI748" s="3"/>
      <c r="KJ748" s="3"/>
      <c r="KK748" s="3"/>
      <c r="KL748" s="3"/>
      <c r="KM748" s="3"/>
      <c r="KN748" s="3"/>
      <c r="KO748" s="3"/>
      <c r="KP748" s="3"/>
      <c r="KQ748" s="3"/>
      <c r="KR748" s="3"/>
      <c r="KS748" s="3"/>
      <c r="KT748" s="3"/>
      <c r="KU748" s="3"/>
      <c r="KV748" s="3"/>
      <c r="KW748" s="3"/>
      <c r="KX748" s="3"/>
      <c r="KY748" s="3"/>
      <c r="KZ748" s="3"/>
      <c r="LA748" s="3"/>
      <c r="LB748" s="3"/>
      <c r="LC748" s="3"/>
      <c r="LD748" s="3"/>
      <c r="LE748" s="3"/>
      <c r="LF748" s="3"/>
      <c r="LG748" s="3"/>
      <c r="LH748" s="3"/>
      <c r="LI748" s="3"/>
      <c r="LJ748" s="3"/>
      <c r="LK748" s="3"/>
      <c r="LL748" s="3"/>
      <c r="LM748" s="3"/>
      <c r="LN748" s="3"/>
      <c r="LO748" s="3"/>
      <c r="LP748" s="3"/>
      <c r="LQ748" s="3"/>
      <c r="LR748" s="3"/>
      <c r="LS748" s="3"/>
      <c r="LT748" s="3"/>
      <c r="LU748" s="3"/>
      <c r="LV748" s="3"/>
      <c r="LW748" s="3"/>
      <c r="LX748" s="3"/>
      <c r="LY748" s="3"/>
      <c r="LZ748" s="3"/>
      <c r="MA748" s="3"/>
      <c r="MB748" s="3"/>
      <c r="MC748" s="3"/>
      <c r="MD748" s="3"/>
      <c r="ME748" s="3"/>
      <c r="MF748" s="3"/>
      <c r="MG748" s="3"/>
      <c r="MH748" s="3"/>
      <c r="MI748" s="3"/>
    </row>
    <row r="749" spans="1:347"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c r="HX749" s="3"/>
      <c r="HY749" s="3"/>
      <c r="HZ749" s="3"/>
      <c r="IA749" s="3"/>
      <c r="IB749" s="3"/>
      <c r="IC749" s="3"/>
      <c r="ID749" s="3"/>
      <c r="IE749" s="3"/>
      <c r="IF749" s="3"/>
      <c r="IG749" s="3"/>
      <c r="IH749" s="3"/>
      <c r="II749" s="3"/>
      <c r="IJ749" s="3"/>
      <c r="IK749" s="3"/>
      <c r="IL749" s="3"/>
      <c r="IM749" s="3"/>
      <c r="IN749" s="3"/>
      <c r="IO749" s="3"/>
      <c r="IP749" s="3"/>
      <c r="IQ749" s="3"/>
      <c r="IR749" s="3"/>
      <c r="IS749" s="3"/>
      <c r="IT749" s="3"/>
      <c r="IU749" s="3"/>
      <c r="IV749" s="3"/>
      <c r="IW749" s="3"/>
      <c r="IX749" s="3"/>
      <c r="IY749" s="3"/>
      <c r="IZ749" s="3"/>
      <c r="JA749" s="3"/>
      <c r="JB749" s="3"/>
      <c r="JC749" s="3"/>
      <c r="JD749" s="3"/>
      <c r="JE749" s="3"/>
      <c r="JF749" s="3"/>
      <c r="JG749" s="3"/>
      <c r="JH749" s="3"/>
      <c r="JI749" s="3"/>
      <c r="JJ749" s="3"/>
      <c r="JK749" s="3"/>
      <c r="JL749" s="3"/>
      <c r="JM749" s="3"/>
      <c r="JN749" s="3"/>
      <c r="JO749" s="3"/>
      <c r="JP749" s="3"/>
      <c r="JQ749" s="3"/>
      <c r="JR749" s="3"/>
      <c r="JS749" s="3"/>
      <c r="JT749" s="3"/>
      <c r="JU749" s="3"/>
      <c r="JV749" s="3"/>
      <c r="JW749" s="3"/>
      <c r="JX749" s="3"/>
      <c r="JY749" s="3"/>
      <c r="JZ749" s="3"/>
      <c r="KA749" s="3"/>
      <c r="KB749" s="3"/>
      <c r="KC749" s="3"/>
      <c r="KD749" s="3"/>
      <c r="KE749" s="3"/>
      <c r="KF749" s="3"/>
      <c r="KG749" s="3"/>
      <c r="KH749" s="3"/>
      <c r="KI749" s="3"/>
      <c r="KJ749" s="3"/>
      <c r="KK749" s="3"/>
      <c r="KL749" s="3"/>
      <c r="KM749" s="3"/>
      <c r="KN749" s="3"/>
      <c r="KO749" s="3"/>
      <c r="KP749" s="3"/>
      <c r="KQ749" s="3"/>
      <c r="KR749" s="3"/>
      <c r="KS749" s="3"/>
      <c r="KT749" s="3"/>
      <c r="KU749" s="3"/>
      <c r="KV749" s="3"/>
      <c r="KW749" s="3"/>
      <c r="KX749" s="3"/>
      <c r="KY749" s="3"/>
      <c r="KZ749" s="3"/>
      <c r="LA749" s="3"/>
      <c r="LB749" s="3"/>
      <c r="LC749" s="3"/>
      <c r="LD749" s="3"/>
      <c r="LE749" s="3"/>
      <c r="LF749" s="3"/>
      <c r="LG749" s="3"/>
      <c r="LH749" s="3"/>
      <c r="LI749" s="3"/>
      <c r="LJ749" s="3"/>
      <c r="LK749" s="3"/>
      <c r="LL749" s="3"/>
      <c r="LM749" s="3"/>
      <c r="LN749" s="3"/>
      <c r="LO749" s="3"/>
      <c r="LP749" s="3"/>
      <c r="LQ749" s="3"/>
      <c r="LR749" s="3"/>
      <c r="LS749" s="3"/>
      <c r="LT749" s="3"/>
      <c r="LU749" s="3"/>
      <c r="LV749" s="3"/>
      <c r="LW749" s="3"/>
      <c r="LX749" s="3"/>
      <c r="LY749" s="3"/>
      <c r="LZ749" s="3"/>
      <c r="MA749" s="3"/>
      <c r="MB749" s="3"/>
      <c r="MC749" s="3"/>
      <c r="MD749" s="3"/>
      <c r="ME749" s="3"/>
      <c r="MF749" s="3"/>
      <c r="MG749" s="3"/>
      <c r="MH749" s="3"/>
      <c r="MI749" s="3"/>
    </row>
    <row r="750" spans="1:347"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c r="HX750" s="3"/>
      <c r="HY750" s="3"/>
      <c r="HZ750" s="3"/>
      <c r="IA750" s="3"/>
      <c r="IB750" s="3"/>
      <c r="IC750" s="3"/>
      <c r="ID750" s="3"/>
      <c r="IE750" s="3"/>
      <c r="IF750" s="3"/>
      <c r="IG750" s="3"/>
      <c r="IH750" s="3"/>
      <c r="II750" s="3"/>
      <c r="IJ750" s="3"/>
      <c r="IK750" s="3"/>
      <c r="IL750" s="3"/>
      <c r="IM750" s="3"/>
      <c r="IN750" s="3"/>
      <c r="IO750" s="3"/>
      <c r="IP750" s="3"/>
      <c r="IQ750" s="3"/>
      <c r="IR750" s="3"/>
      <c r="IS750" s="3"/>
      <c r="IT750" s="3"/>
      <c r="IU750" s="3"/>
      <c r="IV750" s="3"/>
      <c r="IW750" s="3"/>
      <c r="IX750" s="3"/>
      <c r="IY750" s="3"/>
      <c r="IZ750" s="3"/>
      <c r="JA750" s="3"/>
      <c r="JB750" s="3"/>
      <c r="JC750" s="3"/>
      <c r="JD750" s="3"/>
      <c r="JE750" s="3"/>
      <c r="JF750" s="3"/>
      <c r="JG750" s="3"/>
      <c r="JH750" s="3"/>
      <c r="JI750" s="3"/>
      <c r="JJ750" s="3"/>
      <c r="JK750" s="3"/>
      <c r="JL750" s="3"/>
      <c r="JM750" s="3"/>
      <c r="JN750" s="3"/>
      <c r="JO750" s="3"/>
      <c r="JP750" s="3"/>
      <c r="JQ750" s="3"/>
      <c r="JR750" s="3"/>
      <c r="JS750" s="3"/>
      <c r="JT750" s="3"/>
      <c r="JU750" s="3"/>
      <c r="JV750" s="3"/>
      <c r="JW750" s="3"/>
      <c r="JX750" s="3"/>
      <c r="JY750" s="3"/>
      <c r="JZ750" s="3"/>
      <c r="KA750" s="3"/>
      <c r="KB750" s="3"/>
      <c r="KC750" s="3"/>
      <c r="KD750" s="3"/>
      <c r="KE750" s="3"/>
      <c r="KF750" s="3"/>
      <c r="KG750" s="3"/>
      <c r="KH750" s="3"/>
      <c r="KI750" s="3"/>
      <c r="KJ750" s="3"/>
      <c r="KK750" s="3"/>
      <c r="KL750" s="3"/>
      <c r="KM750" s="3"/>
      <c r="KN750" s="3"/>
      <c r="KO750" s="3"/>
      <c r="KP750" s="3"/>
      <c r="KQ750" s="3"/>
      <c r="KR750" s="3"/>
      <c r="KS750" s="3"/>
      <c r="KT750" s="3"/>
      <c r="KU750" s="3"/>
      <c r="KV750" s="3"/>
      <c r="KW750" s="3"/>
      <c r="KX750" s="3"/>
      <c r="KY750" s="3"/>
      <c r="KZ750" s="3"/>
      <c r="LA750" s="3"/>
      <c r="LB750" s="3"/>
      <c r="LC750" s="3"/>
      <c r="LD750" s="3"/>
      <c r="LE750" s="3"/>
      <c r="LF750" s="3"/>
      <c r="LG750" s="3"/>
      <c r="LH750" s="3"/>
      <c r="LI750" s="3"/>
      <c r="LJ750" s="3"/>
      <c r="LK750" s="3"/>
      <c r="LL750" s="3"/>
      <c r="LM750" s="3"/>
      <c r="LN750" s="3"/>
      <c r="LO750" s="3"/>
      <c r="LP750" s="3"/>
      <c r="LQ750" s="3"/>
      <c r="LR750" s="3"/>
      <c r="LS750" s="3"/>
      <c r="LT750" s="3"/>
      <c r="LU750" s="3"/>
      <c r="LV750" s="3"/>
      <c r="LW750" s="3"/>
      <c r="LX750" s="3"/>
      <c r="LY750" s="3"/>
      <c r="LZ750" s="3"/>
      <c r="MA750" s="3"/>
      <c r="MB750" s="3"/>
      <c r="MC750" s="3"/>
      <c r="MD750" s="3"/>
      <c r="ME750" s="3"/>
      <c r="MF750" s="3"/>
      <c r="MG750" s="3"/>
      <c r="MH750" s="3"/>
      <c r="MI750" s="3"/>
    </row>
    <row r="751" spans="1:347"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c r="HX751" s="3"/>
      <c r="HY751" s="3"/>
      <c r="HZ751" s="3"/>
      <c r="IA751" s="3"/>
      <c r="IB751" s="3"/>
      <c r="IC751" s="3"/>
      <c r="ID751" s="3"/>
      <c r="IE751" s="3"/>
      <c r="IF751" s="3"/>
      <c r="IG751" s="3"/>
      <c r="IH751" s="3"/>
      <c r="II751" s="3"/>
      <c r="IJ751" s="3"/>
      <c r="IK751" s="3"/>
      <c r="IL751" s="3"/>
      <c r="IM751" s="3"/>
      <c r="IN751" s="3"/>
      <c r="IO751" s="3"/>
      <c r="IP751" s="3"/>
      <c r="IQ751" s="3"/>
      <c r="IR751" s="3"/>
      <c r="IS751" s="3"/>
      <c r="IT751" s="3"/>
      <c r="IU751" s="3"/>
      <c r="IV751" s="3"/>
      <c r="IW751" s="3"/>
      <c r="IX751" s="3"/>
      <c r="IY751" s="3"/>
      <c r="IZ751" s="3"/>
      <c r="JA751" s="3"/>
      <c r="JB751" s="3"/>
      <c r="JC751" s="3"/>
      <c r="JD751" s="3"/>
      <c r="JE751" s="3"/>
      <c r="JF751" s="3"/>
      <c r="JG751" s="3"/>
      <c r="JH751" s="3"/>
      <c r="JI751" s="3"/>
      <c r="JJ751" s="3"/>
      <c r="JK751" s="3"/>
      <c r="JL751" s="3"/>
      <c r="JM751" s="3"/>
      <c r="JN751" s="3"/>
      <c r="JO751" s="3"/>
      <c r="JP751" s="3"/>
      <c r="JQ751" s="3"/>
      <c r="JR751" s="3"/>
      <c r="JS751" s="3"/>
      <c r="JT751" s="3"/>
      <c r="JU751" s="3"/>
      <c r="JV751" s="3"/>
      <c r="JW751" s="3"/>
      <c r="JX751" s="3"/>
      <c r="JY751" s="3"/>
      <c r="JZ751" s="3"/>
      <c r="KA751" s="3"/>
      <c r="KB751" s="3"/>
      <c r="KC751" s="3"/>
      <c r="KD751" s="3"/>
      <c r="KE751" s="3"/>
      <c r="KF751" s="3"/>
      <c r="KG751" s="3"/>
      <c r="KH751" s="3"/>
      <c r="KI751" s="3"/>
      <c r="KJ751" s="3"/>
      <c r="KK751" s="3"/>
      <c r="KL751" s="3"/>
      <c r="KM751" s="3"/>
      <c r="KN751" s="3"/>
      <c r="KO751" s="3"/>
      <c r="KP751" s="3"/>
      <c r="KQ751" s="3"/>
      <c r="KR751" s="3"/>
      <c r="KS751" s="3"/>
      <c r="KT751" s="3"/>
      <c r="KU751" s="3"/>
      <c r="KV751" s="3"/>
      <c r="KW751" s="3"/>
      <c r="KX751" s="3"/>
      <c r="KY751" s="3"/>
      <c r="KZ751" s="3"/>
      <c r="LA751" s="3"/>
      <c r="LB751" s="3"/>
      <c r="LC751" s="3"/>
      <c r="LD751" s="3"/>
      <c r="LE751" s="3"/>
      <c r="LF751" s="3"/>
      <c r="LG751" s="3"/>
      <c r="LH751" s="3"/>
      <c r="LI751" s="3"/>
      <c r="LJ751" s="3"/>
      <c r="LK751" s="3"/>
      <c r="LL751" s="3"/>
      <c r="LM751" s="3"/>
      <c r="LN751" s="3"/>
      <c r="LO751" s="3"/>
      <c r="LP751" s="3"/>
      <c r="LQ751" s="3"/>
      <c r="LR751" s="3"/>
      <c r="LS751" s="3"/>
      <c r="LT751" s="3"/>
      <c r="LU751" s="3"/>
      <c r="LV751" s="3"/>
      <c r="LW751" s="3"/>
      <c r="LX751" s="3"/>
      <c r="LY751" s="3"/>
      <c r="LZ751" s="3"/>
      <c r="MA751" s="3"/>
      <c r="MB751" s="3"/>
      <c r="MC751" s="3"/>
      <c r="MD751" s="3"/>
      <c r="ME751" s="3"/>
      <c r="MF751" s="3"/>
      <c r="MG751" s="3"/>
      <c r="MH751" s="3"/>
      <c r="MI751" s="3"/>
    </row>
    <row r="752" spans="1:347"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c r="HX752" s="3"/>
      <c r="HY752" s="3"/>
      <c r="HZ752" s="3"/>
      <c r="IA752" s="3"/>
      <c r="IB752" s="3"/>
      <c r="IC752" s="3"/>
      <c r="ID752" s="3"/>
      <c r="IE752" s="3"/>
      <c r="IF752" s="3"/>
      <c r="IG752" s="3"/>
      <c r="IH752" s="3"/>
      <c r="II752" s="3"/>
      <c r="IJ752" s="3"/>
      <c r="IK752" s="3"/>
      <c r="IL752" s="3"/>
      <c r="IM752" s="3"/>
      <c r="IN752" s="3"/>
      <c r="IO752" s="3"/>
      <c r="IP752" s="3"/>
      <c r="IQ752" s="3"/>
      <c r="IR752" s="3"/>
      <c r="IS752" s="3"/>
      <c r="IT752" s="3"/>
      <c r="IU752" s="3"/>
      <c r="IV752" s="3"/>
      <c r="IW752" s="3"/>
      <c r="IX752" s="3"/>
      <c r="IY752" s="3"/>
      <c r="IZ752" s="3"/>
      <c r="JA752" s="3"/>
      <c r="JB752" s="3"/>
      <c r="JC752" s="3"/>
      <c r="JD752" s="3"/>
      <c r="JE752" s="3"/>
      <c r="JF752" s="3"/>
      <c r="JG752" s="3"/>
      <c r="JH752" s="3"/>
      <c r="JI752" s="3"/>
      <c r="JJ752" s="3"/>
      <c r="JK752" s="3"/>
      <c r="JL752" s="3"/>
      <c r="JM752" s="3"/>
      <c r="JN752" s="3"/>
      <c r="JO752" s="3"/>
      <c r="JP752" s="3"/>
      <c r="JQ752" s="3"/>
      <c r="JR752" s="3"/>
      <c r="JS752" s="3"/>
      <c r="JT752" s="3"/>
      <c r="JU752" s="3"/>
      <c r="JV752" s="3"/>
      <c r="JW752" s="3"/>
      <c r="JX752" s="3"/>
      <c r="JY752" s="3"/>
      <c r="JZ752" s="3"/>
      <c r="KA752" s="3"/>
      <c r="KB752" s="3"/>
      <c r="KC752" s="3"/>
      <c r="KD752" s="3"/>
      <c r="KE752" s="3"/>
      <c r="KF752" s="3"/>
      <c r="KG752" s="3"/>
      <c r="KH752" s="3"/>
      <c r="KI752" s="3"/>
      <c r="KJ752" s="3"/>
      <c r="KK752" s="3"/>
      <c r="KL752" s="3"/>
      <c r="KM752" s="3"/>
      <c r="KN752" s="3"/>
      <c r="KO752" s="3"/>
      <c r="KP752" s="3"/>
      <c r="KQ752" s="3"/>
      <c r="KR752" s="3"/>
      <c r="KS752" s="3"/>
      <c r="KT752" s="3"/>
      <c r="KU752" s="3"/>
      <c r="KV752" s="3"/>
      <c r="KW752" s="3"/>
      <c r="KX752" s="3"/>
      <c r="KY752" s="3"/>
      <c r="KZ752" s="3"/>
      <c r="LA752" s="3"/>
      <c r="LB752" s="3"/>
      <c r="LC752" s="3"/>
      <c r="LD752" s="3"/>
      <c r="LE752" s="3"/>
      <c r="LF752" s="3"/>
      <c r="LG752" s="3"/>
      <c r="LH752" s="3"/>
      <c r="LI752" s="3"/>
      <c r="LJ752" s="3"/>
      <c r="LK752" s="3"/>
      <c r="LL752" s="3"/>
      <c r="LM752" s="3"/>
      <c r="LN752" s="3"/>
      <c r="LO752" s="3"/>
      <c r="LP752" s="3"/>
      <c r="LQ752" s="3"/>
      <c r="LR752" s="3"/>
      <c r="LS752" s="3"/>
      <c r="LT752" s="3"/>
      <c r="LU752" s="3"/>
      <c r="LV752" s="3"/>
      <c r="LW752" s="3"/>
      <c r="LX752" s="3"/>
      <c r="LY752" s="3"/>
      <c r="LZ752" s="3"/>
      <c r="MA752" s="3"/>
      <c r="MB752" s="3"/>
      <c r="MC752" s="3"/>
      <c r="MD752" s="3"/>
      <c r="ME752" s="3"/>
      <c r="MF752" s="3"/>
      <c r="MG752" s="3"/>
      <c r="MH752" s="3"/>
      <c r="MI752" s="3"/>
    </row>
    <row r="753" spans="1:347"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c r="HX753" s="3"/>
      <c r="HY753" s="3"/>
      <c r="HZ753" s="3"/>
      <c r="IA753" s="3"/>
      <c r="IB753" s="3"/>
      <c r="IC753" s="3"/>
      <c r="ID753" s="3"/>
      <c r="IE753" s="3"/>
      <c r="IF753" s="3"/>
      <c r="IG753" s="3"/>
      <c r="IH753" s="3"/>
      <c r="II753" s="3"/>
      <c r="IJ753" s="3"/>
      <c r="IK753" s="3"/>
      <c r="IL753" s="3"/>
      <c r="IM753" s="3"/>
      <c r="IN753" s="3"/>
      <c r="IO753" s="3"/>
      <c r="IP753" s="3"/>
      <c r="IQ753" s="3"/>
      <c r="IR753" s="3"/>
      <c r="IS753" s="3"/>
      <c r="IT753" s="3"/>
      <c r="IU753" s="3"/>
      <c r="IV753" s="3"/>
      <c r="IW753" s="3"/>
      <c r="IX753" s="3"/>
      <c r="IY753" s="3"/>
      <c r="IZ753" s="3"/>
      <c r="JA753" s="3"/>
      <c r="JB753" s="3"/>
      <c r="JC753" s="3"/>
      <c r="JD753" s="3"/>
      <c r="JE753" s="3"/>
      <c r="JF753" s="3"/>
      <c r="JG753" s="3"/>
      <c r="JH753" s="3"/>
      <c r="JI753" s="3"/>
      <c r="JJ753" s="3"/>
      <c r="JK753" s="3"/>
      <c r="JL753" s="3"/>
      <c r="JM753" s="3"/>
      <c r="JN753" s="3"/>
      <c r="JO753" s="3"/>
      <c r="JP753" s="3"/>
      <c r="JQ753" s="3"/>
      <c r="JR753" s="3"/>
      <c r="JS753" s="3"/>
      <c r="JT753" s="3"/>
      <c r="JU753" s="3"/>
      <c r="JV753" s="3"/>
      <c r="JW753" s="3"/>
      <c r="JX753" s="3"/>
      <c r="JY753" s="3"/>
      <c r="JZ753" s="3"/>
      <c r="KA753" s="3"/>
      <c r="KB753" s="3"/>
      <c r="KC753" s="3"/>
      <c r="KD753" s="3"/>
      <c r="KE753" s="3"/>
      <c r="KF753" s="3"/>
      <c r="KG753" s="3"/>
      <c r="KH753" s="3"/>
      <c r="KI753" s="3"/>
      <c r="KJ753" s="3"/>
      <c r="KK753" s="3"/>
      <c r="KL753" s="3"/>
      <c r="KM753" s="3"/>
      <c r="KN753" s="3"/>
      <c r="KO753" s="3"/>
      <c r="KP753" s="3"/>
      <c r="KQ753" s="3"/>
      <c r="KR753" s="3"/>
      <c r="KS753" s="3"/>
      <c r="KT753" s="3"/>
      <c r="KU753" s="3"/>
      <c r="KV753" s="3"/>
      <c r="KW753" s="3"/>
      <c r="KX753" s="3"/>
      <c r="KY753" s="3"/>
      <c r="KZ753" s="3"/>
      <c r="LA753" s="3"/>
      <c r="LB753" s="3"/>
      <c r="LC753" s="3"/>
      <c r="LD753" s="3"/>
      <c r="LE753" s="3"/>
      <c r="LF753" s="3"/>
      <c r="LG753" s="3"/>
      <c r="LH753" s="3"/>
      <c r="LI753" s="3"/>
      <c r="LJ753" s="3"/>
      <c r="LK753" s="3"/>
      <c r="LL753" s="3"/>
      <c r="LM753" s="3"/>
      <c r="LN753" s="3"/>
      <c r="LO753" s="3"/>
      <c r="LP753" s="3"/>
      <c r="LQ753" s="3"/>
      <c r="LR753" s="3"/>
      <c r="LS753" s="3"/>
      <c r="LT753" s="3"/>
      <c r="LU753" s="3"/>
      <c r="LV753" s="3"/>
      <c r="LW753" s="3"/>
      <c r="LX753" s="3"/>
      <c r="LY753" s="3"/>
      <c r="LZ753" s="3"/>
      <c r="MA753" s="3"/>
      <c r="MB753" s="3"/>
      <c r="MC753" s="3"/>
      <c r="MD753" s="3"/>
      <c r="ME753" s="3"/>
      <c r="MF753" s="3"/>
      <c r="MG753" s="3"/>
      <c r="MH753" s="3"/>
      <c r="MI753" s="3"/>
    </row>
    <row r="754" spans="1:347"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c r="HX754" s="3"/>
      <c r="HY754" s="3"/>
      <c r="HZ754" s="3"/>
      <c r="IA754" s="3"/>
      <c r="IB754" s="3"/>
      <c r="IC754" s="3"/>
      <c r="ID754" s="3"/>
      <c r="IE754" s="3"/>
      <c r="IF754" s="3"/>
      <c r="IG754" s="3"/>
      <c r="IH754" s="3"/>
      <c r="II754" s="3"/>
      <c r="IJ754" s="3"/>
      <c r="IK754" s="3"/>
      <c r="IL754" s="3"/>
      <c r="IM754" s="3"/>
      <c r="IN754" s="3"/>
      <c r="IO754" s="3"/>
      <c r="IP754" s="3"/>
      <c r="IQ754" s="3"/>
      <c r="IR754" s="3"/>
      <c r="IS754" s="3"/>
      <c r="IT754" s="3"/>
      <c r="IU754" s="3"/>
      <c r="IV754" s="3"/>
      <c r="IW754" s="3"/>
      <c r="IX754" s="3"/>
      <c r="IY754" s="3"/>
      <c r="IZ754" s="3"/>
      <c r="JA754" s="3"/>
      <c r="JB754" s="3"/>
      <c r="JC754" s="3"/>
      <c r="JD754" s="3"/>
      <c r="JE754" s="3"/>
      <c r="JF754" s="3"/>
      <c r="JG754" s="3"/>
      <c r="JH754" s="3"/>
      <c r="JI754" s="3"/>
      <c r="JJ754" s="3"/>
      <c r="JK754" s="3"/>
      <c r="JL754" s="3"/>
      <c r="JM754" s="3"/>
      <c r="JN754" s="3"/>
      <c r="JO754" s="3"/>
      <c r="JP754" s="3"/>
      <c r="JQ754" s="3"/>
      <c r="JR754" s="3"/>
      <c r="JS754" s="3"/>
      <c r="JT754" s="3"/>
      <c r="JU754" s="3"/>
      <c r="JV754" s="3"/>
      <c r="JW754" s="3"/>
      <c r="JX754" s="3"/>
      <c r="JY754" s="3"/>
      <c r="JZ754" s="3"/>
      <c r="KA754" s="3"/>
      <c r="KB754" s="3"/>
      <c r="KC754" s="3"/>
      <c r="KD754" s="3"/>
      <c r="KE754" s="3"/>
      <c r="KF754" s="3"/>
      <c r="KG754" s="3"/>
      <c r="KH754" s="3"/>
      <c r="KI754" s="3"/>
      <c r="KJ754" s="3"/>
      <c r="KK754" s="3"/>
      <c r="KL754" s="3"/>
      <c r="KM754" s="3"/>
      <c r="KN754" s="3"/>
      <c r="KO754" s="3"/>
      <c r="KP754" s="3"/>
      <c r="KQ754" s="3"/>
      <c r="KR754" s="3"/>
      <c r="KS754" s="3"/>
      <c r="KT754" s="3"/>
      <c r="KU754" s="3"/>
      <c r="KV754" s="3"/>
      <c r="KW754" s="3"/>
      <c r="KX754" s="3"/>
      <c r="KY754" s="3"/>
      <c r="KZ754" s="3"/>
      <c r="LA754" s="3"/>
      <c r="LB754" s="3"/>
      <c r="LC754" s="3"/>
      <c r="LD754" s="3"/>
      <c r="LE754" s="3"/>
      <c r="LF754" s="3"/>
      <c r="LG754" s="3"/>
      <c r="LH754" s="3"/>
      <c r="LI754" s="3"/>
      <c r="LJ754" s="3"/>
      <c r="LK754" s="3"/>
      <c r="LL754" s="3"/>
      <c r="LM754" s="3"/>
      <c r="LN754" s="3"/>
      <c r="LO754" s="3"/>
      <c r="LP754" s="3"/>
      <c r="LQ754" s="3"/>
      <c r="LR754" s="3"/>
      <c r="LS754" s="3"/>
      <c r="LT754" s="3"/>
      <c r="LU754" s="3"/>
      <c r="LV754" s="3"/>
      <c r="LW754" s="3"/>
      <c r="LX754" s="3"/>
      <c r="LY754" s="3"/>
      <c r="LZ754" s="3"/>
      <c r="MA754" s="3"/>
      <c r="MB754" s="3"/>
      <c r="MC754" s="3"/>
      <c r="MD754" s="3"/>
      <c r="ME754" s="3"/>
      <c r="MF754" s="3"/>
      <c r="MG754" s="3"/>
      <c r="MH754" s="3"/>
      <c r="MI754" s="3"/>
    </row>
    <row r="755" spans="1:347"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c r="HX755" s="3"/>
      <c r="HY755" s="3"/>
      <c r="HZ755" s="3"/>
      <c r="IA755" s="3"/>
      <c r="IB755" s="3"/>
      <c r="IC755" s="3"/>
      <c r="ID755" s="3"/>
      <c r="IE755" s="3"/>
      <c r="IF755" s="3"/>
      <c r="IG755" s="3"/>
      <c r="IH755" s="3"/>
      <c r="II755" s="3"/>
      <c r="IJ755" s="3"/>
      <c r="IK755" s="3"/>
      <c r="IL755" s="3"/>
      <c r="IM755" s="3"/>
      <c r="IN755" s="3"/>
      <c r="IO755" s="3"/>
      <c r="IP755" s="3"/>
      <c r="IQ755" s="3"/>
      <c r="IR755" s="3"/>
      <c r="IS755" s="3"/>
      <c r="IT755" s="3"/>
      <c r="IU755" s="3"/>
      <c r="IV755" s="3"/>
      <c r="IW755" s="3"/>
      <c r="IX755" s="3"/>
      <c r="IY755" s="3"/>
      <c r="IZ755" s="3"/>
      <c r="JA755" s="3"/>
      <c r="JB755" s="3"/>
      <c r="JC755" s="3"/>
      <c r="JD755" s="3"/>
      <c r="JE755" s="3"/>
      <c r="JF755" s="3"/>
      <c r="JG755" s="3"/>
      <c r="JH755" s="3"/>
      <c r="JI755" s="3"/>
      <c r="JJ755" s="3"/>
      <c r="JK755" s="3"/>
      <c r="JL755" s="3"/>
      <c r="JM755" s="3"/>
      <c r="JN755" s="3"/>
      <c r="JO755" s="3"/>
      <c r="JP755" s="3"/>
      <c r="JQ755" s="3"/>
      <c r="JR755" s="3"/>
      <c r="JS755" s="3"/>
      <c r="JT755" s="3"/>
      <c r="JU755" s="3"/>
      <c r="JV755" s="3"/>
      <c r="JW755" s="3"/>
      <c r="JX755" s="3"/>
      <c r="JY755" s="3"/>
      <c r="JZ755" s="3"/>
      <c r="KA755" s="3"/>
      <c r="KB755" s="3"/>
      <c r="KC755" s="3"/>
      <c r="KD755" s="3"/>
      <c r="KE755" s="3"/>
      <c r="KF755" s="3"/>
      <c r="KG755" s="3"/>
      <c r="KH755" s="3"/>
      <c r="KI755" s="3"/>
      <c r="KJ755" s="3"/>
      <c r="KK755" s="3"/>
      <c r="KL755" s="3"/>
      <c r="KM755" s="3"/>
      <c r="KN755" s="3"/>
      <c r="KO755" s="3"/>
      <c r="KP755" s="3"/>
      <c r="KQ755" s="3"/>
      <c r="KR755" s="3"/>
      <c r="KS755" s="3"/>
      <c r="KT755" s="3"/>
      <c r="KU755" s="3"/>
      <c r="KV755" s="3"/>
      <c r="KW755" s="3"/>
      <c r="KX755" s="3"/>
      <c r="KY755" s="3"/>
      <c r="KZ755" s="3"/>
      <c r="LA755" s="3"/>
      <c r="LB755" s="3"/>
      <c r="LC755" s="3"/>
      <c r="LD755" s="3"/>
      <c r="LE755" s="3"/>
      <c r="LF755" s="3"/>
      <c r="LG755" s="3"/>
      <c r="LH755" s="3"/>
      <c r="LI755" s="3"/>
      <c r="LJ755" s="3"/>
      <c r="LK755" s="3"/>
      <c r="LL755" s="3"/>
      <c r="LM755" s="3"/>
      <c r="LN755" s="3"/>
      <c r="LO755" s="3"/>
      <c r="LP755" s="3"/>
      <c r="LQ755" s="3"/>
      <c r="LR755" s="3"/>
      <c r="LS755" s="3"/>
      <c r="LT755" s="3"/>
      <c r="LU755" s="3"/>
      <c r="LV755" s="3"/>
      <c r="LW755" s="3"/>
      <c r="LX755" s="3"/>
      <c r="LY755" s="3"/>
      <c r="LZ755" s="3"/>
      <c r="MA755" s="3"/>
      <c r="MB755" s="3"/>
      <c r="MC755" s="3"/>
      <c r="MD755" s="3"/>
      <c r="ME755" s="3"/>
      <c r="MF755" s="3"/>
      <c r="MG755" s="3"/>
      <c r="MH755" s="3"/>
      <c r="MI755" s="3"/>
    </row>
    <row r="756" spans="1:347"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row>
    <row r="757" spans="1:347"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row>
    <row r="758" spans="1:347"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row>
    <row r="759" spans="1:347"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c r="HX759" s="3"/>
      <c r="HY759" s="3"/>
      <c r="HZ759" s="3"/>
      <c r="IA759" s="3"/>
      <c r="IB759" s="3"/>
      <c r="IC759" s="3"/>
      <c r="ID759" s="3"/>
      <c r="IE759" s="3"/>
      <c r="IF759" s="3"/>
      <c r="IG759" s="3"/>
      <c r="IH759" s="3"/>
      <c r="II759" s="3"/>
      <c r="IJ759" s="3"/>
      <c r="IK759" s="3"/>
      <c r="IL759" s="3"/>
      <c r="IM759" s="3"/>
      <c r="IN759" s="3"/>
      <c r="IO759" s="3"/>
      <c r="IP759" s="3"/>
      <c r="IQ759" s="3"/>
      <c r="IR759" s="3"/>
      <c r="IS759" s="3"/>
      <c r="IT759" s="3"/>
      <c r="IU759" s="3"/>
      <c r="IV759" s="3"/>
      <c r="IW759" s="3"/>
      <c r="IX759" s="3"/>
      <c r="IY759" s="3"/>
      <c r="IZ759" s="3"/>
      <c r="JA759" s="3"/>
      <c r="JB759" s="3"/>
      <c r="JC759" s="3"/>
      <c r="JD759" s="3"/>
      <c r="JE759" s="3"/>
      <c r="JF759" s="3"/>
      <c r="JG759" s="3"/>
      <c r="JH759" s="3"/>
      <c r="JI759" s="3"/>
      <c r="JJ759" s="3"/>
      <c r="JK759" s="3"/>
      <c r="JL759" s="3"/>
      <c r="JM759" s="3"/>
      <c r="JN759" s="3"/>
      <c r="JO759" s="3"/>
      <c r="JP759" s="3"/>
      <c r="JQ759" s="3"/>
      <c r="JR759" s="3"/>
      <c r="JS759" s="3"/>
      <c r="JT759" s="3"/>
      <c r="JU759" s="3"/>
      <c r="JV759" s="3"/>
      <c r="JW759" s="3"/>
      <c r="JX759" s="3"/>
      <c r="JY759" s="3"/>
      <c r="JZ759" s="3"/>
      <c r="KA759" s="3"/>
      <c r="KB759" s="3"/>
      <c r="KC759" s="3"/>
      <c r="KD759" s="3"/>
      <c r="KE759" s="3"/>
      <c r="KF759" s="3"/>
      <c r="KG759" s="3"/>
      <c r="KH759" s="3"/>
      <c r="KI759" s="3"/>
      <c r="KJ759" s="3"/>
      <c r="KK759" s="3"/>
      <c r="KL759" s="3"/>
      <c r="KM759" s="3"/>
      <c r="KN759" s="3"/>
      <c r="KO759" s="3"/>
      <c r="KP759" s="3"/>
      <c r="KQ759" s="3"/>
      <c r="KR759" s="3"/>
      <c r="KS759" s="3"/>
      <c r="KT759" s="3"/>
      <c r="KU759" s="3"/>
      <c r="KV759" s="3"/>
      <c r="KW759" s="3"/>
      <c r="KX759" s="3"/>
      <c r="KY759" s="3"/>
      <c r="KZ759" s="3"/>
      <c r="LA759" s="3"/>
      <c r="LB759" s="3"/>
      <c r="LC759" s="3"/>
      <c r="LD759" s="3"/>
      <c r="LE759" s="3"/>
      <c r="LF759" s="3"/>
      <c r="LG759" s="3"/>
      <c r="LH759" s="3"/>
      <c r="LI759" s="3"/>
      <c r="LJ759" s="3"/>
      <c r="LK759" s="3"/>
      <c r="LL759" s="3"/>
      <c r="LM759" s="3"/>
      <c r="LN759" s="3"/>
      <c r="LO759" s="3"/>
      <c r="LP759" s="3"/>
      <c r="LQ759" s="3"/>
      <c r="LR759" s="3"/>
      <c r="LS759" s="3"/>
      <c r="LT759" s="3"/>
      <c r="LU759" s="3"/>
      <c r="LV759" s="3"/>
      <c r="LW759" s="3"/>
      <c r="LX759" s="3"/>
      <c r="LY759" s="3"/>
      <c r="LZ759" s="3"/>
      <c r="MA759" s="3"/>
      <c r="MB759" s="3"/>
      <c r="MC759" s="3"/>
      <c r="MD759" s="3"/>
      <c r="ME759" s="3"/>
      <c r="MF759" s="3"/>
      <c r="MG759" s="3"/>
      <c r="MH759" s="3"/>
      <c r="MI759" s="3"/>
    </row>
    <row r="760" spans="1:347"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c r="HX760" s="3"/>
      <c r="HY760" s="3"/>
      <c r="HZ760" s="3"/>
      <c r="IA760" s="3"/>
      <c r="IB760" s="3"/>
      <c r="IC760" s="3"/>
      <c r="ID760" s="3"/>
      <c r="IE760" s="3"/>
      <c r="IF760" s="3"/>
      <c r="IG760" s="3"/>
      <c r="IH760" s="3"/>
      <c r="II760" s="3"/>
      <c r="IJ760" s="3"/>
      <c r="IK760" s="3"/>
      <c r="IL760" s="3"/>
      <c r="IM760" s="3"/>
      <c r="IN760" s="3"/>
      <c r="IO760" s="3"/>
      <c r="IP760" s="3"/>
      <c r="IQ760" s="3"/>
      <c r="IR760" s="3"/>
      <c r="IS760" s="3"/>
      <c r="IT760" s="3"/>
      <c r="IU760" s="3"/>
      <c r="IV760" s="3"/>
      <c r="IW760" s="3"/>
      <c r="IX760" s="3"/>
      <c r="IY760" s="3"/>
      <c r="IZ760" s="3"/>
      <c r="JA760" s="3"/>
      <c r="JB760" s="3"/>
      <c r="JC760" s="3"/>
      <c r="JD760" s="3"/>
      <c r="JE760" s="3"/>
      <c r="JF760" s="3"/>
      <c r="JG760" s="3"/>
      <c r="JH760" s="3"/>
      <c r="JI760" s="3"/>
      <c r="JJ760" s="3"/>
      <c r="JK760" s="3"/>
      <c r="JL760" s="3"/>
      <c r="JM760" s="3"/>
      <c r="JN760" s="3"/>
      <c r="JO760" s="3"/>
      <c r="JP760" s="3"/>
      <c r="JQ760" s="3"/>
      <c r="JR760" s="3"/>
      <c r="JS760" s="3"/>
      <c r="JT760" s="3"/>
      <c r="JU760" s="3"/>
      <c r="JV760" s="3"/>
      <c r="JW760" s="3"/>
      <c r="JX760" s="3"/>
      <c r="JY760" s="3"/>
      <c r="JZ760" s="3"/>
      <c r="KA760" s="3"/>
      <c r="KB760" s="3"/>
      <c r="KC760" s="3"/>
      <c r="KD760" s="3"/>
      <c r="KE760" s="3"/>
      <c r="KF760" s="3"/>
      <c r="KG760" s="3"/>
      <c r="KH760" s="3"/>
      <c r="KI760" s="3"/>
      <c r="KJ760" s="3"/>
      <c r="KK760" s="3"/>
      <c r="KL760" s="3"/>
      <c r="KM760" s="3"/>
      <c r="KN760" s="3"/>
      <c r="KO760" s="3"/>
      <c r="KP760" s="3"/>
      <c r="KQ760" s="3"/>
      <c r="KR760" s="3"/>
      <c r="KS760" s="3"/>
      <c r="KT760" s="3"/>
      <c r="KU760" s="3"/>
      <c r="KV760" s="3"/>
      <c r="KW760" s="3"/>
      <c r="KX760" s="3"/>
      <c r="KY760" s="3"/>
      <c r="KZ760" s="3"/>
      <c r="LA760" s="3"/>
      <c r="LB760" s="3"/>
      <c r="LC760" s="3"/>
      <c r="LD760" s="3"/>
      <c r="LE760" s="3"/>
      <c r="LF760" s="3"/>
      <c r="LG760" s="3"/>
      <c r="LH760" s="3"/>
      <c r="LI760" s="3"/>
      <c r="LJ760" s="3"/>
      <c r="LK760" s="3"/>
      <c r="LL760" s="3"/>
      <c r="LM760" s="3"/>
      <c r="LN760" s="3"/>
      <c r="LO760" s="3"/>
      <c r="LP760" s="3"/>
      <c r="LQ760" s="3"/>
      <c r="LR760" s="3"/>
      <c r="LS760" s="3"/>
      <c r="LT760" s="3"/>
      <c r="LU760" s="3"/>
      <c r="LV760" s="3"/>
      <c r="LW760" s="3"/>
      <c r="LX760" s="3"/>
      <c r="LY760" s="3"/>
      <c r="LZ760" s="3"/>
      <c r="MA760" s="3"/>
      <c r="MB760" s="3"/>
      <c r="MC760" s="3"/>
      <c r="MD760" s="3"/>
      <c r="ME760" s="3"/>
      <c r="MF760" s="3"/>
      <c r="MG760" s="3"/>
      <c r="MH760" s="3"/>
      <c r="MI760" s="3"/>
    </row>
    <row r="761" spans="1:347"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c r="HX761" s="3"/>
      <c r="HY761" s="3"/>
      <c r="HZ761" s="3"/>
      <c r="IA761" s="3"/>
      <c r="IB761" s="3"/>
      <c r="IC761" s="3"/>
      <c r="ID761" s="3"/>
      <c r="IE761" s="3"/>
      <c r="IF761" s="3"/>
      <c r="IG761" s="3"/>
      <c r="IH761" s="3"/>
      <c r="II761" s="3"/>
      <c r="IJ761" s="3"/>
      <c r="IK761" s="3"/>
      <c r="IL761" s="3"/>
      <c r="IM761" s="3"/>
      <c r="IN761" s="3"/>
      <c r="IO761" s="3"/>
      <c r="IP761" s="3"/>
      <c r="IQ761" s="3"/>
      <c r="IR761" s="3"/>
      <c r="IS761" s="3"/>
      <c r="IT761" s="3"/>
      <c r="IU761" s="3"/>
      <c r="IV761" s="3"/>
      <c r="IW761" s="3"/>
      <c r="IX761" s="3"/>
      <c r="IY761" s="3"/>
      <c r="IZ761" s="3"/>
      <c r="JA761" s="3"/>
      <c r="JB761" s="3"/>
      <c r="JC761" s="3"/>
      <c r="JD761" s="3"/>
      <c r="JE761" s="3"/>
      <c r="JF761" s="3"/>
      <c r="JG761" s="3"/>
      <c r="JH761" s="3"/>
      <c r="JI761" s="3"/>
      <c r="JJ761" s="3"/>
      <c r="JK761" s="3"/>
      <c r="JL761" s="3"/>
      <c r="JM761" s="3"/>
      <c r="JN761" s="3"/>
      <c r="JO761" s="3"/>
      <c r="JP761" s="3"/>
      <c r="JQ761" s="3"/>
      <c r="JR761" s="3"/>
      <c r="JS761" s="3"/>
      <c r="JT761" s="3"/>
      <c r="JU761" s="3"/>
      <c r="JV761" s="3"/>
      <c r="JW761" s="3"/>
      <c r="JX761" s="3"/>
      <c r="JY761" s="3"/>
      <c r="JZ761" s="3"/>
      <c r="KA761" s="3"/>
      <c r="KB761" s="3"/>
      <c r="KC761" s="3"/>
      <c r="KD761" s="3"/>
      <c r="KE761" s="3"/>
      <c r="KF761" s="3"/>
      <c r="KG761" s="3"/>
      <c r="KH761" s="3"/>
      <c r="KI761" s="3"/>
      <c r="KJ761" s="3"/>
      <c r="KK761" s="3"/>
      <c r="KL761" s="3"/>
      <c r="KM761" s="3"/>
      <c r="KN761" s="3"/>
      <c r="KO761" s="3"/>
      <c r="KP761" s="3"/>
      <c r="KQ761" s="3"/>
      <c r="KR761" s="3"/>
      <c r="KS761" s="3"/>
      <c r="KT761" s="3"/>
      <c r="KU761" s="3"/>
      <c r="KV761" s="3"/>
      <c r="KW761" s="3"/>
      <c r="KX761" s="3"/>
      <c r="KY761" s="3"/>
      <c r="KZ761" s="3"/>
      <c r="LA761" s="3"/>
      <c r="LB761" s="3"/>
      <c r="LC761" s="3"/>
      <c r="LD761" s="3"/>
      <c r="LE761" s="3"/>
      <c r="LF761" s="3"/>
      <c r="LG761" s="3"/>
      <c r="LH761" s="3"/>
      <c r="LI761" s="3"/>
      <c r="LJ761" s="3"/>
      <c r="LK761" s="3"/>
      <c r="LL761" s="3"/>
      <c r="LM761" s="3"/>
      <c r="LN761" s="3"/>
      <c r="LO761" s="3"/>
      <c r="LP761" s="3"/>
      <c r="LQ761" s="3"/>
      <c r="LR761" s="3"/>
      <c r="LS761" s="3"/>
      <c r="LT761" s="3"/>
      <c r="LU761" s="3"/>
      <c r="LV761" s="3"/>
      <c r="LW761" s="3"/>
      <c r="LX761" s="3"/>
      <c r="LY761" s="3"/>
      <c r="LZ761" s="3"/>
      <c r="MA761" s="3"/>
      <c r="MB761" s="3"/>
      <c r="MC761" s="3"/>
      <c r="MD761" s="3"/>
      <c r="ME761" s="3"/>
      <c r="MF761" s="3"/>
      <c r="MG761" s="3"/>
      <c r="MH761" s="3"/>
      <c r="MI761" s="3"/>
    </row>
    <row r="762" spans="1:347"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c r="HX762" s="3"/>
      <c r="HY762" s="3"/>
      <c r="HZ762" s="3"/>
      <c r="IA762" s="3"/>
      <c r="IB762" s="3"/>
      <c r="IC762" s="3"/>
      <c r="ID762" s="3"/>
      <c r="IE762" s="3"/>
      <c r="IF762" s="3"/>
      <c r="IG762" s="3"/>
      <c r="IH762" s="3"/>
      <c r="II762" s="3"/>
      <c r="IJ762" s="3"/>
      <c r="IK762" s="3"/>
      <c r="IL762" s="3"/>
      <c r="IM762" s="3"/>
      <c r="IN762" s="3"/>
      <c r="IO762" s="3"/>
      <c r="IP762" s="3"/>
      <c r="IQ762" s="3"/>
      <c r="IR762" s="3"/>
      <c r="IS762" s="3"/>
      <c r="IT762" s="3"/>
      <c r="IU762" s="3"/>
      <c r="IV762" s="3"/>
      <c r="IW762" s="3"/>
      <c r="IX762" s="3"/>
      <c r="IY762" s="3"/>
      <c r="IZ762" s="3"/>
      <c r="JA762" s="3"/>
      <c r="JB762" s="3"/>
      <c r="JC762" s="3"/>
      <c r="JD762" s="3"/>
      <c r="JE762" s="3"/>
      <c r="JF762" s="3"/>
      <c r="JG762" s="3"/>
      <c r="JH762" s="3"/>
      <c r="JI762" s="3"/>
      <c r="JJ762" s="3"/>
      <c r="JK762" s="3"/>
      <c r="JL762" s="3"/>
      <c r="JM762" s="3"/>
      <c r="JN762" s="3"/>
      <c r="JO762" s="3"/>
      <c r="JP762" s="3"/>
      <c r="JQ762" s="3"/>
      <c r="JR762" s="3"/>
      <c r="JS762" s="3"/>
      <c r="JT762" s="3"/>
      <c r="JU762" s="3"/>
      <c r="JV762" s="3"/>
      <c r="JW762" s="3"/>
      <c r="JX762" s="3"/>
      <c r="JY762" s="3"/>
      <c r="JZ762" s="3"/>
      <c r="KA762" s="3"/>
      <c r="KB762" s="3"/>
      <c r="KC762" s="3"/>
      <c r="KD762" s="3"/>
      <c r="KE762" s="3"/>
      <c r="KF762" s="3"/>
      <c r="KG762" s="3"/>
      <c r="KH762" s="3"/>
      <c r="KI762" s="3"/>
      <c r="KJ762" s="3"/>
      <c r="KK762" s="3"/>
      <c r="KL762" s="3"/>
      <c r="KM762" s="3"/>
      <c r="KN762" s="3"/>
      <c r="KO762" s="3"/>
      <c r="KP762" s="3"/>
      <c r="KQ762" s="3"/>
      <c r="KR762" s="3"/>
      <c r="KS762" s="3"/>
      <c r="KT762" s="3"/>
      <c r="KU762" s="3"/>
      <c r="KV762" s="3"/>
      <c r="KW762" s="3"/>
      <c r="KX762" s="3"/>
      <c r="KY762" s="3"/>
      <c r="KZ762" s="3"/>
      <c r="LA762" s="3"/>
      <c r="LB762" s="3"/>
      <c r="LC762" s="3"/>
      <c r="LD762" s="3"/>
      <c r="LE762" s="3"/>
      <c r="LF762" s="3"/>
      <c r="LG762" s="3"/>
      <c r="LH762" s="3"/>
      <c r="LI762" s="3"/>
      <c r="LJ762" s="3"/>
      <c r="LK762" s="3"/>
      <c r="LL762" s="3"/>
      <c r="LM762" s="3"/>
      <c r="LN762" s="3"/>
      <c r="LO762" s="3"/>
      <c r="LP762" s="3"/>
      <c r="LQ762" s="3"/>
      <c r="LR762" s="3"/>
      <c r="LS762" s="3"/>
      <c r="LT762" s="3"/>
      <c r="LU762" s="3"/>
      <c r="LV762" s="3"/>
      <c r="LW762" s="3"/>
      <c r="LX762" s="3"/>
      <c r="LY762" s="3"/>
      <c r="LZ762" s="3"/>
      <c r="MA762" s="3"/>
      <c r="MB762" s="3"/>
      <c r="MC762" s="3"/>
      <c r="MD762" s="3"/>
      <c r="ME762" s="3"/>
      <c r="MF762" s="3"/>
      <c r="MG762" s="3"/>
      <c r="MH762" s="3"/>
      <c r="MI762" s="3"/>
    </row>
    <row r="763" spans="1:347"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c r="HX763" s="3"/>
      <c r="HY763" s="3"/>
      <c r="HZ763" s="3"/>
      <c r="IA763" s="3"/>
      <c r="IB763" s="3"/>
      <c r="IC763" s="3"/>
      <c r="ID763" s="3"/>
      <c r="IE763" s="3"/>
      <c r="IF763" s="3"/>
      <c r="IG763" s="3"/>
      <c r="IH763" s="3"/>
      <c r="II763" s="3"/>
      <c r="IJ763" s="3"/>
      <c r="IK763" s="3"/>
      <c r="IL763" s="3"/>
      <c r="IM763" s="3"/>
      <c r="IN763" s="3"/>
      <c r="IO763" s="3"/>
      <c r="IP763" s="3"/>
      <c r="IQ763" s="3"/>
      <c r="IR763" s="3"/>
      <c r="IS763" s="3"/>
      <c r="IT763" s="3"/>
      <c r="IU763" s="3"/>
      <c r="IV763" s="3"/>
      <c r="IW763" s="3"/>
      <c r="IX763" s="3"/>
      <c r="IY763" s="3"/>
      <c r="IZ763" s="3"/>
      <c r="JA763" s="3"/>
      <c r="JB763" s="3"/>
      <c r="JC763" s="3"/>
      <c r="JD763" s="3"/>
      <c r="JE763" s="3"/>
      <c r="JF763" s="3"/>
      <c r="JG763" s="3"/>
      <c r="JH763" s="3"/>
      <c r="JI763" s="3"/>
      <c r="JJ763" s="3"/>
      <c r="JK763" s="3"/>
      <c r="JL763" s="3"/>
      <c r="JM763" s="3"/>
      <c r="JN763" s="3"/>
      <c r="JO763" s="3"/>
      <c r="JP763" s="3"/>
      <c r="JQ763" s="3"/>
      <c r="JR763" s="3"/>
      <c r="JS763" s="3"/>
      <c r="JT763" s="3"/>
      <c r="JU763" s="3"/>
      <c r="JV763" s="3"/>
      <c r="JW763" s="3"/>
      <c r="JX763" s="3"/>
      <c r="JY763" s="3"/>
      <c r="JZ763" s="3"/>
      <c r="KA763" s="3"/>
      <c r="KB763" s="3"/>
      <c r="KC763" s="3"/>
      <c r="KD763" s="3"/>
      <c r="KE763" s="3"/>
      <c r="KF763" s="3"/>
      <c r="KG763" s="3"/>
      <c r="KH763" s="3"/>
      <c r="KI763" s="3"/>
      <c r="KJ763" s="3"/>
      <c r="KK763" s="3"/>
      <c r="KL763" s="3"/>
      <c r="KM763" s="3"/>
      <c r="KN763" s="3"/>
      <c r="KO763" s="3"/>
      <c r="KP763" s="3"/>
      <c r="KQ763" s="3"/>
      <c r="KR763" s="3"/>
      <c r="KS763" s="3"/>
      <c r="KT763" s="3"/>
      <c r="KU763" s="3"/>
      <c r="KV763" s="3"/>
      <c r="KW763" s="3"/>
      <c r="KX763" s="3"/>
      <c r="KY763" s="3"/>
      <c r="KZ763" s="3"/>
      <c r="LA763" s="3"/>
      <c r="LB763" s="3"/>
      <c r="LC763" s="3"/>
      <c r="LD763" s="3"/>
      <c r="LE763" s="3"/>
      <c r="LF763" s="3"/>
      <c r="LG763" s="3"/>
      <c r="LH763" s="3"/>
      <c r="LI763" s="3"/>
      <c r="LJ763" s="3"/>
      <c r="LK763" s="3"/>
      <c r="LL763" s="3"/>
      <c r="LM763" s="3"/>
      <c r="LN763" s="3"/>
      <c r="LO763" s="3"/>
      <c r="LP763" s="3"/>
      <c r="LQ763" s="3"/>
      <c r="LR763" s="3"/>
      <c r="LS763" s="3"/>
      <c r="LT763" s="3"/>
      <c r="LU763" s="3"/>
      <c r="LV763" s="3"/>
      <c r="LW763" s="3"/>
      <c r="LX763" s="3"/>
      <c r="LY763" s="3"/>
      <c r="LZ763" s="3"/>
      <c r="MA763" s="3"/>
      <c r="MB763" s="3"/>
      <c r="MC763" s="3"/>
      <c r="MD763" s="3"/>
      <c r="ME763" s="3"/>
      <c r="MF763" s="3"/>
      <c r="MG763" s="3"/>
      <c r="MH763" s="3"/>
      <c r="MI763" s="3"/>
    </row>
    <row r="764" spans="1:347"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c r="HX764" s="3"/>
      <c r="HY764" s="3"/>
      <c r="HZ764" s="3"/>
      <c r="IA764" s="3"/>
      <c r="IB764" s="3"/>
      <c r="IC764" s="3"/>
      <c r="ID764" s="3"/>
      <c r="IE764" s="3"/>
      <c r="IF764" s="3"/>
      <c r="IG764" s="3"/>
      <c r="IH764" s="3"/>
      <c r="II764" s="3"/>
      <c r="IJ764" s="3"/>
      <c r="IK764" s="3"/>
      <c r="IL764" s="3"/>
      <c r="IM764" s="3"/>
      <c r="IN764" s="3"/>
      <c r="IO764" s="3"/>
      <c r="IP764" s="3"/>
      <c r="IQ764" s="3"/>
      <c r="IR764" s="3"/>
      <c r="IS764" s="3"/>
      <c r="IT764" s="3"/>
      <c r="IU764" s="3"/>
      <c r="IV764" s="3"/>
      <c r="IW764" s="3"/>
      <c r="IX764" s="3"/>
      <c r="IY764" s="3"/>
      <c r="IZ764" s="3"/>
      <c r="JA764" s="3"/>
      <c r="JB764" s="3"/>
      <c r="JC764" s="3"/>
      <c r="JD764" s="3"/>
      <c r="JE764" s="3"/>
      <c r="JF764" s="3"/>
      <c r="JG764" s="3"/>
      <c r="JH764" s="3"/>
      <c r="JI764" s="3"/>
      <c r="JJ764" s="3"/>
      <c r="JK764" s="3"/>
      <c r="JL764" s="3"/>
      <c r="JM764" s="3"/>
      <c r="JN764" s="3"/>
      <c r="JO764" s="3"/>
      <c r="JP764" s="3"/>
      <c r="JQ764" s="3"/>
      <c r="JR764" s="3"/>
      <c r="JS764" s="3"/>
      <c r="JT764" s="3"/>
      <c r="JU764" s="3"/>
      <c r="JV764" s="3"/>
      <c r="JW764" s="3"/>
      <c r="JX764" s="3"/>
      <c r="JY764" s="3"/>
      <c r="JZ764" s="3"/>
      <c r="KA764" s="3"/>
      <c r="KB764" s="3"/>
      <c r="KC764" s="3"/>
      <c r="KD764" s="3"/>
      <c r="KE764" s="3"/>
      <c r="KF764" s="3"/>
      <c r="KG764" s="3"/>
      <c r="KH764" s="3"/>
      <c r="KI764" s="3"/>
      <c r="KJ764" s="3"/>
      <c r="KK764" s="3"/>
      <c r="KL764" s="3"/>
      <c r="KM764" s="3"/>
      <c r="KN764" s="3"/>
      <c r="KO764" s="3"/>
      <c r="KP764" s="3"/>
      <c r="KQ764" s="3"/>
      <c r="KR764" s="3"/>
      <c r="KS764" s="3"/>
      <c r="KT764" s="3"/>
      <c r="KU764" s="3"/>
      <c r="KV764" s="3"/>
      <c r="KW764" s="3"/>
      <c r="KX764" s="3"/>
      <c r="KY764" s="3"/>
      <c r="KZ764" s="3"/>
      <c r="LA764" s="3"/>
      <c r="LB764" s="3"/>
      <c r="LC764" s="3"/>
      <c r="LD764" s="3"/>
      <c r="LE764" s="3"/>
      <c r="LF764" s="3"/>
      <c r="LG764" s="3"/>
      <c r="LH764" s="3"/>
      <c r="LI764" s="3"/>
      <c r="LJ764" s="3"/>
      <c r="LK764" s="3"/>
      <c r="LL764" s="3"/>
      <c r="LM764" s="3"/>
      <c r="LN764" s="3"/>
      <c r="LO764" s="3"/>
      <c r="LP764" s="3"/>
      <c r="LQ764" s="3"/>
      <c r="LR764" s="3"/>
      <c r="LS764" s="3"/>
      <c r="LT764" s="3"/>
      <c r="LU764" s="3"/>
      <c r="LV764" s="3"/>
      <c r="LW764" s="3"/>
      <c r="LX764" s="3"/>
      <c r="LY764" s="3"/>
      <c r="LZ764" s="3"/>
      <c r="MA764" s="3"/>
      <c r="MB764" s="3"/>
      <c r="MC764" s="3"/>
      <c r="MD764" s="3"/>
      <c r="ME764" s="3"/>
      <c r="MF764" s="3"/>
      <c r="MG764" s="3"/>
      <c r="MH764" s="3"/>
      <c r="MI764" s="3"/>
    </row>
    <row r="765" spans="1:347"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c r="HX765" s="3"/>
      <c r="HY765" s="3"/>
      <c r="HZ765" s="3"/>
      <c r="IA765" s="3"/>
      <c r="IB765" s="3"/>
      <c r="IC765" s="3"/>
      <c r="ID765" s="3"/>
      <c r="IE765" s="3"/>
      <c r="IF765" s="3"/>
      <c r="IG765" s="3"/>
      <c r="IH765" s="3"/>
      <c r="II765" s="3"/>
      <c r="IJ765" s="3"/>
      <c r="IK765" s="3"/>
      <c r="IL765" s="3"/>
      <c r="IM765" s="3"/>
      <c r="IN765" s="3"/>
      <c r="IO765" s="3"/>
      <c r="IP765" s="3"/>
      <c r="IQ765" s="3"/>
      <c r="IR765" s="3"/>
      <c r="IS765" s="3"/>
      <c r="IT765" s="3"/>
      <c r="IU765" s="3"/>
      <c r="IV765" s="3"/>
      <c r="IW765" s="3"/>
      <c r="IX765" s="3"/>
      <c r="IY765" s="3"/>
      <c r="IZ765" s="3"/>
      <c r="JA765" s="3"/>
      <c r="JB765" s="3"/>
      <c r="JC765" s="3"/>
      <c r="JD765" s="3"/>
      <c r="JE765" s="3"/>
      <c r="JF765" s="3"/>
      <c r="JG765" s="3"/>
      <c r="JH765" s="3"/>
      <c r="JI765" s="3"/>
      <c r="JJ765" s="3"/>
      <c r="JK765" s="3"/>
      <c r="JL765" s="3"/>
      <c r="JM765" s="3"/>
      <c r="JN765" s="3"/>
      <c r="JO765" s="3"/>
      <c r="JP765" s="3"/>
      <c r="JQ765" s="3"/>
      <c r="JR765" s="3"/>
      <c r="JS765" s="3"/>
      <c r="JT765" s="3"/>
      <c r="JU765" s="3"/>
      <c r="JV765" s="3"/>
      <c r="JW765" s="3"/>
      <c r="JX765" s="3"/>
      <c r="JY765" s="3"/>
      <c r="JZ765" s="3"/>
      <c r="KA765" s="3"/>
      <c r="KB765" s="3"/>
      <c r="KC765" s="3"/>
      <c r="KD765" s="3"/>
      <c r="KE765" s="3"/>
      <c r="KF765" s="3"/>
      <c r="KG765" s="3"/>
      <c r="KH765" s="3"/>
      <c r="KI765" s="3"/>
      <c r="KJ765" s="3"/>
      <c r="KK765" s="3"/>
      <c r="KL765" s="3"/>
      <c r="KM765" s="3"/>
      <c r="KN765" s="3"/>
      <c r="KO765" s="3"/>
      <c r="KP765" s="3"/>
      <c r="KQ765" s="3"/>
      <c r="KR765" s="3"/>
      <c r="KS765" s="3"/>
      <c r="KT765" s="3"/>
      <c r="KU765" s="3"/>
      <c r="KV765" s="3"/>
      <c r="KW765" s="3"/>
      <c r="KX765" s="3"/>
      <c r="KY765" s="3"/>
      <c r="KZ765" s="3"/>
      <c r="LA765" s="3"/>
      <c r="LB765" s="3"/>
      <c r="LC765" s="3"/>
      <c r="LD765" s="3"/>
      <c r="LE765" s="3"/>
      <c r="LF765" s="3"/>
      <c r="LG765" s="3"/>
      <c r="LH765" s="3"/>
      <c r="LI765" s="3"/>
      <c r="LJ765" s="3"/>
      <c r="LK765" s="3"/>
      <c r="LL765" s="3"/>
      <c r="LM765" s="3"/>
      <c r="LN765" s="3"/>
      <c r="LO765" s="3"/>
      <c r="LP765" s="3"/>
      <c r="LQ765" s="3"/>
      <c r="LR765" s="3"/>
      <c r="LS765" s="3"/>
      <c r="LT765" s="3"/>
      <c r="LU765" s="3"/>
      <c r="LV765" s="3"/>
      <c r="LW765" s="3"/>
      <c r="LX765" s="3"/>
      <c r="LY765" s="3"/>
      <c r="LZ765" s="3"/>
      <c r="MA765" s="3"/>
      <c r="MB765" s="3"/>
      <c r="MC765" s="3"/>
      <c r="MD765" s="3"/>
      <c r="ME765" s="3"/>
      <c r="MF765" s="3"/>
      <c r="MG765" s="3"/>
      <c r="MH765" s="3"/>
      <c r="MI765" s="3"/>
    </row>
    <row r="766" spans="1:347"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c r="HX766" s="3"/>
      <c r="HY766" s="3"/>
      <c r="HZ766" s="3"/>
      <c r="IA766" s="3"/>
      <c r="IB766" s="3"/>
      <c r="IC766" s="3"/>
      <c r="ID766" s="3"/>
      <c r="IE766" s="3"/>
      <c r="IF766" s="3"/>
      <c r="IG766" s="3"/>
      <c r="IH766" s="3"/>
      <c r="II766" s="3"/>
      <c r="IJ766" s="3"/>
      <c r="IK766" s="3"/>
      <c r="IL766" s="3"/>
      <c r="IM766" s="3"/>
      <c r="IN766" s="3"/>
      <c r="IO766" s="3"/>
      <c r="IP766" s="3"/>
      <c r="IQ766" s="3"/>
      <c r="IR766" s="3"/>
      <c r="IS766" s="3"/>
      <c r="IT766" s="3"/>
      <c r="IU766" s="3"/>
      <c r="IV766" s="3"/>
      <c r="IW766" s="3"/>
      <c r="IX766" s="3"/>
      <c r="IY766" s="3"/>
      <c r="IZ766" s="3"/>
      <c r="JA766" s="3"/>
      <c r="JB766" s="3"/>
      <c r="JC766" s="3"/>
      <c r="JD766" s="3"/>
      <c r="JE766" s="3"/>
      <c r="JF766" s="3"/>
      <c r="JG766" s="3"/>
      <c r="JH766" s="3"/>
      <c r="JI766" s="3"/>
      <c r="JJ766" s="3"/>
      <c r="JK766" s="3"/>
      <c r="JL766" s="3"/>
      <c r="JM766" s="3"/>
      <c r="JN766" s="3"/>
      <c r="JO766" s="3"/>
      <c r="JP766" s="3"/>
      <c r="JQ766" s="3"/>
      <c r="JR766" s="3"/>
      <c r="JS766" s="3"/>
      <c r="JT766" s="3"/>
      <c r="JU766" s="3"/>
      <c r="JV766" s="3"/>
      <c r="JW766" s="3"/>
      <c r="JX766" s="3"/>
      <c r="JY766" s="3"/>
      <c r="JZ766" s="3"/>
      <c r="KA766" s="3"/>
      <c r="KB766" s="3"/>
      <c r="KC766" s="3"/>
      <c r="KD766" s="3"/>
      <c r="KE766" s="3"/>
      <c r="KF766" s="3"/>
      <c r="KG766" s="3"/>
      <c r="KH766" s="3"/>
      <c r="KI766" s="3"/>
      <c r="KJ766" s="3"/>
      <c r="KK766" s="3"/>
      <c r="KL766" s="3"/>
      <c r="KM766" s="3"/>
      <c r="KN766" s="3"/>
      <c r="KO766" s="3"/>
      <c r="KP766" s="3"/>
      <c r="KQ766" s="3"/>
      <c r="KR766" s="3"/>
      <c r="KS766" s="3"/>
      <c r="KT766" s="3"/>
      <c r="KU766" s="3"/>
      <c r="KV766" s="3"/>
      <c r="KW766" s="3"/>
      <c r="KX766" s="3"/>
      <c r="KY766" s="3"/>
      <c r="KZ766" s="3"/>
      <c r="LA766" s="3"/>
      <c r="LB766" s="3"/>
      <c r="LC766" s="3"/>
      <c r="LD766" s="3"/>
      <c r="LE766" s="3"/>
      <c r="LF766" s="3"/>
      <c r="LG766" s="3"/>
      <c r="LH766" s="3"/>
      <c r="LI766" s="3"/>
      <c r="LJ766" s="3"/>
      <c r="LK766" s="3"/>
      <c r="LL766" s="3"/>
      <c r="LM766" s="3"/>
      <c r="LN766" s="3"/>
      <c r="LO766" s="3"/>
      <c r="LP766" s="3"/>
      <c r="LQ766" s="3"/>
      <c r="LR766" s="3"/>
      <c r="LS766" s="3"/>
      <c r="LT766" s="3"/>
      <c r="LU766" s="3"/>
      <c r="LV766" s="3"/>
      <c r="LW766" s="3"/>
      <c r="LX766" s="3"/>
      <c r="LY766" s="3"/>
      <c r="LZ766" s="3"/>
      <c r="MA766" s="3"/>
      <c r="MB766" s="3"/>
      <c r="MC766" s="3"/>
      <c r="MD766" s="3"/>
      <c r="ME766" s="3"/>
      <c r="MF766" s="3"/>
      <c r="MG766" s="3"/>
      <c r="MH766" s="3"/>
      <c r="MI766" s="3"/>
    </row>
    <row r="767" spans="1:347"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c r="HX767" s="3"/>
      <c r="HY767" s="3"/>
      <c r="HZ767" s="3"/>
      <c r="IA767" s="3"/>
      <c r="IB767" s="3"/>
      <c r="IC767" s="3"/>
      <c r="ID767" s="3"/>
      <c r="IE767" s="3"/>
      <c r="IF767" s="3"/>
      <c r="IG767" s="3"/>
      <c r="IH767" s="3"/>
      <c r="II767" s="3"/>
      <c r="IJ767" s="3"/>
      <c r="IK767" s="3"/>
      <c r="IL767" s="3"/>
      <c r="IM767" s="3"/>
      <c r="IN767" s="3"/>
      <c r="IO767" s="3"/>
      <c r="IP767" s="3"/>
      <c r="IQ767" s="3"/>
      <c r="IR767" s="3"/>
      <c r="IS767" s="3"/>
      <c r="IT767" s="3"/>
      <c r="IU767" s="3"/>
      <c r="IV767" s="3"/>
      <c r="IW767" s="3"/>
      <c r="IX767" s="3"/>
      <c r="IY767" s="3"/>
      <c r="IZ767" s="3"/>
      <c r="JA767" s="3"/>
      <c r="JB767" s="3"/>
      <c r="JC767" s="3"/>
      <c r="JD767" s="3"/>
      <c r="JE767" s="3"/>
      <c r="JF767" s="3"/>
      <c r="JG767" s="3"/>
      <c r="JH767" s="3"/>
      <c r="JI767" s="3"/>
      <c r="JJ767" s="3"/>
      <c r="JK767" s="3"/>
      <c r="JL767" s="3"/>
      <c r="JM767" s="3"/>
      <c r="JN767" s="3"/>
      <c r="JO767" s="3"/>
      <c r="JP767" s="3"/>
      <c r="JQ767" s="3"/>
      <c r="JR767" s="3"/>
      <c r="JS767" s="3"/>
      <c r="JT767" s="3"/>
      <c r="JU767" s="3"/>
      <c r="JV767" s="3"/>
      <c r="JW767" s="3"/>
      <c r="JX767" s="3"/>
      <c r="JY767" s="3"/>
      <c r="JZ767" s="3"/>
      <c r="KA767" s="3"/>
      <c r="KB767" s="3"/>
      <c r="KC767" s="3"/>
      <c r="KD767" s="3"/>
      <c r="KE767" s="3"/>
      <c r="KF767" s="3"/>
      <c r="KG767" s="3"/>
      <c r="KH767" s="3"/>
      <c r="KI767" s="3"/>
      <c r="KJ767" s="3"/>
      <c r="KK767" s="3"/>
      <c r="KL767" s="3"/>
      <c r="KM767" s="3"/>
      <c r="KN767" s="3"/>
      <c r="KO767" s="3"/>
      <c r="KP767" s="3"/>
      <c r="KQ767" s="3"/>
      <c r="KR767" s="3"/>
      <c r="KS767" s="3"/>
      <c r="KT767" s="3"/>
      <c r="KU767" s="3"/>
      <c r="KV767" s="3"/>
      <c r="KW767" s="3"/>
      <c r="KX767" s="3"/>
      <c r="KY767" s="3"/>
      <c r="KZ767" s="3"/>
      <c r="LA767" s="3"/>
      <c r="LB767" s="3"/>
      <c r="LC767" s="3"/>
      <c r="LD767" s="3"/>
      <c r="LE767" s="3"/>
      <c r="LF767" s="3"/>
      <c r="LG767" s="3"/>
      <c r="LH767" s="3"/>
      <c r="LI767" s="3"/>
      <c r="LJ767" s="3"/>
      <c r="LK767" s="3"/>
      <c r="LL767" s="3"/>
      <c r="LM767" s="3"/>
      <c r="LN767" s="3"/>
      <c r="LO767" s="3"/>
      <c r="LP767" s="3"/>
      <c r="LQ767" s="3"/>
      <c r="LR767" s="3"/>
      <c r="LS767" s="3"/>
      <c r="LT767" s="3"/>
      <c r="LU767" s="3"/>
      <c r="LV767" s="3"/>
      <c r="LW767" s="3"/>
      <c r="LX767" s="3"/>
      <c r="LY767" s="3"/>
      <c r="LZ767" s="3"/>
      <c r="MA767" s="3"/>
      <c r="MB767" s="3"/>
      <c r="MC767" s="3"/>
      <c r="MD767" s="3"/>
      <c r="ME767" s="3"/>
      <c r="MF767" s="3"/>
      <c r="MG767" s="3"/>
      <c r="MH767" s="3"/>
      <c r="MI767" s="3"/>
    </row>
    <row r="768" spans="1:347"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c r="HX768" s="3"/>
      <c r="HY768" s="3"/>
      <c r="HZ768" s="3"/>
      <c r="IA768" s="3"/>
      <c r="IB768" s="3"/>
      <c r="IC768" s="3"/>
      <c r="ID768" s="3"/>
      <c r="IE768" s="3"/>
      <c r="IF768" s="3"/>
      <c r="IG768" s="3"/>
      <c r="IH768" s="3"/>
      <c r="II768" s="3"/>
      <c r="IJ768" s="3"/>
      <c r="IK768" s="3"/>
      <c r="IL768" s="3"/>
      <c r="IM768" s="3"/>
      <c r="IN768" s="3"/>
      <c r="IO768" s="3"/>
      <c r="IP768" s="3"/>
      <c r="IQ768" s="3"/>
      <c r="IR768" s="3"/>
      <c r="IS768" s="3"/>
      <c r="IT768" s="3"/>
      <c r="IU768" s="3"/>
      <c r="IV768" s="3"/>
      <c r="IW768" s="3"/>
      <c r="IX768" s="3"/>
      <c r="IY768" s="3"/>
      <c r="IZ768" s="3"/>
      <c r="JA768" s="3"/>
      <c r="JB768" s="3"/>
      <c r="JC768" s="3"/>
      <c r="JD768" s="3"/>
      <c r="JE768" s="3"/>
      <c r="JF768" s="3"/>
      <c r="JG768" s="3"/>
      <c r="JH768" s="3"/>
      <c r="JI768" s="3"/>
      <c r="JJ768" s="3"/>
      <c r="JK768" s="3"/>
      <c r="JL768" s="3"/>
      <c r="JM768" s="3"/>
      <c r="JN768" s="3"/>
      <c r="JO768" s="3"/>
      <c r="JP768" s="3"/>
      <c r="JQ768" s="3"/>
      <c r="JR768" s="3"/>
      <c r="JS768" s="3"/>
      <c r="JT768" s="3"/>
      <c r="JU768" s="3"/>
      <c r="JV768" s="3"/>
      <c r="JW768" s="3"/>
      <c r="JX768" s="3"/>
      <c r="JY768" s="3"/>
      <c r="JZ768" s="3"/>
      <c r="KA768" s="3"/>
      <c r="KB768" s="3"/>
      <c r="KC768" s="3"/>
      <c r="KD768" s="3"/>
      <c r="KE768" s="3"/>
      <c r="KF768" s="3"/>
      <c r="KG768" s="3"/>
      <c r="KH768" s="3"/>
      <c r="KI768" s="3"/>
      <c r="KJ768" s="3"/>
      <c r="KK768" s="3"/>
      <c r="KL768" s="3"/>
      <c r="KM768" s="3"/>
      <c r="KN768" s="3"/>
      <c r="KO768" s="3"/>
      <c r="KP768" s="3"/>
      <c r="KQ768" s="3"/>
      <c r="KR768" s="3"/>
      <c r="KS768" s="3"/>
      <c r="KT768" s="3"/>
      <c r="KU768" s="3"/>
      <c r="KV768" s="3"/>
      <c r="KW768" s="3"/>
      <c r="KX768" s="3"/>
      <c r="KY768" s="3"/>
      <c r="KZ768" s="3"/>
      <c r="LA768" s="3"/>
      <c r="LB768" s="3"/>
      <c r="LC768" s="3"/>
      <c r="LD768" s="3"/>
      <c r="LE768" s="3"/>
      <c r="LF768" s="3"/>
      <c r="LG768" s="3"/>
      <c r="LH768" s="3"/>
      <c r="LI768" s="3"/>
      <c r="LJ768" s="3"/>
      <c r="LK768" s="3"/>
      <c r="LL768" s="3"/>
      <c r="LM768" s="3"/>
      <c r="LN768" s="3"/>
      <c r="LO768" s="3"/>
      <c r="LP768" s="3"/>
      <c r="LQ768" s="3"/>
      <c r="LR768" s="3"/>
      <c r="LS768" s="3"/>
      <c r="LT768" s="3"/>
      <c r="LU768" s="3"/>
      <c r="LV768" s="3"/>
      <c r="LW768" s="3"/>
      <c r="LX768" s="3"/>
      <c r="LY768" s="3"/>
      <c r="LZ768" s="3"/>
      <c r="MA768" s="3"/>
      <c r="MB768" s="3"/>
      <c r="MC768" s="3"/>
      <c r="MD768" s="3"/>
      <c r="ME768" s="3"/>
      <c r="MF768" s="3"/>
      <c r="MG768" s="3"/>
      <c r="MH768" s="3"/>
      <c r="MI768" s="3"/>
    </row>
    <row r="769" spans="1:347"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c r="HX769" s="3"/>
      <c r="HY769" s="3"/>
      <c r="HZ769" s="3"/>
      <c r="IA769" s="3"/>
      <c r="IB769" s="3"/>
      <c r="IC769" s="3"/>
      <c r="ID769" s="3"/>
      <c r="IE769" s="3"/>
      <c r="IF769" s="3"/>
      <c r="IG769" s="3"/>
      <c r="IH769" s="3"/>
      <c r="II769" s="3"/>
      <c r="IJ769" s="3"/>
      <c r="IK769" s="3"/>
      <c r="IL769" s="3"/>
      <c r="IM769" s="3"/>
      <c r="IN769" s="3"/>
      <c r="IO769" s="3"/>
      <c r="IP769" s="3"/>
      <c r="IQ769" s="3"/>
      <c r="IR769" s="3"/>
      <c r="IS769" s="3"/>
      <c r="IT769" s="3"/>
      <c r="IU769" s="3"/>
      <c r="IV769" s="3"/>
      <c r="IW769" s="3"/>
      <c r="IX769" s="3"/>
      <c r="IY769" s="3"/>
      <c r="IZ769" s="3"/>
      <c r="JA769" s="3"/>
      <c r="JB769" s="3"/>
      <c r="JC769" s="3"/>
      <c r="JD769" s="3"/>
      <c r="JE769" s="3"/>
      <c r="JF769" s="3"/>
      <c r="JG769" s="3"/>
      <c r="JH769" s="3"/>
      <c r="JI769" s="3"/>
      <c r="JJ769" s="3"/>
      <c r="JK769" s="3"/>
      <c r="JL769" s="3"/>
      <c r="JM769" s="3"/>
      <c r="JN769" s="3"/>
      <c r="JO769" s="3"/>
      <c r="JP769" s="3"/>
      <c r="JQ769" s="3"/>
      <c r="JR769" s="3"/>
      <c r="JS769" s="3"/>
      <c r="JT769" s="3"/>
      <c r="JU769" s="3"/>
      <c r="JV769" s="3"/>
      <c r="JW769" s="3"/>
      <c r="JX769" s="3"/>
      <c r="JY769" s="3"/>
      <c r="JZ769" s="3"/>
      <c r="KA769" s="3"/>
      <c r="KB769" s="3"/>
      <c r="KC769" s="3"/>
      <c r="KD769" s="3"/>
      <c r="KE769" s="3"/>
      <c r="KF769" s="3"/>
      <c r="KG769" s="3"/>
      <c r="KH769" s="3"/>
      <c r="KI769" s="3"/>
      <c r="KJ769" s="3"/>
      <c r="KK769" s="3"/>
      <c r="KL769" s="3"/>
      <c r="KM769" s="3"/>
      <c r="KN769" s="3"/>
      <c r="KO769" s="3"/>
      <c r="KP769" s="3"/>
      <c r="KQ769" s="3"/>
      <c r="KR769" s="3"/>
      <c r="KS769" s="3"/>
      <c r="KT769" s="3"/>
      <c r="KU769" s="3"/>
      <c r="KV769" s="3"/>
      <c r="KW769" s="3"/>
      <c r="KX769" s="3"/>
      <c r="KY769" s="3"/>
      <c r="KZ769" s="3"/>
      <c r="LA769" s="3"/>
      <c r="LB769" s="3"/>
      <c r="LC769" s="3"/>
      <c r="LD769" s="3"/>
      <c r="LE769" s="3"/>
      <c r="LF769" s="3"/>
      <c r="LG769" s="3"/>
      <c r="LH769" s="3"/>
      <c r="LI769" s="3"/>
      <c r="LJ769" s="3"/>
      <c r="LK769" s="3"/>
      <c r="LL769" s="3"/>
      <c r="LM769" s="3"/>
      <c r="LN769" s="3"/>
      <c r="LO769" s="3"/>
      <c r="LP769" s="3"/>
      <c r="LQ769" s="3"/>
      <c r="LR769" s="3"/>
      <c r="LS769" s="3"/>
      <c r="LT769" s="3"/>
      <c r="LU769" s="3"/>
      <c r="LV769" s="3"/>
      <c r="LW769" s="3"/>
      <c r="LX769" s="3"/>
      <c r="LY769" s="3"/>
      <c r="LZ769" s="3"/>
      <c r="MA769" s="3"/>
      <c r="MB769" s="3"/>
      <c r="MC769" s="3"/>
      <c r="MD769" s="3"/>
      <c r="ME769" s="3"/>
      <c r="MF769" s="3"/>
      <c r="MG769" s="3"/>
      <c r="MH769" s="3"/>
      <c r="MI769" s="3"/>
    </row>
    <row r="770" spans="1:347"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c r="HX770" s="3"/>
      <c r="HY770" s="3"/>
      <c r="HZ770" s="3"/>
      <c r="IA770" s="3"/>
      <c r="IB770" s="3"/>
      <c r="IC770" s="3"/>
      <c r="ID770" s="3"/>
      <c r="IE770" s="3"/>
      <c r="IF770" s="3"/>
      <c r="IG770" s="3"/>
      <c r="IH770" s="3"/>
      <c r="II770" s="3"/>
      <c r="IJ770" s="3"/>
      <c r="IK770" s="3"/>
      <c r="IL770" s="3"/>
      <c r="IM770" s="3"/>
      <c r="IN770" s="3"/>
      <c r="IO770" s="3"/>
      <c r="IP770" s="3"/>
      <c r="IQ770" s="3"/>
      <c r="IR770" s="3"/>
      <c r="IS770" s="3"/>
      <c r="IT770" s="3"/>
      <c r="IU770" s="3"/>
      <c r="IV770" s="3"/>
      <c r="IW770" s="3"/>
      <c r="IX770" s="3"/>
      <c r="IY770" s="3"/>
      <c r="IZ770" s="3"/>
      <c r="JA770" s="3"/>
      <c r="JB770" s="3"/>
      <c r="JC770" s="3"/>
      <c r="JD770" s="3"/>
      <c r="JE770" s="3"/>
      <c r="JF770" s="3"/>
      <c r="JG770" s="3"/>
      <c r="JH770" s="3"/>
      <c r="JI770" s="3"/>
      <c r="JJ770" s="3"/>
      <c r="JK770" s="3"/>
      <c r="JL770" s="3"/>
      <c r="JM770" s="3"/>
      <c r="JN770" s="3"/>
      <c r="JO770" s="3"/>
      <c r="JP770" s="3"/>
      <c r="JQ770" s="3"/>
      <c r="JR770" s="3"/>
      <c r="JS770" s="3"/>
      <c r="JT770" s="3"/>
      <c r="JU770" s="3"/>
      <c r="JV770" s="3"/>
      <c r="JW770" s="3"/>
      <c r="JX770" s="3"/>
      <c r="JY770" s="3"/>
      <c r="JZ770" s="3"/>
      <c r="KA770" s="3"/>
      <c r="KB770" s="3"/>
      <c r="KC770" s="3"/>
      <c r="KD770" s="3"/>
      <c r="KE770" s="3"/>
      <c r="KF770" s="3"/>
      <c r="KG770" s="3"/>
      <c r="KH770" s="3"/>
      <c r="KI770" s="3"/>
      <c r="KJ770" s="3"/>
      <c r="KK770" s="3"/>
      <c r="KL770" s="3"/>
      <c r="KM770" s="3"/>
      <c r="KN770" s="3"/>
      <c r="KO770" s="3"/>
      <c r="KP770" s="3"/>
      <c r="KQ770" s="3"/>
      <c r="KR770" s="3"/>
      <c r="KS770" s="3"/>
      <c r="KT770" s="3"/>
      <c r="KU770" s="3"/>
      <c r="KV770" s="3"/>
      <c r="KW770" s="3"/>
      <c r="KX770" s="3"/>
      <c r="KY770" s="3"/>
      <c r="KZ770" s="3"/>
      <c r="LA770" s="3"/>
      <c r="LB770" s="3"/>
      <c r="LC770" s="3"/>
      <c r="LD770" s="3"/>
      <c r="LE770" s="3"/>
      <c r="LF770" s="3"/>
      <c r="LG770" s="3"/>
      <c r="LH770" s="3"/>
      <c r="LI770" s="3"/>
      <c r="LJ770" s="3"/>
      <c r="LK770" s="3"/>
      <c r="LL770" s="3"/>
      <c r="LM770" s="3"/>
      <c r="LN770" s="3"/>
      <c r="LO770" s="3"/>
      <c r="LP770" s="3"/>
      <c r="LQ770" s="3"/>
      <c r="LR770" s="3"/>
      <c r="LS770" s="3"/>
      <c r="LT770" s="3"/>
      <c r="LU770" s="3"/>
      <c r="LV770" s="3"/>
      <c r="LW770" s="3"/>
      <c r="LX770" s="3"/>
      <c r="LY770" s="3"/>
      <c r="LZ770" s="3"/>
      <c r="MA770" s="3"/>
      <c r="MB770" s="3"/>
      <c r="MC770" s="3"/>
      <c r="MD770" s="3"/>
      <c r="ME770" s="3"/>
      <c r="MF770" s="3"/>
      <c r="MG770" s="3"/>
      <c r="MH770" s="3"/>
      <c r="MI770" s="3"/>
    </row>
    <row r="771" spans="1:347"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c r="HX771" s="3"/>
      <c r="HY771" s="3"/>
      <c r="HZ771" s="3"/>
      <c r="IA771" s="3"/>
      <c r="IB771" s="3"/>
      <c r="IC771" s="3"/>
      <c r="ID771" s="3"/>
      <c r="IE771" s="3"/>
      <c r="IF771" s="3"/>
      <c r="IG771" s="3"/>
      <c r="IH771" s="3"/>
      <c r="II771" s="3"/>
      <c r="IJ771" s="3"/>
      <c r="IK771" s="3"/>
      <c r="IL771" s="3"/>
      <c r="IM771" s="3"/>
      <c r="IN771" s="3"/>
      <c r="IO771" s="3"/>
      <c r="IP771" s="3"/>
      <c r="IQ771" s="3"/>
      <c r="IR771" s="3"/>
      <c r="IS771" s="3"/>
      <c r="IT771" s="3"/>
      <c r="IU771" s="3"/>
      <c r="IV771" s="3"/>
      <c r="IW771" s="3"/>
      <c r="IX771" s="3"/>
      <c r="IY771" s="3"/>
      <c r="IZ771" s="3"/>
      <c r="JA771" s="3"/>
      <c r="JB771" s="3"/>
      <c r="JC771" s="3"/>
      <c r="JD771" s="3"/>
      <c r="JE771" s="3"/>
      <c r="JF771" s="3"/>
      <c r="JG771" s="3"/>
      <c r="JH771" s="3"/>
      <c r="JI771" s="3"/>
      <c r="JJ771" s="3"/>
      <c r="JK771" s="3"/>
      <c r="JL771" s="3"/>
      <c r="JM771" s="3"/>
      <c r="JN771" s="3"/>
      <c r="JO771" s="3"/>
      <c r="JP771" s="3"/>
      <c r="JQ771" s="3"/>
      <c r="JR771" s="3"/>
      <c r="JS771" s="3"/>
      <c r="JT771" s="3"/>
      <c r="JU771" s="3"/>
      <c r="JV771" s="3"/>
      <c r="JW771" s="3"/>
      <c r="JX771" s="3"/>
      <c r="JY771" s="3"/>
      <c r="JZ771" s="3"/>
      <c r="KA771" s="3"/>
      <c r="KB771" s="3"/>
      <c r="KC771" s="3"/>
      <c r="KD771" s="3"/>
      <c r="KE771" s="3"/>
      <c r="KF771" s="3"/>
      <c r="KG771" s="3"/>
      <c r="KH771" s="3"/>
      <c r="KI771" s="3"/>
      <c r="KJ771" s="3"/>
      <c r="KK771" s="3"/>
      <c r="KL771" s="3"/>
      <c r="KM771" s="3"/>
      <c r="KN771" s="3"/>
      <c r="KO771" s="3"/>
      <c r="KP771" s="3"/>
      <c r="KQ771" s="3"/>
      <c r="KR771" s="3"/>
      <c r="KS771" s="3"/>
      <c r="KT771" s="3"/>
      <c r="KU771" s="3"/>
      <c r="KV771" s="3"/>
      <c r="KW771" s="3"/>
      <c r="KX771" s="3"/>
      <c r="KY771" s="3"/>
      <c r="KZ771" s="3"/>
      <c r="LA771" s="3"/>
      <c r="LB771" s="3"/>
      <c r="LC771" s="3"/>
      <c r="LD771" s="3"/>
      <c r="LE771" s="3"/>
      <c r="LF771" s="3"/>
      <c r="LG771" s="3"/>
      <c r="LH771" s="3"/>
      <c r="LI771" s="3"/>
      <c r="LJ771" s="3"/>
      <c r="LK771" s="3"/>
      <c r="LL771" s="3"/>
      <c r="LM771" s="3"/>
      <c r="LN771" s="3"/>
      <c r="LO771" s="3"/>
      <c r="LP771" s="3"/>
      <c r="LQ771" s="3"/>
      <c r="LR771" s="3"/>
      <c r="LS771" s="3"/>
      <c r="LT771" s="3"/>
      <c r="LU771" s="3"/>
      <c r="LV771" s="3"/>
      <c r="LW771" s="3"/>
      <c r="LX771" s="3"/>
      <c r="LY771" s="3"/>
      <c r="LZ771" s="3"/>
      <c r="MA771" s="3"/>
      <c r="MB771" s="3"/>
      <c r="MC771" s="3"/>
      <c r="MD771" s="3"/>
      <c r="ME771" s="3"/>
      <c r="MF771" s="3"/>
      <c r="MG771" s="3"/>
      <c r="MH771" s="3"/>
      <c r="MI771" s="3"/>
    </row>
    <row r="772" spans="1:347"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c r="HX772" s="3"/>
      <c r="HY772" s="3"/>
      <c r="HZ772" s="3"/>
      <c r="IA772" s="3"/>
      <c r="IB772" s="3"/>
      <c r="IC772" s="3"/>
      <c r="ID772" s="3"/>
      <c r="IE772" s="3"/>
      <c r="IF772" s="3"/>
      <c r="IG772" s="3"/>
      <c r="IH772" s="3"/>
      <c r="II772" s="3"/>
      <c r="IJ772" s="3"/>
      <c r="IK772" s="3"/>
      <c r="IL772" s="3"/>
      <c r="IM772" s="3"/>
      <c r="IN772" s="3"/>
      <c r="IO772" s="3"/>
      <c r="IP772" s="3"/>
      <c r="IQ772" s="3"/>
      <c r="IR772" s="3"/>
      <c r="IS772" s="3"/>
      <c r="IT772" s="3"/>
      <c r="IU772" s="3"/>
      <c r="IV772" s="3"/>
      <c r="IW772" s="3"/>
      <c r="IX772" s="3"/>
      <c r="IY772" s="3"/>
      <c r="IZ772" s="3"/>
      <c r="JA772" s="3"/>
      <c r="JB772" s="3"/>
      <c r="JC772" s="3"/>
      <c r="JD772" s="3"/>
      <c r="JE772" s="3"/>
      <c r="JF772" s="3"/>
      <c r="JG772" s="3"/>
      <c r="JH772" s="3"/>
      <c r="JI772" s="3"/>
      <c r="JJ772" s="3"/>
      <c r="JK772" s="3"/>
      <c r="JL772" s="3"/>
      <c r="JM772" s="3"/>
      <c r="JN772" s="3"/>
      <c r="JO772" s="3"/>
      <c r="JP772" s="3"/>
      <c r="JQ772" s="3"/>
      <c r="JR772" s="3"/>
      <c r="JS772" s="3"/>
      <c r="JT772" s="3"/>
      <c r="JU772" s="3"/>
      <c r="JV772" s="3"/>
      <c r="JW772" s="3"/>
      <c r="JX772" s="3"/>
      <c r="JY772" s="3"/>
      <c r="JZ772" s="3"/>
      <c r="KA772" s="3"/>
      <c r="KB772" s="3"/>
      <c r="KC772" s="3"/>
      <c r="KD772" s="3"/>
      <c r="KE772" s="3"/>
      <c r="KF772" s="3"/>
      <c r="KG772" s="3"/>
      <c r="KH772" s="3"/>
      <c r="KI772" s="3"/>
      <c r="KJ772" s="3"/>
      <c r="KK772" s="3"/>
      <c r="KL772" s="3"/>
      <c r="KM772" s="3"/>
      <c r="KN772" s="3"/>
      <c r="KO772" s="3"/>
      <c r="KP772" s="3"/>
      <c r="KQ772" s="3"/>
      <c r="KR772" s="3"/>
      <c r="KS772" s="3"/>
      <c r="KT772" s="3"/>
      <c r="KU772" s="3"/>
      <c r="KV772" s="3"/>
      <c r="KW772" s="3"/>
      <c r="KX772" s="3"/>
      <c r="KY772" s="3"/>
      <c r="KZ772" s="3"/>
      <c r="LA772" s="3"/>
      <c r="LB772" s="3"/>
      <c r="LC772" s="3"/>
      <c r="LD772" s="3"/>
      <c r="LE772" s="3"/>
      <c r="LF772" s="3"/>
      <c r="LG772" s="3"/>
      <c r="LH772" s="3"/>
      <c r="LI772" s="3"/>
      <c r="LJ772" s="3"/>
      <c r="LK772" s="3"/>
      <c r="LL772" s="3"/>
      <c r="LM772" s="3"/>
      <c r="LN772" s="3"/>
      <c r="LO772" s="3"/>
      <c r="LP772" s="3"/>
      <c r="LQ772" s="3"/>
      <c r="LR772" s="3"/>
      <c r="LS772" s="3"/>
      <c r="LT772" s="3"/>
      <c r="LU772" s="3"/>
      <c r="LV772" s="3"/>
      <c r="LW772" s="3"/>
      <c r="LX772" s="3"/>
      <c r="LY772" s="3"/>
      <c r="LZ772" s="3"/>
      <c r="MA772" s="3"/>
      <c r="MB772" s="3"/>
      <c r="MC772" s="3"/>
      <c r="MD772" s="3"/>
      <c r="ME772" s="3"/>
      <c r="MF772" s="3"/>
      <c r="MG772" s="3"/>
      <c r="MH772" s="3"/>
      <c r="MI772" s="3"/>
    </row>
    <row r="773" spans="1:347"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c r="HX773" s="3"/>
      <c r="HY773" s="3"/>
      <c r="HZ773" s="3"/>
      <c r="IA773" s="3"/>
      <c r="IB773" s="3"/>
      <c r="IC773" s="3"/>
      <c r="ID773" s="3"/>
      <c r="IE773" s="3"/>
      <c r="IF773" s="3"/>
      <c r="IG773" s="3"/>
      <c r="IH773" s="3"/>
      <c r="II773" s="3"/>
      <c r="IJ773" s="3"/>
      <c r="IK773" s="3"/>
      <c r="IL773" s="3"/>
      <c r="IM773" s="3"/>
      <c r="IN773" s="3"/>
      <c r="IO773" s="3"/>
      <c r="IP773" s="3"/>
      <c r="IQ773" s="3"/>
      <c r="IR773" s="3"/>
      <c r="IS773" s="3"/>
      <c r="IT773" s="3"/>
      <c r="IU773" s="3"/>
      <c r="IV773" s="3"/>
      <c r="IW773" s="3"/>
      <c r="IX773" s="3"/>
      <c r="IY773" s="3"/>
      <c r="IZ773" s="3"/>
      <c r="JA773" s="3"/>
      <c r="JB773" s="3"/>
      <c r="JC773" s="3"/>
      <c r="JD773" s="3"/>
      <c r="JE773" s="3"/>
      <c r="JF773" s="3"/>
      <c r="JG773" s="3"/>
      <c r="JH773" s="3"/>
      <c r="JI773" s="3"/>
      <c r="JJ773" s="3"/>
      <c r="JK773" s="3"/>
      <c r="JL773" s="3"/>
      <c r="JM773" s="3"/>
      <c r="JN773" s="3"/>
      <c r="JO773" s="3"/>
      <c r="JP773" s="3"/>
      <c r="JQ773" s="3"/>
      <c r="JR773" s="3"/>
      <c r="JS773" s="3"/>
      <c r="JT773" s="3"/>
      <c r="JU773" s="3"/>
      <c r="JV773" s="3"/>
      <c r="JW773" s="3"/>
      <c r="JX773" s="3"/>
      <c r="JY773" s="3"/>
      <c r="JZ773" s="3"/>
      <c r="KA773" s="3"/>
      <c r="KB773" s="3"/>
      <c r="KC773" s="3"/>
      <c r="KD773" s="3"/>
      <c r="KE773" s="3"/>
      <c r="KF773" s="3"/>
      <c r="KG773" s="3"/>
      <c r="KH773" s="3"/>
      <c r="KI773" s="3"/>
      <c r="KJ773" s="3"/>
      <c r="KK773" s="3"/>
      <c r="KL773" s="3"/>
      <c r="KM773" s="3"/>
      <c r="KN773" s="3"/>
      <c r="KO773" s="3"/>
      <c r="KP773" s="3"/>
      <c r="KQ773" s="3"/>
      <c r="KR773" s="3"/>
      <c r="KS773" s="3"/>
      <c r="KT773" s="3"/>
      <c r="KU773" s="3"/>
      <c r="KV773" s="3"/>
      <c r="KW773" s="3"/>
      <c r="KX773" s="3"/>
      <c r="KY773" s="3"/>
      <c r="KZ773" s="3"/>
      <c r="LA773" s="3"/>
      <c r="LB773" s="3"/>
      <c r="LC773" s="3"/>
      <c r="LD773" s="3"/>
      <c r="LE773" s="3"/>
      <c r="LF773" s="3"/>
      <c r="LG773" s="3"/>
      <c r="LH773" s="3"/>
      <c r="LI773" s="3"/>
      <c r="LJ773" s="3"/>
      <c r="LK773" s="3"/>
      <c r="LL773" s="3"/>
      <c r="LM773" s="3"/>
      <c r="LN773" s="3"/>
      <c r="LO773" s="3"/>
      <c r="LP773" s="3"/>
      <c r="LQ773" s="3"/>
      <c r="LR773" s="3"/>
      <c r="LS773" s="3"/>
      <c r="LT773" s="3"/>
      <c r="LU773" s="3"/>
      <c r="LV773" s="3"/>
      <c r="LW773" s="3"/>
      <c r="LX773" s="3"/>
      <c r="LY773" s="3"/>
      <c r="LZ773" s="3"/>
      <c r="MA773" s="3"/>
      <c r="MB773" s="3"/>
      <c r="MC773" s="3"/>
      <c r="MD773" s="3"/>
      <c r="ME773" s="3"/>
      <c r="MF773" s="3"/>
      <c r="MG773" s="3"/>
      <c r="MH773" s="3"/>
      <c r="MI773" s="3"/>
    </row>
    <row r="774" spans="1:347"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c r="HX774" s="3"/>
      <c r="HY774" s="3"/>
      <c r="HZ774" s="3"/>
      <c r="IA774" s="3"/>
      <c r="IB774" s="3"/>
      <c r="IC774" s="3"/>
      <c r="ID774" s="3"/>
      <c r="IE774" s="3"/>
      <c r="IF774" s="3"/>
      <c r="IG774" s="3"/>
      <c r="IH774" s="3"/>
      <c r="II774" s="3"/>
      <c r="IJ774" s="3"/>
      <c r="IK774" s="3"/>
      <c r="IL774" s="3"/>
      <c r="IM774" s="3"/>
      <c r="IN774" s="3"/>
      <c r="IO774" s="3"/>
      <c r="IP774" s="3"/>
      <c r="IQ774" s="3"/>
      <c r="IR774" s="3"/>
      <c r="IS774" s="3"/>
      <c r="IT774" s="3"/>
      <c r="IU774" s="3"/>
      <c r="IV774" s="3"/>
      <c r="IW774" s="3"/>
      <c r="IX774" s="3"/>
      <c r="IY774" s="3"/>
      <c r="IZ774" s="3"/>
      <c r="JA774" s="3"/>
      <c r="JB774" s="3"/>
      <c r="JC774" s="3"/>
      <c r="JD774" s="3"/>
      <c r="JE774" s="3"/>
      <c r="JF774" s="3"/>
      <c r="JG774" s="3"/>
      <c r="JH774" s="3"/>
      <c r="JI774" s="3"/>
      <c r="JJ774" s="3"/>
      <c r="JK774" s="3"/>
      <c r="JL774" s="3"/>
      <c r="JM774" s="3"/>
      <c r="JN774" s="3"/>
      <c r="JO774" s="3"/>
      <c r="JP774" s="3"/>
      <c r="JQ774" s="3"/>
      <c r="JR774" s="3"/>
      <c r="JS774" s="3"/>
      <c r="JT774" s="3"/>
      <c r="JU774" s="3"/>
      <c r="JV774" s="3"/>
      <c r="JW774" s="3"/>
      <c r="JX774" s="3"/>
      <c r="JY774" s="3"/>
      <c r="JZ774" s="3"/>
      <c r="KA774" s="3"/>
      <c r="KB774" s="3"/>
      <c r="KC774" s="3"/>
      <c r="KD774" s="3"/>
      <c r="KE774" s="3"/>
      <c r="KF774" s="3"/>
      <c r="KG774" s="3"/>
      <c r="KH774" s="3"/>
      <c r="KI774" s="3"/>
      <c r="KJ774" s="3"/>
      <c r="KK774" s="3"/>
      <c r="KL774" s="3"/>
      <c r="KM774" s="3"/>
      <c r="KN774" s="3"/>
      <c r="KO774" s="3"/>
      <c r="KP774" s="3"/>
      <c r="KQ774" s="3"/>
      <c r="KR774" s="3"/>
      <c r="KS774" s="3"/>
      <c r="KT774" s="3"/>
      <c r="KU774" s="3"/>
      <c r="KV774" s="3"/>
      <c r="KW774" s="3"/>
      <c r="KX774" s="3"/>
      <c r="KY774" s="3"/>
      <c r="KZ774" s="3"/>
      <c r="LA774" s="3"/>
      <c r="LB774" s="3"/>
      <c r="LC774" s="3"/>
      <c r="LD774" s="3"/>
      <c r="LE774" s="3"/>
      <c r="LF774" s="3"/>
      <c r="LG774" s="3"/>
      <c r="LH774" s="3"/>
      <c r="LI774" s="3"/>
      <c r="LJ774" s="3"/>
      <c r="LK774" s="3"/>
      <c r="LL774" s="3"/>
      <c r="LM774" s="3"/>
      <c r="LN774" s="3"/>
      <c r="LO774" s="3"/>
      <c r="LP774" s="3"/>
      <c r="LQ774" s="3"/>
      <c r="LR774" s="3"/>
      <c r="LS774" s="3"/>
      <c r="LT774" s="3"/>
      <c r="LU774" s="3"/>
      <c r="LV774" s="3"/>
      <c r="LW774" s="3"/>
      <c r="LX774" s="3"/>
      <c r="LY774" s="3"/>
      <c r="LZ774" s="3"/>
      <c r="MA774" s="3"/>
      <c r="MB774" s="3"/>
      <c r="MC774" s="3"/>
      <c r="MD774" s="3"/>
      <c r="ME774" s="3"/>
      <c r="MF774" s="3"/>
      <c r="MG774" s="3"/>
      <c r="MH774" s="3"/>
      <c r="MI774" s="3"/>
    </row>
    <row r="775" spans="1:347"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c r="HX775" s="3"/>
      <c r="HY775" s="3"/>
      <c r="HZ775" s="3"/>
      <c r="IA775" s="3"/>
      <c r="IB775" s="3"/>
      <c r="IC775" s="3"/>
      <c r="ID775" s="3"/>
      <c r="IE775" s="3"/>
      <c r="IF775" s="3"/>
      <c r="IG775" s="3"/>
      <c r="IH775" s="3"/>
      <c r="II775" s="3"/>
      <c r="IJ775" s="3"/>
      <c r="IK775" s="3"/>
      <c r="IL775" s="3"/>
      <c r="IM775" s="3"/>
      <c r="IN775" s="3"/>
      <c r="IO775" s="3"/>
      <c r="IP775" s="3"/>
      <c r="IQ775" s="3"/>
      <c r="IR775" s="3"/>
      <c r="IS775" s="3"/>
      <c r="IT775" s="3"/>
      <c r="IU775" s="3"/>
      <c r="IV775" s="3"/>
      <c r="IW775" s="3"/>
      <c r="IX775" s="3"/>
      <c r="IY775" s="3"/>
      <c r="IZ775" s="3"/>
      <c r="JA775" s="3"/>
      <c r="JB775" s="3"/>
      <c r="JC775" s="3"/>
      <c r="JD775" s="3"/>
      <c r="JE775" s="3"/>
      <c r="JF775" s="3"/>
      <c r="JG775" s="3"/>
      <c r="JH775" s="3"/>
      <c r="JI775" s="3"/>
      <c r="JJ775" s="3"/>
      <c r="JK775" s="3"/>
      <c r="JL775" s="3"/>
      <c r="JM775" s="3"/>
      <c r="JN775" s="3"/>
      <c r="JO775" s="3"/>
      <c r="JP775" s="3"/>
      <c r="JQ775" s="3"/>
      <c r="JR775" s="3"/>
      <c r="JS775" s="3"/>
      <c r="JT775" s="3"/>
      <c r="JU775" s="3"/>
      <c r="JV775" s="3"/>
      <c r="JW775" s="3"/>
      <c r="JX775" s="3"/>
      <c r="JY775" s="3"/>
      <c r="JZ775" s="3"/>
      <c r="KA775" s="3"/>
      <c r="KB775" s="3"/>
      <c r="KC775" s="3"/>
      <c r="KD775" s="3"/>
      <c r="KE775" s="3"/>
      <c r="KF775" s="3"/>
      <c r="KG775" s="3"/>
      <c r="KH775" s="3"/>
      <c r="KI775" s="3"/>
      <c r="KJ775" s="3"/>
      <c r="KK775" s="3"/>
      <c r="KL775" s="3"/>
      <c r="KM775" s="3"/>
      <c r="KN775" s="3"/>
      <c r="KO775" s="3"/>
      <c r="KP775" s="3"/>
      <c r="KQ775" s="3"/>
      <c r="KR775" s="3"/>
      <c r="KS775" s="3"/>
      <c r="KT775" s="3"/>
      <c r="KU775" s="3"/>
      <c r="KV775" s="3"/>
      <c r="KW775" s="3"/>
      <c r="KX775" s="3"/>
      <c r="KY775" s="3"/>
      <c r="KZ775" s="3"/>
      <c r="LA775" s="3"/>
      <c r="LB775" s="3"/>
      <c r="LC775" s="3"/>
      <c r="LD775" s="3"/>
      <c r="LE775" s="3"/>
      <c r="LF775" s="3"/>
      <c r="LG775" s="3"/>
      <c r="LH775" s="3"/>
      <c r="LI775" s="3"/>
      <c r="LJ775" s="3"/>
      <c r="LK775" s="3"/>
      <c r="LL775" s="3"/>
      <c r="LM775" s="3"/>
      <c r="LN775" s="3"/>
      <c r="LO775" s="3"/>
      <c r="LP775" s="3"/>
      <c r="LQ775" s="3"/>
      <c r="LR775" s="3"/>
      <c r="LS775" s="3"/>
      <c r="LT775" s="3"/>
      <c r="LU775" s="3"/>
      <c r="LV775" s="3"/>
      <c r="LW775" s="3"/>
      <c r="LX775" s="3"/>
      <c r="LY775" s="3"/>
      <c r="LZ775" s="3"/>
      <c r="MA775" s="3"/>
      <c r="MB775" s="3"/>
      <c r="MC775" s="3"/>
      <c r="MD775" s="3"/>
      <c r="ME775" s="3"/>
      <c r="MF775" s="3"/>
      <c r="MG775" s="3"/>
      <c r="MH775" s="3"/>
      <c r="MI775" s="3"/>
    </row>
    <row r="776" spans="1:347"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c r="HX776" s="3"/>
      <c r="HY776" s="3"/>
      <c r="HZ776" s="3"/>
      <c r="IA776" s="3"/>
      <c r="IB776" s="3"/>
      <c r="IC776" s="3"/>
      <c r="ID776" s="3"/>
      <c r="IE776" s="3"/>
      <c r="IF776" s="3"/>
      <c r="IG776" s="3"/>
      <c r="IH776" s="3"/>
      <c r="II776" s="3"/>
      <c r="IJ776" s="3"/>
      <c r="IK776" s="3"/>
      <c r="IL776" s="3"/>
      <c r="IM776" s="3"/>
      <c r="IN776" s="3"/>
      <c r="IO776" s="3"/>
      <c r="IP776" s="3"/>
      <c r="IQ776" s="3"/>
      <c r="IR776" s="3"/>
      <c r="IS776" s="3"/>
      <c r="IT776" s="3"/>
      <c r="IU776" s="3"/>
      <c r="IV776" s="3"/>
      <c r="IW776" s="3"/>
      <c r="IX776" s="3"/>
      <c r="IY776" s="3"/>
      <c r="IZ776" s="3"/>
      <c r="JA776" s="3"/>
      <c r="JB776" s="3"/>
      <c r="JC776" s="3"/>
      <c r="JD776" s="3"/>
      <c r="JE776" s="3"/>
      <c r="JF776" s="3"/>
      <c r="JG776" s="3"/>
      <c r="JH776" s="3"/>
      <c r="JI776" s="3"/>
      <c r="JJ776" s="3"/>
      <c r="JK776" s="3"/>
      <c r="JL776" s="3"/>
      <c r="JM776" s="3"/>
      <c r="JN776" s="3"/>
      <c r="JO776" s="3"/>
      <c r="JP776" s="3"/>
      <c r="JQ776" s="3"/>
      <c r="JR776" s="3"/>
      <c r="JS776" s="3"/>
      <c r="JT776" s="3"/>
      <c r="JU776" s="3"/>
      <c r="JV776" s="3"/>
      <c r="JW776" s="3"/>
      <c r="JX776" s="3"/>
      <c r="JY776" s="3"/>
      <c r="JZ776" s="3"/>
      <c r="KA776" s="3"/>
      <c r="KB776" s="3"/>
      <c r="KC776" s="3"/>
      <c r="KD776" s="3"/>
      <c r="KE776" s="3"/>
      <c r="KF776" s="3"/>
      <c r="KG776" s="3"/>
      <c r="KH776" s="3"/>
      <c r="KI776" s="3"/>
      <c r="KJ776" s="3"/>
      <c r="KK776" s="3"/>
      <c r="KL776" s="3"/>
      <c r="KM776" s="3"/>
      <c r="KN776" s="3"/>
      <c r="KO776" s="3"/>
      <c r="KP776" s="3"/>
      <c r="KQ776" s="3"/>
      <c r="KR776" s="3"/>
      <c r="KS776" s="3"/>
      <c r="KT776" s="3"/>
      <c r="KU776" s="3"/>
      <c r="KV776" s="3"/>
      <c r="KW776" s="3"/>
      <c r="KX776" s="3"/>
      <c r="KY776" s="3"/>
      <c r="KZ776" s="3"/>
      <c r="LA776" s="3"/>
      <c r="LB776" s="3"/>
      <c r="LC776" s="3"/>
      <c r="LD776" s="3"/>
      <c r="LE776" s="3"/>
      <c r="LF776" s="3"/>
      <c r="LG776" s="3"/>
      <c r="LH776" s="3"/>
      <c r="LI776" s="3"/>
      <c r="LJ776" s="3"/>
      <c r="LK776" s="3"/>
      <c r="LL776" s="3"/>
      <c r="LM776" s="3"/>
      <c r="LN776" s="3"/>
      <c r="LO776" s="3"/>
      <c r="LP776" s="3"/>
      <c r="LQ776" s="3"/>
      <c r="LR776" s="3"/>
      <c r="LS776" s="3"/>
      <c r="LT776" s="3"/>
      <c r="LU776" s="3"/>
      <c r="LV776" s="3"/>
      <c r="LW776" s="3"/>
      <c r="LX776" s="3"/>
      <c r="LY776" s="3"/>
      <c r="LZ776" s="3"/>
      <c r="MA776" s="3"/>
      <c r="MB776" s="3"/>
      <c r="MC776" s="3"/>
      <c r="MD776" s="3"/>
      <c r="ME776" s="3"/>
      <c r="MF776" s="3"/>
      <c r="MG776" s="3"/>
      <c r="MH776" s="3"/>
      <c r="MI776" s="3"/>
    </row>
    <row r="777" spans="1:347"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c r="HX777" s="3"/>
      <c r="HY777" s="3"/>
      <c r="HZ777" s="3"/>
      <c r="IA777" s="3"/>
      <c r="IB777" s="3"/>
      <c r="IC777" s="3"/>
      <c r="ID777" s="3"/>
      <c r="IE777" s="3"/>
      <c r="IF777" s="3"/>
      <c r="IG777" s="3"/>
      <c r="IH777" s="3"/>
      <c r="II777" s="3"/>
      <c r="IJ777" s="3"/>
      <c r="IK777" s="3"/>
      <c r="IL777" s="3"/>
      <c r="IM777" s="3"/>
      <c r="IN777" s="3"/>
      <c r="IO777" s="3"/>
      <c r="IP777" s="3"/>
      <c r="IQ777" s="3"/>
      <c r="IR777" s="3"/>
      <c r="IS777" s="3"/>
      <c r="IT777" s="3"/>
      <c r="IU777" s="3"/>
      <c r="IV777" s="3"/>
      <c r="IW777" s="3"/>
      <c r="IX777" s="3"/>
      <c r="IY777" s="3"/>
      <c r="IZ777" s="3"/>
      <c r="JA777" s="3"/>
      <c r="JB777" s="3"/>
      <c r="JC777" s="3"/>
      <c r="JD777" s="3"/>
      <c r="JE777" s="3"/>
      <c r="JF777" s="3"/>
      <c r="JG777" s="3"/>
      <c r="JH777" s="3"/>
      <c r="JI777" s="3"/>
      <c r="JJ777" s="3"/>
      <c r="JK777" s="3"/>
      <c r="JL777" s="3"/>
      <c r="JM777" s="3"/>
      <c r="JN777" s="3"/>
      <c r="JO777" s="3"/>
      <c r="JP777" s="3"/>
      <c r="JQ777" s="3"/>
      <c r="JR777" s="3"/>
      <c r="JS777" s="3"/>
      <c r="JT777" s="3"/>
      <c r="JU777" s="3"/>
      <c r="JV777" s="3"/>
      <c r="JW777" s="3"/>
      <c r="JX777" s="3"/>
      <c r="JY777" s="3"/>
      <c r="JZ777" s="3"/>
      <c r="KA777" s="3"/>
      <c r="KB777" s="3"/>
      <c r="KC777" s="3"/>
      <c r="KD777" s="3"/>
      <c r="KE777" s="3"/>
      <c r="KF777" s="3"/>
      <c r="KG777" s="3"/>
      <c r="KH777" s="3"/>
      <c r="KI777" s="3"/>
      <c r="KJ777" s="3"/>
      <c r="KK777" s="3"/>
      <c r="KL777" s="3"/>
      <c r="KM777" s="3"/>
      <c r="KN777" s="3"/>
      <c r="KO777" s="3"/>
      <c r="KP777" s="3"/>
      <c r="KQ777" s="3"/>
      <c r="KR777" s="3"/>
      <c r="KS777" s="3"/>
      <c r="KT777" s="3"/>
      <c r="KU777" s="3"/>
      <c r="KV777" s="3"/>
      <c r="KW777" s="3"/>
      <c r="KX777" s="3"/>
      <c r="KY777" s="3"/>
      <c r="KZ777" s="3"/>
      <c r="LA777" s="3"/>
      <c r="LB777" s="3"/>
      <c r="LC777" s="3"/>
      <c r="LD777" s="3"/>
      <c r="LE777" s="3"/>
      <c r="LF777" s="3"/>
      <c r="LG777" s="3"/>
      <c r="LH777" s="3"/>
      <c r="LI777" s="3"/>
      <c r="LJ777" s="3"/>
      <c r="LK777" s="3"/>
      <c r="LL777" s="3"/>
      <c r="LM777" s="3"/>
      <c r="LN777" s="3"/>
      <c r="LO777" s="3"/>
      <c r="LP777" s="3"/>
      <c r="LQ777" s="3"/>
      <c r="LR777" s="3"/>
      <c r="LS777" s="3"/>
      <c r="LT777" s="3"/>
      <c r="LU777" s="3"/>
      <c r="LV777" s="3"/>
      <c r="LW777" s="3"/>
      <c r="LX777" s="3"/>
      <c r="LY777" s="3"/>
      <c r="LZ777" s="3"/>
      <c r="MA777" s="3"/>
      <c r="MB777" s="3"/>
      <c r="MC777" s="3"/>
      <c r="MD777" s="3"/>
      <c r="ME777" s="3"/>
      <c r="MF777" s="3"/>
      <c r="MG777" s="3"/>
      <c r="MH777" s="3"/>
      <c r="MI777" s="3"/>
    </row>
    <row r="778" spans="1:347"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c r="HX778" s="3"/>
      <c r="HY778" s="3"/>
      <c r="HZ778" s="3"/>
      <c r="IA778" s="3"/>
      <c r="IB778" s="3"/>
      <c r="IC778" s="3"/>
      <c r="ID778" s="3"/>
      <c r="IE778" s="3"/>
      <c r="IF778" s="3"/>
      <c r="IG778" s="3"/>
      <c r="IH778" s="3"/>
      <c r="II778" s="3"/>
      <c r="IJ778" s="3"/>
      <c r="IK778" s="3"/>
      <c r="IL778" s="3"/>
      <c r="IM778" s="3"/>
      <c r="IN778" s="3"/>
      <c r="IO778" s="3"/>
      <c r="IP778" s="3"/>
      <c r="IQ778" s="3"/>
      <c r="IR778" s="3"/>
      <c r="IS778" s="3"/>
      <c r="IT778" s="3"/>
      <c r="IU778" s="3"/>
      <c r="IV778" s="3"/>
      <c r="IW778" s="3"/>
      <c r="IX778" s="3"/>
      <c r="IY778" s="3"/>
      <c r="IZ778" s="3"/>
      <c r="JA778" s="3"/>
      <c r="JB778" s="3"/>
      <c r="JC778" s="3"/>
      <c r="JD778" s="3"/>
      <c r="JE778" s="3"/>
      <c r="JF778" s="3"/>
      <c r="JG778" s="3"/>
      <c r="JH778" s="3"/>
      <c r="JI778" s="3"/>
      <c r="JJ778" s="3"/>
      <c r="JK778" s="3"/>
      <c r="JL778" s="3"/>
      <c r="JM778" s="3"/>
      <c r="JN778" s="3"/>
      <c r="JO778" s="3"/>
      <c r="JP778" s="3"/>
      <c r="JQ778" s="3"/>
      <c r="JR778" s="3"/>
      <c r="JS778" s="3"/>
      <c r="JT778" s="3"/>
      <c r="JU778" s="3"/>
      <c r="JV778" s="3"/>
      <c r="JW778" s="3"/>
      <c r="JX778" s="3"/>
      <c r="JY778" s="3"/>
      <c r="JZ778" s="3"/>
      <c r="KA778" s="3"/>
      <c r="KB778" s="3"/>
      <c r="KC778" s="3"/>
      <c r="KD778" s="3"/>
      <c r="KE778" s="3"/>
      <c r="KF778" s="3"/>
      <c r="KG778" s="3"/>
      <c r="KH778" s="3"/>
      <c r="KI778" s="3"/>
      <c r="KJ778" s="3"/>
      <c r="KK778" s="3"/>
      <c r="KL778" s="3"/>
      <c r="KM778" s="3"/>
      <c r="KN778" s="3"/>
      <c r="KO778" s="3"/>
      <c r="KP778" s="3"/>
      <c r="KQ778" s="3"/>
      <c r="KR778" s="3"/>
      <c r="KS778" s="3"/>
      <c r="KT778" s="3"/>
      <c r="KU778" s="3"/>
      <c r="KV778" s="3"/>
      <c r="KW778" s="3"/>
      <c r="KX778" s="3"/>
      <c r="KY778" s="3"/>
      <c r="KZ778" s="3"/>
      <c r="LA778" s="3"/>
      <c r="LB778" s="3"/>
      <c r="LC778" s="3"/>
      <c r="LD778" s="3"/>
      <c r="LE778" s="3"/>
      <c r="LF778" s="3"/>
      <c r="LG778" s="3"/>
      <c r="LH778" s="3"/>
      <c r="LI778" s="3"/>
      <c r="LJ778" s="3"/>
      <c r="LK778" s="3"/>
      <c r="LL778" s="3"/>
      <c r="LM778" s="3"/>
      <c r="LN778" s="3"/>
      <c r="LO778" s="3"/>
      <c r="LP778" s="3"/>
      <c r="LQ778" s="3"/>
      <c r="LR778" s="3"/>
      <c r="LS778" s="3"/>
      <c r="LT778" s="3"/>
      <c r="LU778" s="3"/>
      <c r="LV778" s="3"/>
      <c r="LW778" s="3"/>
      <c r="LX778" s="3"/>
      <c r="LY778" s="3"/>
      <c r="LZ778" s="3"/>
      <c r="MA778" s="3"/>
      <c r="MB778" s="3"/>
      <c r="MC778" s="3"/>
      <c r="MD778" s="3"/>
      <c r="ME778" s="3"/>
      <c r="MF778" s="3"/>
      <c r="MG778" s="3"/>
      <c r="MH778" s="3"/>
      <c r="MI778" s="3"/>
    </row>
    <row r="779" spans="1:347"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c r="HX779" s="3"/>
      <c r="HY779" s="3"/>
      <c r="HZ779" s="3"/>
      <c r="IA779" s="3"/>
      <c r="IB779" s="3"/>
      <c r="IC779" s="3"/>
      <c r="ID779" s="3"/>
      <c r="IE779" s="3"/>
      <c r="IF779" s="3"/>
      <c r="IG779" s="3"/>
      <c r="IH779" s="3"/>
      <c r="II779" s="3"/>
      <c r="IJ779" s="3"/>
      <c r="IK779" s="3"/>
      <c r="IL779" s="3"/>
      <c r="IM779" s="3"/>
      <c r="IN779" s="3"/>
      <c r="IO779" s="3"/>
      <c r="IP779" s="3"/>
      <c r="IQ779" s="3"/>
      <c r="IR779" s="3"/>
      <c r="IS779" s="3"/>
      <c r="IT779" s="3"/>
      <c r="IU779" s="3"/>
      <c r="IV779" s="3"/>
      <c r="IW779" s="3"/>
      <c r="IX779" s="3"/>
      <c r="IY779" s="3"/>
      <c r="IZ779" s="3"/>
      <c r="JA779" s="3"/>
      <c r="JB779" s="3"/>
      <c r="JC779" s="3"/>
      <c r="JD779" s="3"/>
      <c r="JE779" s="3"/>
      <c r="JF779" s="3"/>
      <c r="JG779" s="3"/>
      <c r="JH779" s="3"/>
      <c r="JI779" s="3"/>
      <c r="JJ779" s="3"/>
      <c r="JK779" s="3"/>
      <c r="JL779" s="3"/>
      <c r="JM779" s="3"/>
      <c r="JN779" s="3"/>
      <c r="JO779" s="3"/>
      <c r="JP779" s="3"/>
      <c r="JQ779" s="3"/>
      <c r="JR779" s="3"/>
      <c r="JS779" s="3"/>
      <c r="JT779" s="3"/>
      <c r="JU779" s="3"/>
      <c r="JV779" s="3"/>
      <c r="JW779" s="3"/>
      <c r="JX779" s="3"/>
      <c r="JY779" s="3"/>
      <c r="JZ779" s="3"/>
      <c r="KA779" s="3"/>
      <c r="KB779" s="3"/>
      <c r="KC779" s="3"/>
      <c r="KD779" s="3"/>
      <c r="KE779" s="3"/>
      <c r="KF779" s="3"/>
      <c r="KG779" s="3"/>
      <c r="KH779" s="3"/>
      <c r="KI779" s="3"/>
      <c r="KJ779" s="3"/>
      <c r="KK779" s="3"/>
      <c r="KL779" s="3"/>
      <c r="KM779" s="3"/>
      <c r="KN779" s="3"/>
      <c r="KO779" s="3"/>
      <c r="KP779" s="3"/>
      <c r="KQ779" s="3"/>
      <c r="KR779" s="3"/>
      <c r="KS779" s="3"/>
      <c r="KT779" s="3"/>
      <c r="KU779" s="3"/>
      <c r="KV779" s="3"/>
      <c r="KW779" s="3"/>
      <c r="KX779" s="3"/>
      <c r="KY779" s="3"/>
      <c r="KZ779" s="3"/>
      <c r="LA779" s="3"/>
      <c r="LB779" s="3"/>
      <c r="LC779" s="3"/>
      <c r="LD779" s="3"/>
      <c r="LE779" s="3"/>
      <c r="LF779" s="3"/>
      <c r="LG779" s="3"/>
      <c r="LH779" s="3"/>
      <c r="LI779" s="3"/>
      <c r="LJ779" s="3"/>
      <c r="LK779" s="3"/>
      <c r="LL779" s="3"/>
      <c r="LM779" s="3"/>
      <c r="LN779" s="3"/>
      <c r="LO779" s="3"/>
      <c r="LP779" s="3"/>
      <c r="LQ779" s="3"/>
      <c r="LR779" s="3"/>
      <c r="LS779" s="3"/>
      <c r="LT779" s="3"/>
      <c r="LU779" s="3"/>
      <c r="LV779" s="3"/>
      <c r="LW779" s="3"/>
      <c r="LX779" s="3"/>
      <c r="LY779" s="3"/>
      <c r="LZ779" s="3"/>
      <c r="MA779" s="3"/>
      <c r="MB779" s="3"/>
      <c r="MC779" s="3"/>
      <c r="MD779" s="3"/>
      <c r="ME779" s="3"/>
      <c r="MF779" s="3"/>
      <c r="MG779" s="3"/>
      <c r="MH779" s="3"/>
      <c r="MI779" s="3"/>
    </row>
    <row r="780" spans="1:347"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c r="HX780" s="3"/>
      <c r="HY780" s="3"/>
      <c r="HZ780" s="3"/>
      <c r="IA780" s="3"/>
      <c r="IB780" s="3"/>
      <c r="IC780" s="3"/>
      <c r="ID780" s="3"/>
      <c r="IE780" s="3"/>
      <c r="IF780" s="3"/>
      <c r="IG780" s="3"/>
      <c r="IH780" s="3"/>
      <c r="II780" s="3"/>
      <c r="IJ780" s="3"/>
      <c r="IK780" s="3"/>
      <c r="IL780" s="3"/>
      <c r="IM780" s="3"/>
      <c r="IN780" s="3"/>
      <c r="IO780" s="3"/>
      <c r="IP780" s="3"/>
      <c r="IQ780" s="3"/>
      <c r="IR780" s="3"/>
      <c r="IS780" s="3"/>
      <c r="IT780" s="3"/>
      <c r="IU780" s="3"/>
      <c r="IV780" s="3"/>
      <c r="IW780" s="3"/>
      <c r="IX780" s="3"/>
      <c r="IY780" s="3"/>
      <c r="IZ780" s="3"/>
      <c r="JA780" s="3"/>
      <c r="JB780" s="3"/>
      <c r="JC780" s="3"/>
      <c r="JD780" s="3"/>
      <c r="JE780" s="3"/>
      <c r="JF780" s="3"/>
      <c r="JG780" s="3"/>
      <c r="JH780" s="3"/>
      <c r="JI780" s="3"/>
      <c r="JJ780" s="3"/>
      <c r="JK780" s="3"/>
      <c r="JL780" s="3"/>
      <c r="JM780" s="3"/>
      <c r="JN780" s="3"/>
      <c r="JO780" s="3"/>
      <c r="JP780" s="3"/>
      <c r="JQ780" s="3"/>
      <c r="JR780" s="3"/>
      <c r="JS780" s="3"/>
      <c r="JT780" s="3"/>
      <c r="JU780" s="3"/>
      <c r="JV780" s="3"/>
      <c r="JW780" s="3"/>
      <c r="JX780" s="3"/>
      <c r="JY780" s="3"/>
      <c r="JZ780" s="3"/>
      <c r="KA780" s="3"/>
      <c r="KB780" s="3"/>
      <c r="KC780" s="3"/>
      <c r="KD780" s="3"/>
      <c r="KE780" s="3"/>
      <c r="KF780" s="3"/>
      <c r="KG780" s="3"/>
      <c r="KH780" s="3"/>
      <c r="KI780" s="3"/>
      <c r="KJ780" s="3"/>
      <c r="KK780" s="3"/>
      <c r="KL780" s="3"/>
      <c r="KM780" s="3"/>
      <c r="KN780" s="3"/>
      <c r="KO780" s="3"/>
      <c r="KP780" s="3"/>
      <c r="KQ780" s="3"/>
      <c r="KR780" s="3"/>
      <c r="KS780" s="3"/>
      <c r="KT780" s="3"/>
      <c r="KU780" s="3"/>
      <c r="KV780" s="3"/>
      <c r="KW780" s="3"/>
      <c r="KX780" s="3"/>
      <c r="KY780" s="3"/>
      <c r="KZ780" s="3"/>
      <c r="LA780" s="3"/>
      <c r="LB780" s="3"/>
      <c r="LC780" s="3"/>
      <c r="LD780" s="3"/>
      <c r="LE780" s="3"/>
      <c r="LF780" s="3"/>
      <c r="LG780" s="3"/>
      <c r="LH780" s="3"/>
      <c r="LI780" s="3"/>
      <c r="LJ780" s="3"/>
      <c r="LK780" s="3"/>
      <c r="LL780" s="3"/>
      <c r="LM780" s="3"/>
      <c r="LN780" s="3"/>
      <c r="LO780" s="3"/>
      <c r="LP780" s="3"/>
      <c r="LQ780" s="3"/>
      <c r="LR780" s="3"/>
      <c r="LS780" s="3"/>
      <c r="LT780" s="3"/>
      <c r="LU780" s="3"/>
      <c r="LV780" s="3"/>
      <c r="LW780" s="3"/>
      <c r="LX780" s="3"/>
      <c r="LY780" s="3"/>
      <c r="LZ780" s="3"/>
      <c r="MA780" s="3"/>
      <c r="MB780" s="3"/>
      <c r="MC780" s="3"/>
      <c r="MD780" s="3"/>
      <c r="ME780" s="3"/>
      <c r="MF780" s="3"/>
      <c r="MG780" s="3"/>
      <c r="MH780" s="3"/>
      <c r="MI780" s="3"/>
    </row>
    <row r="781" spans="1:347"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c r="HX781" s="3"/>
      <c r="HY781" s="3"/>
      <c r="HZ781" s="3"/>
      <c r="IA781" s="3"/>
      <c r="IB781" s="3"/>
      <c r="IC781" s="3"/>
      <c r="ID781" s="3"/>
      <c r="IE781" s="3"/>
      <c r="IF781" s="3"/>
      <c r="IG781" s="3"/>
      <c r="IH781" s="3"/>
      <c r="II781" s="3"/>
      <c r="IJ781" s="3"/>
      <c r="IK781" s="3"/>
      <c r="IL781" s="3"/>
      <c r="IM781" s="3"/>
      <c r="IN781" s="3"/>
      <c r="IO781" s="3"/>
      <c r="IP781" s="3"/>
      <c r="IQ781" s="3"/>
      <c r="IR781" s="3"/>
      <c r="IS781" s="3"/>
      <c r="IT781" s="3"/>
      <c r="IU781" s="3"/>
      <c r="IV781" s="3"/>
      <c r="IW781" s="3"/>
      <c r="IX781" s="3"/>
      <c r="IY781" s="3"/>
      <c r="IZ781" s="3"/>
      <c r="JA781" s="3"/>
      <c r="JB781" s="3"/>
      <c r="JC781" s="3"/>
      <c r="JD781" s="3"/>
      <c r="JE781" s="3"/>
      <c r="JF781" s="3"/>
      <c r="JG781" s="3"/>
      <c r="JH781" s="3"/>
      <c r="JI781" s="3"/>
      <c r="JJ781" s="3"/>
      <c r="JK781" s="3"/>
      <c r="JL781" s="3"/>
      <c r="JM781" s="3"/>
      <c r="JN781" s="3"/>
      <c r="JO781" s="3"/>
      <c r="JP781" s="3"/>
      <c r="JQ781" s="3"/>
      <c r="JR781" s="3"/>
      <c r="JS781" s="3"/>
      <c r="JT781" s="3"/>
      <c r="JU781" s="3"/>
      <c r="JV781" s="3"/>
      <c r="JW781" s="3"/>
      <c r="JX781" s="3"/>
      <c r="JY781" s="3"/>
      <c r="JZ781" s="3"/>
      <c r="KA781" s="3"/>
      <c r="KB781" s="3"/>
      <c r="KC781" s="3"/>
      <c r="KD781" s="3"/>
      <c r="KE781" s="3"/>
      <c r="KF781" s="3"/>
      <c r="KG781" s="3"/>
      <c r="KH781" s="3"/>
      <c r="KI781" s="3"/>
      <c r="KJ781" s="3"/>
      <c r="KK781" s="3"/>
      <c r="KL781" s="3"/>
      <c r="KM781" s="3"/>
      <c r="KN781" s="3"/>
      <c r="KO781" s="3"/>
      <c r="KP781" s="3"/>
      <c r="KQ781" s="3"/>
      <c r="KR781" s="3"/>
      <c r="KS781" s="3"/>
      <c r="KT781" s="3"/>
      <c r="KU781" s="3"/>
      <c r="KV781" s="3"/>
      <c r="KW781" s="3"/>
      <c r="KX781" s="3"/>
      <c r="KY781" s="3"/>
      <c r="KZ781" s="3"/>
      <c r="LA781" s="3"/>
      <c r="LB781" s="3"/>
      <c r="LC781" s="3"/>
      <c r="LD781" s="3"/>
      <c r="LE781" s="3"/>
      <c r="LF781" s="3"/>
      <c r="LG781" s="3"/>
      <c r="LH781" s="3"/>
      <c r="LI781" s="3"/>
      <c r="LJ781" s="3"/>
      <c r="LK781" s="3"/>
      <c r="LL781" s="3"/>
      <c r="LM781" s="3"/>
      <c r="LN781" s="3"/>
      <c r="LO781" s="3"/>
      <c r="LP781" s="3"/>
      <c r="LQ781" s="3"/>
      <c r="LR781" s="3"/>
      <c r="LS781" s="3"/>
      <c r="LT781" s="3"/>
      <c r="LU781" s="3"/>
      <c r="LV781" s="3"/>
      <c r="LW781" s="3"/>
      <c r="LX781" s="3"/>
      <c r="LY781" s="3"/>
      <c r="LZ781" s="3"/>
      <c r="MA781" s="3"/>
      <c r="MB781" s="3"/>
      <c r="MC781" s="3"/>
      <c r="MD781" s="3"/>
      <c r="ME781" s="3"/>
      <c r="MF781" s="3"/>
      <c r="MG781" s="3"/>
      <c r="MH781" s="3"/>
      <c r="MI781" s="3"/>
    </row>
    <row r="782" spans="1:347"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c r="HX782" s="3"/>
      <c r="HY782" s="3"/>
      <c r="HZ782" s="3"/>
      <c r="IA782" s="3"/>
      <c r="IB782" s="3"/>
      <c r="IC782" s="3"/>
      <c r="ID782" s="3"/>
      <c r="IE782" s="3"/>
      <c r="IF782" s="3"/>
      <c r="IG782" s="3"/>
      <c r="IH782" s="3"/>
      <c r="II782" s="3"/>
      <c r="IJ782" s="3"/>
      <c r="IK782" s="3"/>
      <c r="IL782" s="3"/>
      <c r="IM782" s="3"/>
      <c r="IN782" s="3"/>
      <c r="IO782" s="3"/>
      <c r="IP782" s="3"/>
      <c r="IQ782" s="3"/>
      <c r="IR782" s="3"/>
      <c r="IS782" s="3"/>
      <c r="IT782" s="3"/>
      <c r="IU782" s="3"/>
      <c r="IV782" s="3"/>
      <c r="IW782" s="3"/>
      <c r="IX782" s="3"/>
      <c r="IY782" s="3"/>
      <c r="IZ782" s="3"/>
      <c r="JA782" s="3"/>
      <c r="JB782" s="3"/>
      <c r="JC782" s="3"/>
      <c r="JD782" s="3"/>
      <c r="JE782" s="3"/>
      <c r="JF782" s="3"/>
      <c r="JG782" s="3"/>
      <c r="JH782" s="3"/>
      <c r="JI782" s="3"/>
      <c r="JJ782" s="3"/>
      <c r="JK782" s="3"/>
      <c r="JL782" s="3"/>
      <c r="JM782" s="3"/>
      <c r="JN782" s="3"/>
      <c r="JO782" s="3"/>
      <c r="JP782" s="3"/>
      <c r="JQ782" s="3"/>
      <c r="JR782" s="3"/>
      <c r="JS782" s="3"/>
      <c r="JT782" s="3"/>
      <c r="JU782" s="3"/>
      <c r="JV782" s="3"/>
      <c r="JW782" s="3"/>
      <c r="JX782" s="3"/>
      <c r="JY782" s="3"/>
      <c r="JZ782" s="3"/>
      <c r="KA782" s="3"/>
      <c r="KB782" s="3"/>
      <c r="KC782" s="3"/>
      <c r="KD782" s="3"/>
      <c r="KE782" s="3"/>
      <c r="KF782" s="3"/>
      <c r="KG782" s="3"/>
      <c r="KH782" s="3"/>
      <c r="KI782" s="3"/>
      <c r="KJ782" s="3"/>
      <c r="KK782" s="3"/>
      <c r="KL782" s="3"/>
      <c r="KM782" s="3"/>
      <c r="KN782" s="3"/>
      <c r="KO782" s="3"/>
      <c r="KP782" s="3"/>
      <c r="KQ782" s="3"/>
      <c r="KR782" s="3"/>
      <c r="KS782" s="3"/>
      <c r="KT782" s="3"/>
      <c r="KU782" s="3"/>
      <c r="KV782" s="3"/>
      <c r="KW782" s="3"/>
      <c r="KX782" s="3"/>
      <c r="KY782" s="3"/>
      <c r="KZ782" s="3"/>
      <c r="LA782" s="3"/>
      <c r="LB782" s="3"/>
      <c r="LC782" s="3"/>
      <c r="LD782" s="3"/>
      <c r="LE782" s="3"/>
      <c r="LF782" s="3"/>
      <c r="LG782" s="3"/>
      <c r="LH782" s="3"/>
      <c r="LI782" s="3"/>
      <c r="LJ782" s="3"/>
      <c r="LK782" s="3"/>
      <c r="LL782" s="3"/>
      <c r="LM782" s="3"/>
      <c r="LN782" s="3"/>
      <c r="LO782" s="3"/>
      <c r="LP782" s="3"/>
      <c r="LQ782" s="3"/>
      <c r="LR782" s="3"/>
      <c r="LS782" s="3"/>
      <c r="LT782" s="3"/>
      <c r="LU782" s="3"/>
      <c r="LV782" s="3"/>
      <c r="LW782" s="3"/>
      <c r="LX782" s="3"/>
      <c r="LY782" s="3"/>
      <c r="LZ782" s="3"/>
      <c r="MA782" s="3"/>
      <c r="MB782" s="3"/>
      <c r="MC782" s="3"/>
      <c r="MD782" s="3"/>
      <c r="ME782" s="3"/>
      <c r="MF782" s="3"/>
      <c r="MG782" s="3"/>
      <c r="MH782" s="3"/>
      <c r="MI782" s="3"/>
    </row>
    <row r="783" spans="1:347"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c r="HX783" s="3"/>
      <c r="HY783" s="3"/>
      <c r="HZ783" s="3"/>
      <c r="IA783" s="3"/>
      <c r="IB783" s="3"/>
      <c r="IC783" s="3"/>
      <c r="ID783" s="3"/>
      <c r="IE783" s="3"/>
      <c r="IF783" s="3"/>
      <c r="IG783" s="3"/>
      <c r="IH783" s="3"/>
      <c r="II783" s="3"/>
      <c r="IJ783" s="3"/>
      <c r="IK783" s="3"/>
      <c r="IL783" s="3"/>
      <c r="IM783" s="3"/>
      <c r="IN783" s="3"/>
      <c r="IO783" s="3"/>
      <c r="IP783" s="3"/>
      <c r="IQ783" s="3"/>
      <c r="IR783" s="3"/>
      <c r="IS783" s="3"/>
      <c r="IT783" s="3"/>
      <c r="IU783" s="3"/>
      <c r="IV783" s="3"/>
      <c r="IW783" s="3"/>
      <c r="IX783" s="3"/>
      <c r="IY783" s="3"/>
      <c r="IZ783" s="3"/>
      <c r="JA783" s="3"/>
      <c r="JB783" s="3"/>
      <c r="JC783" s="3"/>
      <c r="JD783" s="3"/>
      <c r="JE783" s="3"/>
      <c r="JF783" s="3"/>
      <c r="JG783" s="3"/>
      <c r="JH783" s="3"/>
      <c r="JI783" s="3"/>
      <c r="JJ783" s="3"/>
      <c r="JK783" s="3"/>
      <c r="JL783" s="3"/>
      <c r="JM783" s="3"/>
      <c r="JN783" s="3"/>
      <c r="JO783" s="3"/>
      <c r="JP783" s="3"/>
      <c r="JQ783" s="3"/>
      <c r="JR783" s="3"/>
      <c r="JS783" s="3"/>
      <c r="JT783" s="3"/>
      <c r="JU783" s="3"/>
      <c r="JV783" s="3"/>
      <c r="JW783" s="3"/>
      <c r="JX783" s="3"/>
      <c r="JY783" s="3"/>
      <c r="JZ783" s="3"/>
      <c r="KA783" s="3"/>
      <c r="KB783" s="3"/>
      <c r="KC783" s="3"/>
      <c r="KD783" s="3"/>
      <c r="KE783" s="3"/>
      <c r="KF783" s="3"/>
      <c r="KG783" s="3"/>
      <c r="KH783" s="3"/>
      <c r="KI783" s="3"/>
      <c r="KJ783" s="3"/>
      <c r="KK783" s="3"/>
      <c r="KL783" s="3"/>
      <c r="KM783" s="3"/>
      <c r="KN783" s="3"/>
      <c r="KO783" s="3"/>
      <c r="KP783" s="3"/>
      <c r="KQ783" s="3"/>
      <c r="KR783" s="3"/>
      <c r="KS783" s="3"/>
      <c r="KT783" s="3"/>
      <c r="KU783" s="3"/>
      <c r="KV783" s="3"/>
      <c r="KW783" s="3"/>
      <c r="KX783" s="3"/>
      <c r="KY783" s="3"/>
      <c r="KZ783" s="3"/>
      <c r="LA783" s="3"/>
      <c r="LB783" s="3"/>
      <c r="LC783" s="3"/>
      <c r="LD783" s="3"/>
      <c r="LE783" s="3"/>
      <c r="LF783" s="3"/>
      <c r="LG783" s="3"/>
      <c r="LH783" s="3"/>
      <c r="LI783" s="3"/>
      <c r="LJ783" s="3"/>
      <c r="LK783" s="3"/>
      <c r="LL783" s="3"/>
      <c r="LM783" s="3"/>
      <c r="LN783" s="3"/>
      <c r="LO783" s="3"/>
      <c r="LP783" s="3"/>
      <c r="LQ783" s="3"/>
      <c r="LR783" s="3"/>
      <c r="LS783" s="3"/>
      <c r="LT783" s="3"/>
      <c r="LU783" s="3"/>
      <c r="LV783" s="3"/>
      <c r="LW783" s="3"/>
      <c r="LX783" s="3"/>
      <c r="LY783" s="3"/>
      <c r="LZ783" s="3"/>
      <c r="MA783" s="3"/>
      <c r="MB783" s="3"/>
      <c r="MC783" s="3"/>
      <c r="MD783" s="3"/>
      <c r="ME783" s="3"/>
      <c r="MF783" s="3"/>
      <c r="MG783" s="3"/>
      <c r="MH783" s="3"/>
      <c r="MI783" s="3"/>
    </row>
    <row r="784" spans="1:347"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c r="HX784" s="3"/>
      <c r="HY784" s="3"/>
      <c r="HZ784" s="3"/>
      <c r="IA784" s="3"/>
      <c r="IB784" s="3"/>
      <c r="IC784" s="3"/>
      <c r="ID784" s="3"/>
      <c r="IE784" s="3"/>
      <c r="IF784" s="3"/>
      <c r="IG784" s="3"/>
      <c r="IH784" s="3"/>
      <c r="II784" s="3"/>
      <c r="IJ784" s="3"/>
      <c r="IK784" s="3"/>
      <c r="IL784" s="3"/>
      <c r="IM784" s="3"/>
      <c r="IN784" s="3"/>
      <c r="IO784" s="3"/>
      <c r="IP784" s="3"/>
      <c r="IQ784" s="3"/>
      <c r="IR784" s="3"/>
      <c r="IS784" s="3"/>
      <c r="IT784" s="3"/>
      <c r="IU784" s="3"/>
      <c r="IV784" s="3"/>
      <c r="IW784" s="3"/>
      <c r="IX784" s="3"/>
      <c r="IY784" s="3"/>
      <c r="IZ784" s="3"/>
      <c r="JA784" s="3"/>
      <c r="JB784" s="3"/>
      <c r="JC784" s="3"/>
      <c r="JD784" s="3"/>
      <c r="JE784" s="3"/>
      <c r="JF784" s="3"/>
      <c r="JG784" s="3"/>
      <c r="JH784" s="3"/>
      <c r="JI784" s="3"/>
      <c r="JJ784" s="3"/>
      <c r="JK784" s="3"/>
      <c r="JL784" s="3"/>
      <c r="JM784" s="3"/>
      <c r="JN784" s="3"/>
      <c r="JO784" s="3"/>
      <c r="JP784" s="3"/>
      <c r="JQ784" s="3"/>
      <c r="JR784" s="3"/>
      <c r="JS784" s="3"/>
      <c r="JT784" s="3"/>
      <c r="JU784" s="3"/>
      <c r="JV784" s="3"/>
      <c r="JW784" s="3"/>
      <c r="JX784" s="3"/>
      <c r="JY784" s="3"/>
      <c r="JZ784" s="3"/>
      <c r="KA784" s="3"/>
      <c r="KB784" s="3"/>
      <c r="KC784" s="3"/>
      <c r="KD784" s="3"/>
      <c r="KE784" s="3"/>
      <c r="KF784" s="3"/>
      <c r="KG784" s="3"/>
      <c r="KH784" s="3"/>
      <c r="KI784" s="3"/>
      <c r="KJ784" s="3"/>
      <c r="KK784" s="3"/>
      <c r="KL784" s="3"/>
      <c r="KM784" s="3"/>
      <c r="KN784" s="3"/>
      <c r="KO784" s="3"/>
      <c r="KP784" s="3"/>
      <c r="KQ784" s="3"/>
      <c r="KR784" s="3"/>
      <c r="KS784" s="3"/>
      <c r="KT784" s="3"/>
      <c r="KU784" s="3"/>
      <c r="KV784" s="3"/>
      <c r="KW784" s="3"/>
      <c r="KX784" s="3"/>
      <c r="KY784" s="3"/>
      <c r="KZ784" s="3"/>
      <c r="LA784" s="3"/>
      <c r="LB784" s="3"/>
      <c r="LC784" s="3"/>
      <c r="LD784" s="3"/>
      <c r="LE784" s="3"/>
      <c r="LF784" s="3"/>
      <c r="LG784" s="3"/>
      <c r="LH784" s="3"/>
      <c r="LI784" s="3"/>
      <c r="LJ784" s="3"/>
      <c r="LK784" s="3"/>
      <c r="LL784" s="3"/>
      <c r="LM784" s="3"/>
      <c r="LN784" s="3"/>
      <c r="LO784" s="3"/>
      <c r="LP784" s="3"/>
      <c r="LQ784" s="3"/>
      <c r="LR784" s="3"/>
      <c r="LS784" s="3"/>
      <c r="LT784" s="3"/>
      <c r="LU784" s="3"/>
      <c r="LV784" s="3"/>
      <c r="LW784" s="3"/>
      <c r="LX784" s="3"/>
      <c r="LY784" s="3"/>
      <c r="LZ784" s="3"/>
      <c r="MA784" s="3"/>
      <c r="MB784" s="3"/>
      <c r="MC784" s="3"/>
      <c r="MD784" s="3"/>
      <c r="ME784" s="3"/>
      <c r="MF784" s="3"/>
      <c r="MG784" s="3"/>
      <c r="MH784" s="3"/>
      <c r="MI784" s="3"/>
    </row>
    <row r="785" spans="1:347"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c r="HX785" s="3"/>
      <c r="HY785" s="3"/>
      <c r="HZ785" s="3"/>
      <c r="IA785" s="3"/>
      <c r="IB785" s="3"/>
      <c r="IC785" s="3"/>
      <c r="ID785" s="3"/>
      <c r="IE785" s="3"/>
      <c r="IF785" s="3"/>
      <c r="IG785" s="3"/>
      <c r="IH785" s="3"/>
      <c r="II785" s="3"/>
      <c r="IJ785" s="3"/>
      <c r="IK785" s="3"/>
      <c r="IL785" s="3"/>
      <c r="IM785" s="3"/>
      <c r="IN785" s="3"/>
      <c r="IO785" s="3"/>
      <c r="IP785" s="3"/>
      <c r="IQ785" s="3"/>
      <c r="IR785" s="3"/>
      <c r="IS785" s="3"/>
      <c r="IT785" s="3"/>
      <c r="IU785" s="3"/>
      <c r="IV785" s="3"/>
      <c r="IW785" s="3"/>
      <c r="IX785" s="3"/>
      <c r="IY785" s="3"/>
      <c r="IZ785" s="3"/>
      <c r="JA785" s="3"/>
      <c r="JB785" s="3"/>
      <c r="JC785" s="3"/>
      <c r="JD785" s="3"/>
      <c r="JE785" s="3"/>
      <c r="JF785" s="3"/>
      <c r="JG785" s="3"/>
      <c r="JH785" s="3"/>
      <c r="JI785" s="3"/>
      <c r="JJ785" s="3"/>
      <c r="JK785" s="3"/>
      <c r="JL785" s="3"/>
      <c r="JM785" s="3"/>
      <c r="JN785" s="3"/>
      <c r="JO785" s="3"/>
      <c r="JP785" s="3"/>
      <c r="JQ785" s="3"/>
      <c r="JR785" s="3"/>
      <c r="JS785" s="3"/>
      <c r="JT785" s="3"/>
      <c r="JU785" s="3"/>
      <c r="JV785" s="3"/>
      <c r="JW785" s="3"/>
      <c r="JX785" s="3"/>
      <c r="JY785" s="3"/>
      <c r="JZ785" s="3"/>
      <c r="KA785" s="3"/>
      <c r="KB785" s="3"/>
      <c r="KC785" s="3"/>
      <c r="KD785" s="3"/>
      <c r="KE785" s="3"/>
      <c r="KF785" s="3"/>
      <c r="KG785" s="3"/>
      <c r="KH785" s="3"/>
      <c r="KI785" s="3"/>
      <c r="KJ785" s="3"/>
      <c r="KK785" s="3"/>
      <c r="KL785" s="3"/>
      <c r="KM785" s="3"/>
      <c r="KN785" s="3"/>
      <c r="KO785" s="3"/>
      <c r="KP785" s="3"/>
      <c r="KQ785" s="3"/>
      <c r="KR785" s="3"/>
      <c r="KS785" s="3"/>
      <c r="KT785" s="3"/>
      <c r="KU785" s="3"/>
      <c r="KV785" s="3"/>
      <c r="KW785" s="3"/>
      <c r="KX785" s="3"/>
      <c r="KY785" s="3"/>
      <c r="KZ785" s="3"/>
      <c r="LA785" s="3"/>
      <c r="LB785" s="3"/>
      <c r="LC785" s="3"/>
      <c r="LD785" s="3"/>
      <c r="LE785" s="3"/>
      <c r="LF785" s="3"/>
      <c r="LG785" s="3"/>
      <c r="LH785" s="3"/>
      <c r="LI785" s="3"/>
      <c r="LJ785" s="3"/>
      <c r="LK785" s="3"/>
      <c r="LL785" s="3"/>
      <c r="LM785" s="3"/>
      <c r="LN785" s="3"/>
      <c r="LO785" s="3"/>
      <c r="LP785" s="3"/>
      <c r="LQ785" s="3"/>
      <c r="LR785" s="3"/>
      <c r="LS785" s="3"/>
      <c r="LT785" s="3"/>
      <c r="LU785" s="3"/>
      <c r="LV785" s="3"/>
      <c r="LW785" s="3"/>
      <c r="LX785" s="3"/>
      <c r="LY785" s="3"/>
      <c r="LZ785" s="3"/>
      <c r="MA785" s="3"/>
      <c r="MB785" s="3"/>
      <c r="MC785" s="3"/>
      <c r="MD785" s="3"/>
      <c r="ME785" s="3"/>
      <c r="MF785" s="3"/>
      <c r="MG785" s="3"/>
      <c r="MH785" s="3"/>
      <c r="MI785" s="3"/>
    </row>
    <row r="786" spans="1:347"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c r="HX786" s="3"/>
      <c r="HY786" s="3"/>
      <c r="HZ786" s="3"/>
      <c r="IA786" s="3"/>
      <c r="IB786" s="3"/>
      <c r="IC786" s="3"/>
      <c r="ID786" s="3"/>
      <c r="IE786" s="3"/>
      <c r="IF786" s="3"/>
      <c r="IG786" s="3"/>
      <c r="IH786" s="3"/>
      <c r="II786" s="3"/>
      <c r="IJ786" s="3"/>
      <c r="IK786" s="3"/>
      <c r="IL786" s="3"/>
      <c r="IM786" s="3"/>
      <c r="IN786" s="3"/>
      <c r="IO786" s="3"/>
      <c r="IP786" s="3"/>
      <c r="IQ786" s="3"/>
      <c r="IR786" s="3"/>
      <c r="IS786" s="3"/>
      <c r="IT786" s="3"/>
      <c r="IU786" s="3"/>
      <c r="IV786" s="3"/>
      <c r="IW786" s="3"/>
      <c r="IX786" s="3"/>
      <c r="IY786" s="3"/>
      <c r="IZ786" s="3"/>
      <c r="JA786" s="3"/>
      <c r="JB786" s="3"/>
      <c r="JC786" s="3"/>
      <c r="JD786" s="3"/>
      <c r="JE786" s="3"/>
      <c r="JF786" s="3"/>
      <c r="JG786" s="3"/>
      <c r="JH786" s="3"/>
      <c r="JI786" s="3"/>
      <c r="JJ786" s="3"/>
      <c r="JK786" s="3"/>
      <c r="JL786" s="3"/>
      <c r="JM786" s="3"/>
      <c r="JN786" s="3"/>
      <c r="JO786" s="3"/>
      <c r="JP786" s="3"/>
      <c r="JQ786" s="3"/>
      <c r="JR786" s="3"/>
      <c r="JS786" s="3"/>
      <c r="JT786" s="3"/>
      <c r="JU786" s="3"/>
      <c r="JV786" s="3"/>
      <c r="JW786" s="3"/>
      <c r="JX786" s="3"/>
      <c r="JY786" s="3"/>
      <c r="JZ786" s="3"/>
      <c r="KA786" s="3"/>
      <c r="KB786" s="3"/>
      <c r="KC786" s="3"/>
      <c r="KD786" s="3"/>
      <c r="KE786" s="3"/>
      <c r="KF786" s="3"/>
      <c r="KG786" s="3"/>
      <c r="KH786" s="3"/>
      <c r="KI786" s="3"/>
      <c r="KJ786" s="3"/>
      <c r="KK786" s="3"/>
      <c r="KL786" s="3"/>
      <c r="KM786" s="3"/>
      <c r="KN786" s="3"/>
      <c r="KO786" s="3"/>
      <c r="KP786" s="3"/>
      <c r="KQ786" s="3"/>
      <c r="KR786" s="3"/>
      <c r="KS786" s="3"/>
      <c r="KT786" s="3"/>
      <c r="KU786" s="3"/>
      <c r="KV786" s="3"/>
      <c r="KW786" s="3"/>
      <c r="KX786" s="3"/>
      <c r="KY786" s="3"/>
      <c r="KZ786" s="3"/>
      <c r="LA786" s="3"/>
      <c r="LB786" s="3"/>
      <c r="LC786" s="3"/>
      <c r="LD786" s="3"/>
      <c r="LE786" s="3"/>
      <c r="LF786" s="3"/>
      <c r="LG786" s="3"/>
      <c r="LH786" s="3"/>
      <c r="LI786" s="3"/>
      <c r="LJ786" s="3"/>
      <c r="LK786" s="3"/>
      <c r="LL786" s="3"/>
      <c r="LM786" s="3"/>
      <c r="LN786" s="3"/>
      <c r="LO786" s="3"/>
      <c r="LP786" s="3"/>
      <c r="LQ786" s="3"/>
      <c r="LR786" s="3"/>
      <c r="LS786" s="3"/>
      <c r="LT786" s="3"/>
      <c r="LU786" s="3"/>
      <c r="LV786" s="3"/>
      <c r="LW786" s="3"/>
      <c r="LX786" s="3"/>
      <c r="LY786" s="3"/>
      <c r="LZ786" s="3"/>
      <c r="MA786" s="3"/>
      <c r="MB786" s="3"/>
      <c r="MC786" s="3"/>
      <c r="MD786" s="3"/>
      <c r="ME786" s="3"/>
      <c r="MF786" s="3"/>
      <c r="MG786" s="3"/>
      <c r="MH786" s="3"/>
      <c r="MI786" s="3"/>
    </row>
    <row r="787" spans="1:347"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c r="HX787" s="3"/>
      <c r="HY787" s="3"/>
      <c r="HZ787" s="3"/>
      <c r="IA787" s="3"/>
      <c r="IB787" s="3"/>
      <c r="IC787" s="3"/>
      <c r="ID787" s="3"/>
      <c r="IE787" s="3"/>
      <c r="IF787" s="3"/>
      <c r="IG787" s="3"/>
      <c r="IH787" s="3"/>
      <c r="II787" s="3"/>
      <c r="IJ787" s="3"/>
      <c r="IK787" s="3"/>
      <c r="IL787" s="3"/>
      <c r="IM787" s="3"/>
      <c r="IN787" s="3"/>
      <c r="IO787" s="3"/>
      <c r="IP787" s="3"/>
      <c r="IQ787" s="3"/>
      <c r="IR787" s="3"/>
      <c r="IS787" s="3"/>
      <c r="IT787" s="3"/>
      <c r="IU787" s="3"/>
      <c r="IV787" s="3"/>
      <c r="IW787" s="3"/>
      <c r="IX787" s="3"/>
      <c r="IY787" s="3"/>
      <c r="IZ787" s="3"/>
      <c r="JA787" s="3"/>
      <c r="JB787" s="3"/>
      <c r="JC787" s="3"/>
      <c r="JD787" s="3"/>
      <c r="JE787" s="3"/>
      <c r="JF787" s="3"/>
      <c r="JG787" s="3"/>
      <c r="JH787" s="3"/>
      <c r="JI787" s="3"/>
      <c r="JJ787" s="3"/>
      <c r="JK787" s="3"/>
      <c r="JL787" s="3"/>
      <c r="JM787" s="3"/>
      <c r="JN787" s="3"/>
      <c r="JO787" s="3"/>
      <c r="JP787" s="3"/>
      <c r="JQ787" s="3"/>
      <c r="JR787" s="3"/>
      <c r="JS787" s="3"/>
      <c r="JT787" s="3"/>
      <c r="JU787" s="3"/>
      <c r="JV787" s="3"/>
      <c r="JW787" s="3"/>
      <c r="JX787" s="3"/>
      <c r="JY787" s="3"/>
      <c r="JZ787" s="3"/>
      <c r="KA787" s="3"/>
      <c r="KB787" s="3"/>
      <c r="KC787" s="3"/>
      <c r="KD787" s="3"/>
      <c r="KE787" s="3"/>
      <c r="KF787" s="3"/>
      <c r="KG787" s="3"/>
      <c r="KH787" s="3"/>
      <c r="KI787" s="3"/>
      <c r="KJ787" s="3"/>
      <c r="KK787" s="3"/>
      <c r="KL787" s="3"/>
      <c r="KM787" s="3"/>
      <c r="KN787" s="3"/>
      <c r="KO787" s="3"/>
      <c r="KP787" s="3"/>
      <c r="KQ787" s="3"/>
      <c r="KR787" s="3"/>
      <c r="KS787" s="3"/>
      <c r="KT787" s="3"/>
      <c r="KU787" s="3"/>
      <c r="KV787" s="3"/>
      <c r="KW787" s="3"/>
      <c r="KX787" s="3"/>
      <c r="KY787" s="3"/>
      <c r="KZ787" s="3"/>
      <c r="LA787" s="3"/>
      <c r="LB787" s="3"/>
      <c r="LC787" s="3"/>
      <c r="LD787" s="3"/>
      <c r="LE787" s="3"/>
      <c r="LF787" s="3"/>
      <c r="LG787" s="3"/>
      <c r="LH787" s="3"/>
      <c r="LI787" s="3"/>
      <c r="LJ787" s="3"/>
      <c r="LK787" s="3"/>
      <c r="LL787" s="3"/>
      <c r="LM787" s="3"/>
      <c r="LN787" s="3"/>
      <c r="LO787" s="3"/>
      <c r="LP787" s="3"/>
      <c r="LQ787" s="3"/>
      <c r="LR787" s="3"/>
      <c r="LS787" s="3"/>
      <c r="LT787" s="3"/>
      <c r="LU787" s="3"/>
      <c r="LV787" s="3"/>
      <c r="LW787" s="3"/>
      <c r="LX787" s="3"/>
      <c r="LY787" s="3"/>
      <c r="LZ787" s="3"/>
      <c r="MA787" s="3"/>
      <c r="MB787" s="3"/>
      <c r="MC787" s="3"/>
      <c r="MD787" s="3"/>
      <c r="ME787" s="3"/>
      <c r="MF787" s="3"/>
      <c r="MG787" s="3"/>
      <c r="MH787" s="3"/>
      <c r="MI787" s="3"/>
    </row>
    <row r="788" spans="1:347"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c r="HX788" s="3"/>
      <c r="HY788" s="3"/>
      <c r="HZ788" s="3"/>
      <c r="IA788" s="3"/>
      <c r="IB788" s="3"/>
      <c r="IC788" s="3"/>
      <c r="ID788" s="3"/>
      <c r="IE788" s="3"/>
      <c r="IF788" s="3"/>
      <c r="IG788" s="3"/>
      <c r="IH788" s="3"/>
      <c r="II788" s="3"/>
      <c r="IJ788" s="3"/>
      <c r="IK788" s="3"/>
      <c r="IL788" s="3"/>
      <c r="IM788" s="3"/>
      <c r="IN788" s="3"/>
      <c r="IO788" s="3"/>
      <c r="IP788" s="3"/>
      <c r="IQ788" s="3"/>
      <c r="IR788" s="3"/>
      <c r="IS788" s="3"/>
      <c r="IT788" s="3"/>
      <c r="IU788" s="3"/>
      <c r="IV788" s="3"/>
      <c r="IW788" s="3"/>
      <c r="IX788" s="3"/>
      <c r="IY788" s="3"/>
      <c r="IZ788" s="3"/>
      <c r="JA788" s="3"/>
      <c r="JB788" s="3"/>
      <c r="JC788" s="3"/>
      <c r="JD788" s="3"/>
      <c r="JE788" s="3"/>
      <c r="JF788" s="3"/>
      <c r="JG788" s="3"/>
      <c r="JH788" s="3"/>
      <c r="JI788" s="3"/>
      <c r="JJ788" s="3"/>
      <c r="JK788" s="3"/>
      <c r="JL788" s="3"/>
      <c r="JM788" s="3"/>
      <c r="JN788" s="3"/>
      <c r="JO788" s="3"/>
      <c r="JP788" s="3"/>
      <c r="JQ788" s="3"/>
      <c r="JR788" s="3"/>
      <c r="JS788" s="3"/>
      <c r="JT788" s="3"/>
      <c r="JU788" s="3"/>
      <c r="JV788" s="3"/>
      <c r="JW788" s="3"/>
      <c r="JX788" s="3"/>
      <c r="JY788" s="3"/>
      <c r="JZ788" s="3"/>
      <c r="KA788" s="3"/>
      <c r="KB788" s="3"/>
      <c r="KC788" s="3"/>
      <c r="KD788" s="3"/>
      <c r="KE788" s="3"/>
      <c r="KF788" s="3"/>
      <c r="KG788" s="3"/>
      <c r="KH788" s="3"/>
      <c r="KI788" s="3"/>
      <c r="KJ788" s="3"/>
      <c r="KK788" s="3"/>
      <c r="KL788" s="3"/>
      <c r="KM788" s="3"/>
      <c r="KN788" s="3"/>
      <c r="KO788" s="3"/>
      <c r="KP788" s="3"/>
      <c r="KQ788" s="3"/>
      <c r="KR788" s="3"/>
      <c r="KS788" s="3"/>
      <c r="KT788" s="3"/>
      <c r="KU788" s="3"/>
      <c r="KV788" s="3"/>
      <c r="KW788" s="3"/>
      <c r="KX788" s="3"/>
      <c r="KY788" s="3"/>
      <c r="KZ788" s="3"/>
      <c r="LA788" s="3"/>
      <c r="LB788" s="3"/>
      <c r="LC788" s="3"/>
      <c r="LD788" s="3"/>
      <c r="LE788" s="3"/>
      <c r="LF788" s="3"/>
      <c r="LG788" s="3"/>
      <c r="LH788" s="3"/>
      <c r="LI788" s="3"/>
      <c r="LJ788" s="3"/>
      <c r="LK788" s="3"/>
      <c r="LL788" s="3"/>
      <c r="LM788" s="3"/>
      <c r="LN788" s="3"/>
      <c r="LO788" s="3"/>
      <c r="LP788" s="3"/>
      <c r="LQ788" s="3"/>
      <c r="LR788" s="3"/>
      <c r="LS788" s="3"/>
      <c r="LT788" s="3"/>
      <c r="LU788" s="3"/>
      <c r="LV788" s="3"/>
      <c r="LW788" s="3"/>
      <c r="LX788" s="3"/>
      <c r="LY788" s="3"/>
      <c r="LZ788" s="3"/>
      <c r="MA788" s="3"/>
      <c r="MB788" s="3"/>
      <c r="MC788" s="3"/>
      <c r="MD788" s="3"/>
      <c r="ME788" s="3"/>
      <c r="MF788" s="3"/>
      <c r="MG788" s="3"/>
      <c r="MH788" s="3"/>
      <c r="MI788" s="3"/>
    </row>
    <row r="789" spans="1:347"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c r="HX789" s="3"/>
      <c r="HY789" s="3"/>
      <c r="HZ789" s="3"/>
      <c r="IA789" s="3"/>
      <c r="IB789" s="3"/>
      <c r="IC789" s="3"/>
      <c r="ID789" s="3"/>
      <c r="IE789" s="3"/>
      <c r="IF789" s="3"/>
      <c r="IG789" s="3"/>
      <c r="IH789" s="3"/>
      <c r="II789" s="3"/>
      <c r="IJ789" s="3"/>
      <c r="IK789" s="3"/>
      <c r="IL789" s="3"/>
      <c r="IM789" s="3"/>
      <c r="IN789" s="3"/>
      <c r="IO789" s="3"/>
      <c r="IP789" s="3"/>
      <c r="IQ789" s="3"/>
      <c r="IR789" s="3"/>
      <c r="IS789" s="3"/>
      <c r="IT789" s="3"/>
      <c r="IU789" s="3"/>
      <c r="IV789" s="3"/>
      <c r="IW789" s="3"/>
      <c r="IX789" s="3"/>
      <c r="IY789" s="3"/>
      <c r="IZ789" s="3"/>
      <c r="JA789" s="3"/>
      <c r="JB789" s="3"/>
      <c r="JC789" s="3"/>
      <c r="JD789" s="3"/>
      <c r="JE789" s="3"/>
      <c r="JF789" s="3"/>
      <c r="JG789" s="3"/>
      <c r="JH789" s="3"/>
      <c r="JI789" s="3"/>
      <c r="JJ789" s="3"/>
      <c r="JK789" s="3"/>
      <c r="JL789" s="3"/>
      <c r="JM789" s="3"/>
      <c r="JN789" s="3"/>
      <c r="JO789" s="3"/>
      <c r="JP789" s="3"/>
      <c r="JQ789" s="3"/>
      <c r="JR789" s="3"/>
      <c r="JS789" s="3"/>
      <c r="JT789" s="3"/>
      <c r="JU789" s="3"/>
      <c r="JV789" s="3"/>
      <c r="JW789" s="3"/>
      <c r="JX789" s="3"/>
      <c r="JY789" s="3"/>
      <c r="JZ789" s="3"/>
      <c r="KA789" s="3"/>
      <c r="KB789" s="3"/>
      <c r="KC789" s="3"/>
      <c r="KD789" s="3"/>
      <c r="KE789" s="3"/>
      <c r="KF789" s="3"/>
      <c r="KG789" s="3"/>
      <c r="KH789" s="3"/>
      <c r="KI789" s="3"/>
      <c r="KJ789" s="3"/>
      <c r="KK789" s="3"/>
      <c r="KL789" s="3"/>
      <c r="KM789" s="3"/>
      <c r="KN789" s="3"/>
      <c r="KO789" s="3"/>
      <c r="KP789" s="3"/>
      <c r="KQ789" s="3"/>
      <c r="KR789" s="3"/>
      <c r="KS789" s="3"/>
      <c r="KT789" s="3"/>
      <c r="KU789" s="3"/>
      <c r="KV789" s="3"/>
      <c r="KW789" s="3"/>
      <c r="KX789" s="3"/>
      <c r="KY789" s="3"/>
      <c r="KZ789" s="3"/>
      <c r="LA789" s="3"/>
      <c r="LB789" s="3"/>
      <c r="LC789" s="3"/>
      <c r="LD789" s="3"/>
      <c r="LE789" s="3"/>
      <c r="LF789" s="3"/>
      <c r="LG789" s="3"/>
      <c r="LH789" s="3"/>
      <c r="LI789" s="3"/>
      <c r="LJ789" s="3"/>
      <c r="LK789" s="3"/>
      <c r="LL789" s="3"/>
      <c r="LM789" s="3"/>
      <c r="LN789" s="3"/>
      <c r="LO789" s="3"/>
      <c r="LP789" s="3"/>
      <c r="LQ789" s="3"/>
      <c r="LR789" s="3"/>
      <c r="LS789" s="3"/>
      <c r="LT789" s="3"/>
      <c r="LU789" s="3"/>
      <c r="LV789" s="3"/>
      <c r="LW789" s="3"/>
      <c r="LX789" s="3"/>
      <c r="LY789" s="3"/>
      <c r="LZ789" s="3"/>
      <c r="MA789" s="3"/>
      <c r="MB789" s="3"/>
      <c r="MC789" s="3"/>
      <c r="MD789" s="3"/>
      <c r="ME789" s="3"/>
      <c r="MF789" s="3"/>
      <c r="MG789" s="3"/>
      <c r="MH789" s="3"/>
      <c r="MI789" s="3"/>
    </row>
    <row r="790" spans="1:347"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c r="HX790" s="3"/>
      <c r="HY790" s="3"/>
      <c r="HZ790" s="3"/>
      <c r="IA790" s="3"/>
      <c r="IB790" s="3"/>
      <c r="IC790" s="3"/>
      <c r="ID790" s="3"/>
      <c r="IE790" s="3"/>
      <c r="IF790" s="3"/>
      <c r="IG790" s="3"/>
      <c r="IH790" s="3"/>
      <c r="II790" s="3"/>
      <c r="IJ790" s="3"/>
      <c r="IK790" s="3"/>
      <c r="IL790" s="3"/>
      <c r="IM790" s="3"/>
      <c r="IN790" s="3"/>
      <c r="IO790" s="3"/>
      <c r="IP790" s="3"/>
      <c r="IQ790" s="3"/>
      <c r="IR790" s="3"/>
      <c r="IS790" s="3"/>
      <c r="IT790" s="3"/>
      <c r="IU790" s="3"/>
      <c r="IV790" s="3"/>
      <c r="IW790" s="3"/>
      <c r="IX790" s="3"/>
      <c r="IY790" s="3"/>
      <c r="IZ790" s="3"/>
      <c r="JA790" s="3"/>
      <c r="JB790" s="3"/>
      <c r="JC790" s="3"/>
      <c r="JD790" s="3"/>
      <c r="JE790" s="3"/>
      <c r="JF790" s="3"/>
      <c r="JG790" s="3"/>
      <c r="JH790" s="3"/>
      <c r="JI790" s="3"/>
      <c r="JJ790" s="3"/>
      <c r="JK790" s="3"/>
      <c r="JL790" s="3"/>
      <c r="JM790" s="3"/>
      <c r="JN790" s="3"/>
      <c r="JO790" s="3"/>
      <c r="JP790" s="3"/>
      <c r="JQ790" s="3"/>
      <c r="JR790" s="3"/>
      <c r="JS790" s="3"/>
      <c r="JT790" s="3"/>
      <c r="JU790" s="3"/>
      <c r="JV790" s="3"/>
      <c r="JW790" s="3"/>
      <c r="JX790" s="3"/>
      <c r="JY790" s="3"/>
      <c r="JZ790" s="3"/>
      <c r="KA790" s="3"/>
      <c r="KB790" s="3"/>
      <c r="KC790" s="3"/>
      <c r="KD790" s="3"/>
      <c r="KE790" s="3"/>
      <c r="KF790" s="3"/>
      <c r="KG790" s="3"/>
      <c r="KH790" s="3"/>
      <c r="KI790" s="3"/>
      <c r="KJ790" s="3"/>
      <c r="KK790" s="3"/>
      <c r="KL790" s="3"/>
      <c r="KM790" s="3"/>
      <c r="KN790" s="3"/>
      <c r="KO790" s="3"/>
      <c r="KP790" s="3"/>
      <c r="KQ790" s="3"/>
      <c r="KR790" s="3"/>
      <c r="KS790" s="3"/>
      <c r="KT790" s="3"/>
      <c r="KU790" s="3"/>
      <c r="KV790" s="3"/>
      <c r="KW790" s="3"/>
      <c r="KX790" s="3"/>
      <c r="KY790" s="3"/>
      <c r="KZ790" s="3"/>
      <c r="LA790" s="3"/>
      <c r="LB790" s="3"/>
      <c r="LC790" s="3"/>
      <c r="LD790" s="3"/>
      <c r="LE790" s="3"/>
      <c r="LF790" s="3"/>
      <c r="LG790" s="3"/>
      <c r="LH790" s="3"/>
      <c r="LI790" s="3"/>
      <c r="LJ790" s="3"/>
      <c r="LK790" s="3"/>
      <c r="LL790" s="3"/>
      <c r="LM790" s="3"/>
      <c r="LN790" s="3"/>
      <c r="LO790" s="3"/>
      <c r="LP790" s="3"/>
      <c r="LQ790" s="3"/>
      <c r="LR790" s="3"/>
      <c r="LS790" s="3"/>
      <c r="LT790" s="3"/>
      <c r="LU790" s="3"/>
      <c r="LV790" s="3"/>
      <c r="LW790" s="3"/>
      <c r="LX790" s="3"/>
      <c r="LY790" s="3"/>
      <c r="LZ790" s="3"/>
      <c r="MA790" s="3"/>
      <c r="MB790" s="3"/>
      <c r="MC790" s="3"/>
      <c r="MD790" s="3"/>
      <c r="ME790" s="3"/>
      <c r="MF790" s="3"/>
      <c r="MG790" s="3"/>
      <c r="MH790" s="3"/>
      <c r="MI790" s="3"/>
    </row>
    <row r="791" spans="1:347"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c r="HX791" s="3"/>
      <c r="HY791" s="3"/>
      <c r="HZ791" s="3"/>
      <c r="IA791" s="3"/>
      <c r="IB791" s="3"/>
      <c r="IC791" s="3"/>
      <c r="ID791" s="3"/>
      <c r="IE791" s="3"/>
      <c r="IF791" s="3"/>
      <c r="IG791" s="3"/>
      <c r="IH791" s="3"/>
      <c r="II791" s="3"/>
      <c r="IJ791" s="3"/>
      <c r="IK791" s="3"/>
      <c r="IL791" s="3"/>
      <c r="IM791" s="3"/>
      <c r="IN791" s="3"/>
      <c r="IO791" s="3"/>
      <c r="IP791" s="3"/>
      <c r="IQ791" s="3"/>
      <c r="IR791" s="3"/>
      <c r="IS791" s="3"/>
      <c r="IT791" s="3"/>
      <c r="IU791" s="3"/>
      <c r="IV791" s="3"/>
      <c r="IW791" s="3"/>
      <c r="IX791" s="3"/>
      <c r="IY791" s="3"/>
      <c r="IZ791" s="3"/>
      <c r="JA791" s="3"/>
      <c r="JB791" s="3"/>
      <c r="JC791" s="3"/>
      <c r="JD791" s="3"/>
      <c r="JE791" s="3"/>
      <c r="JF791" s="3"/>
      <c r="JG791" s="3"/>
      <c r="JH791" s="3"/>
      <c r="JI791" s="3"/>
      <c r="JJ791" s="3"/>
      <c r="JK791" s="3"/>
      <c r="JL791" s="3"/>
      <c r="JM791" s="3"/>
      <c r="JN791" s="3"/>
      <c r="JO791" s="3"/>
      <c r="JP791" s="3"/>
      <c r="JQ791" s="3"/>
      <c r="JR791" s="3"/>
      <c r="JS791" s="3"/>
      <c r="JT791" s="3"/>
      <c r="JU791" s="3"/>
      <c r="JV791" s="3"/>
      <c r="JW791" s="3"/>
      <c r="JX791" s="3"/>
      <c r="JY791" s="3"/>
      <c r="JZ791" s="3"/>
      <c r="KA791" s="3"/>
      <c r="KB791" s="3"/>
      <c r="KC791" s="3"/>
      <c r="KD791" s="3"/>
      <c r="KE791" s="3"/>
      <c r="KF791" s="3"/>
      <c r="KG791" s="3"/>
      <c r="KH791" s="3"/>
      <c r="KI791" s="3"/>
      <c r="KJ791" s="3"/>
      <c r="KK791" s="3"/>
      <c r="KL791" s="3"/>
      <c r="KM791" s="3"/>
      <c r="KN791" s="3"/>
      <c r="KO791" s="3"/>
      <c r="KP791" s="3"/>
      <c r="KQ791" s="3"/>
      <c r="KR791" s="3"/>
      <c r="KS791" s="3"/>
      <c r="KT791" s="3"/>
      <c r="KU791" s="3"/>
      <c r="KV791" s="3"/>
      <c r="KW791" s="3"/>
      <c r="KX791" s="3"/>
      <c r="KY791" s="3"/>
      <c r="KZ791" s="3"/>
      <c r="LA791" s="3"/>
      <c r="LB791" s="3"/>
      <c r="LC791" s="3"/>
      <c r="LD791" s="3"/>
      <c r="LE791" s="3"/>
      <c r="LF791" s="3"/>
      <c r="LG791" s="3"/>
      <c r="LH791" s="3"/>
      <c r="LI791" s="3"/>
      <c r="LJ791" s="3"/>
      <c r="LK791" s="3"/>
      <c r="LL791" s="3"/>
      <c r="LM791" s="3"/>
      <c r="LN791" s="3"/>
      <c r="LO791" s="3"/>
      <c r="LP791" s="3"/>
      <c r="LQ791" s="3"/>
      <c r="LR791" s="3"/>
      <c r="LS791" s="3"/>
      <c r="LT791" s="3"/>
      <c r="LU791" s="3"/>
      <c r="LV791" s="3"/>
      <c r="LW791" s="3"/>
      <c r="LX791" s="3"/>
      <c r="LY791" s="3"/>
      <c r="LZ791" s="3"/>
      <c r="MA791" s="3"/>
      <c r="MB791" s="3"/>
      <c r="MC791" s="3"/>
      <c r="MD791" s="3"/>
      <c r="ME791" s="3"/>
      <c r="MF791" s="3"/>
      <c r="MG791" s="3"/>
      <c r="MH791" s="3"/>
      <c r="MI791" s="3"/>
    </row>
    <row r="792" spans="1:347"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c r="HX792" s="3"/>
      <c r="HY792" s="3"/>
      <c r="HZ792" s="3"/>
      <c r="IA792" s="3"/>
      <c r="IB792" s="3"/>
      <c r="IC792" s="3"/>
      <c r="ID792" s="3"/>
      <c r="IE792" s="3"/>
      <c r="IF792" s="3"/>
      <c r="IG792" s="3"/>
      <c r="IH792" s="3"/>
      <c r="II792" s="3"/>
      <c r="IJ792" s="3"/>
      <c r="IK792" s="3"/>
      <c r="IL792" s="3"/>
      <c r="IM792" s="3"/>
      <c r="IN792" s="3"/>
      <c r="IO792" s="3"/>
      <c r="IP792" s="3"/>
      <c r="IQ792" s="3"/>
      <c r="IR792" s="3"/>
      <c r="IS792" s="3"/>
      <c r="IT792" s="3"/>
      <c r="IU792" s="3"/>
      <c r="IV792" s="3"/>
      <c r="IW792" s="3"/>
      <c r="IX792" s="3"/>
      <c r="IY792" s="3"/>
      <c r="IZ792" s="3"/>
      <c r="JA792" s="3"/>
      <c r="JB792" s="3"/>
      <c r="JC792" s="3"/>
      <c r="JD792" s="3"/>
      <c r="JE792" s="3"/>
      <c r="JF792" s="3"/>
      <c r="JG792" s="3"/>
      <c r="JH792" s="3"/>
      <c r="JI792" s="3"/>
      <c r="JJ792" s="3"/>
      <c r="JK792" s="3"/>
      <c r="JL792" s="3"/>
      <c r="JM792" s="3"/>
      <c r="JN792" s="3"/>
      <c r="JO792" s="3"/>
      <c r="JP792" s="3"/>
      <c r="JQ792" s="3"/>
      <c r="JR792" s="3"/>
      <c r="JS792" s="3"/>
      <c r="JT792" s="3"/>
      <c r="JU792" s="3"/>
      <c r="JV792" s="3"/>
      <c r="JW792" s="3"/>
      <c r="JX792" s="3"/>
      <c r="JY792" s="3"/>
      <c r="JZ792" s="3"/>
      <c r="KA792" s="3"/>
      <c r="KB792" s="3"/>
      <c r="KC792" s="3"/>
      <c r="KD792" s="3"/>
      <c r="KE792" s="3"/>
      <c r="KF792" s="3"/>
      <c r="KG792" s="3"/>
      <c r="KH792" s="3"/>
      <c r="KI792" s="3"/>
      <c r="KJ792" s="3"/>
      <c r="KK792" s="3"/>
      <c r="KL792" s="3"/>
      <c r="KM792" s="3"/>
      <c r="KN792" s="3"/>
      <c r="KO792" s="3"/>
      <c r="KP792" s="3"/>
      <c r="KQ792" s="3"/>
      <c r="KR792" s="3"/>
      <c r="KS792" s="3"/>
      <c r="KT792" s="3"/>
      <c r="KU792" s="3"/>
      <c r="KV792" s="3"/>
      <c r="KW792" s="3"/>
      <c r="KX792" s="3"/>
      <c r="KY792" s="3"/>
      <c r="KZ792" s="3"/>
      <c r="LA792" s="3"/>
      <c r="LB792" s="3"/>
      <c r="LC792" s="3"/>
      <c r="LD792" s="3"/>
      <c r="LE792" s="3"/>
      <c r="LF792" s="3"/>
      <c r="LG792" s="3"/>
      <c r="LH792" s="3"/>
      <c r="LI792" s="3"/>
      <c r="LJ792" s="3"/>
      <c r="LK792" s="3"/>
      <c r="LL792" s="3"/>
      <c r="LM792" s="3"/>
      <c r="LN792" s="3"/>
      <c r="LO792" s="3"/>
      <c r="LP792" s="3"/>
      <c r="LQ792" s="3"/>
      <c r="LR792" s="3"/>
      <c r="LS792" s="3"/>
      <c r="LT792" s="3"/>
      <c r="LU792" s="3"/>
      <c r="LV792" s="3"/>
      <c r="LW792" s="3"/>
      <c r="LX792" s="3"/>
      <c r="LY792" s="3"/>
      <c r="LZ792" s="3"/>
      <c r="MA792" s="3"/>
      <c r="MB792" s="3"/>
      <c r="MC792" s="3"/>
      <c r="MD792" s="3"/>
      <c r="ME792" s="3"/>
      <c r="MF792" s="3"/>
      <c r="MG792" s="3"/>
      <c r="MH792" s="3"/>
      <c r="MI792" s="3"/>
    </row>
    <row r="793" spans="1:347"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c r="HX793" s="3"/>
      <c r="HY793" s="3"/>
      <c r="HZ793" s="3"/>
      <c r="IA793" s="3"/>
      <c r="IB793" s="3"/>
      <c r="IC793" s="3"/>
      <c r="ID793" s="3"/>
      <c r="IE793" s="3"/>
      <c r="IF793" s="3"/>
      <c r="IG793" s="3"/>
      <c r="IH793" s="3"/>
      <c r="II793" s="3"/>
      <c r="IJ793" s="3"/>
      <c r="IK793" s="3"/>
      <c r="IL793" s="3"/>
      <c r="IM793" s="3"/>
      <c r="IN793" s="3"/>
      <c r="IO793" s="3"/>
      <c r="IP793" s="3"/>
      <c r="IQ793" s="3"/>
      <c r="IR793" s="3"/>
      <c r="IS793" s="3"/>
      <c r="IT793" s="3"/>
      <c r="IU793" s="3"/>
      <c r="IV793" s="3"/>
      <c r="IW793" s="3"/>
      <c r="IX793" s="3"/>
      <c r="IY793" s="3"/>
      <c r="IZ793" s="3"/>
      <c r="JA793" s="3"/>
      <c r="JB793" s="3"/>
      <c r="JC793" s="3"/>
      <c r="JD793" s="3"/>
      <c r="JE793" s="3"/>
      <c r="JF793" s="3"/>
      <c r="JG793" s="3"/>
      <c r="JH793" s="3"/>
      <c r="JI793" s="3"/>
      <c r="JJ793" s="3"/>
      <c r="JK793" s="3"/>
      <c r="JL793" s="3"/>
      <c r="JM793" s="3"/>
      <c r="JN793" s="3"/>
      <c r="JO793" s="3"/>
      <c r="JP793" s="3"/>
      <c r="JQ793" s="3"/>
      <c r="JR793" s="3"/>
      <c r="JS793" s="3"/>
      <c r="JT793" s="3"/>
      <c r="JU793" s="3"/>
      <c r="JV793" s="3"/>
      <c r="JW793" s="3"/>
      <c r="JX793" s="3"/>
      <c r="JY793" s="3"/>
      <c r="JZ793" s="3"/>
      <c r="KA793" s="3"/>
      <c r="KB793" s="3"/>
      <c r="KC793" s="3"/>
      <c r="KD793" s="3"/>
      <c r="KE793" s="3"/>
      <c r="KF793" s="3"/>
      <c r="KG793" s="3"/>
      <c r="KH793" s="3"/>
      <c r="KI793" s="3"/>
      <c r="KJ793" s="3"/>
      <c r="KK793" s="3"/>
      <c r="KL793" s="3"/>
      <c r="KM793" s="3"/>
      <c r="KN793" s="3"/>
      <c r="KO793" s="3"/>
      <c r="KP793" s="3"/>
      <c r="KQ793" s="3"/>
      <c r="KR793" s="3"/>
      <c r="KS793" s="3"/>
      <c r="KT793" s="3"/>
      <c r="KU793" s="3"/>
      <c r="KV793" s="3"/>
      <c r="KW793" s="3"/>
      <c r="KX793" s="3"/>
      <c r="KY793" s="3"/>
      <c r="KZ793" s="3"/>
      <c r="LA793" s="3"/>
      <c r="LB793" s="3"/>
      <c r="LC793" s="3"/>
      <c r="LD793" s="3"/>
      <c r="LE793" s="3"/>
      <c r="LF793" s="3"/>
      <c r="LG793" s="3"/>
      <c r="LH793" s="3"/>
      <c r="LI793" s="3"/>
      <c r="LJ793" s="3"/>
      <c r="LK793" s="3"/>
      <c r="LL793" s="3"/>
      <c r="LM793" s="3"/>
      <c r="LN793" s="3"/>
      <c r="LO793" s="3"/>
      <c r="LP793" s="3"/>
      <c r="LQ793" s="3"/>
      <c r="LR793" s="3"/>
      <c r="LS793" s="3"/>
      <c r="LT793" s="3"/>
      <c r="LU793" s="3"/>
      <c r="LV793" s="3"/>
      <c r="LW793" s="3"/>
      <c r="LX793" s="3"/>
      <c r="LY793" s="3"/>
      <c r="LZ793" s="3"/>
      <c r="MA793" s="3"/>
      <c r="MB793" s="3"/>
      <c r="MC793" s="3"/>
      <c r="MD793" s="3"/>
      <c r="ME793" s="3"/>
      <c r="MF793" s="3"/>
      <c r="MG793" s="3"/>
      <c r="MH793" s="3"/>
      <c r="MI793" s="3"/>
    </row>
    <row r="794" spans="1:347"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c r="HX794" s="3"/>
      <c r="HY794" s="3"/>
      <c r="HZ794" s="3"/>
      <c r="IA794" s="3"/>
      <c r="IB794" s="3"/>
      <c r="IC794" s="3"/>
      <c r="ID794" s="3"/>
      <c r="IE794" s="3"/>
      <c r="IF794" s="3"/>
      <c r="IG794" s="3"/>
      <c r="IH794" s="3"/>
      <c r="II794" s="3"/>
      <c r="IJ794" s="3"/>
      <c r="IK794" s="3"/>
      <c r="IL794" s="3"/>
      <c r="IM794" s="3"/>
      <c r="IN794" s="3"/>
      <c r="IO794" s="3"/>
      <c r="IP794" s="3"/>
      <c r="IQ794" s="3"/>
      <c r="IR794" s="3"/>
      <c r="IS794" s="3"/>
      <c r="IT794" s="3"/>
      <c r="IU794" s="3"/>
      <c r="IV794" s="3"/>
      <c r="IW794" s="3"/>
      <c r="IX794" s="3"/>
      <c r="IY794" s="3"/>
      <c r="IZ794" s="3"/>
      <c r="JA794" s="3"/>
      <c r="JB794" s="3"/>
      <c r="JC794" s="3"/>
      <c r="JD794" s="3"/>
      <c r="JE794" s="3"/>
      <c r="JF794" s="3"/>
      <c r="JG794" s="3"/>
      <c r="JH794" s="3"/>
      <c r="JI794" s="3"/>
      <c r="JJ794" s="3"/>
      <c r="JK794" s="3"/>
      <c r="JL794" s="3"/>
      <c r="JM794" s="3"/>
      <c r="JN794" s="3"/>
      <c r="JO794" s="3"/>
      <c r="JP794" s="3"/>
      <c r="JQ794" s="3"/>
      <c r="JR794" s="3"/>
      <c r="JS794" s="3"/>
      <c r="JT794" s="3"/>
      <c r="JU794" s="3"/>
      <c r="JV794" s="3"/>
      <c r="JW794" s="3"/>
      <c r="JX794" s="3"/>
      <c r="JY794" s="3"/>
      <c r="JZ794" s="3"/>
      <c r="KA794" s="3"/>
      <c r="KB794" s="3"/>
      <c r="KC794" s="3"/>
      <c r="KD794" s="3"/>
      <c r="KE794" s="3"/>
      <c r="KF794" s="3"/>
      <c r="KG794" s="3"/>
      <c r="KH794" s="3"/>
      <c r="KI794" s="3"/>
      <c r="KJ794" s="3"/>
      <c r="KK794" s="3"/>
      <c r="KL794" s="3"/>
      <c r="KM794" s="3"/>
      <c r="KN794" s="3"/>
      <c r="KO794" s="3"/>
      <c r="KP794" s="3"/>
      <c r="KQ794" s="3"/>
      <c r="KR794" s="3"/>
      <c r="KS794" s="3"/>
      <c r="KT794" s="3"/>
      <c r="KU794" s="3"/>
      <c r="KV794" s="3"/>
      <c r="KW794" s="3"/>
      <c r="KX794" s="3"/>
      <c r="KY794" s="3"/>
      <c r="KZ794" s="3"/>
      <c r="LA794" s="3"/>
      <c r="LB794" s="3"/>
      <c r="LC794" s="3"/>
      <c r="LD794" s="3"/>
      <c r="LE794" s="3"/>
      <c r="LF794" s="3"/>
      <c r="LG794" s="3"/>
      <c r="LH794" s="3"/>
      <c r="LI794" s="3"/>
      <c r="LJ794" s="3"/>
      <c r="LK794" s="3"/>
      <c r="LL794" s="3"/>
      <c r="LM794" s="3"/>
      <c r="LN794" s="3"/>
      <c r="LO794" s="3"/>
      <c r="LP794" s="3"/>
      <c r="LQ794" s="3"/>
      <c r="LR794" s="3"/>
      <c r="LS794" s="3"/>
      <c r="LT794" s="3"/>
      <c r="LU794" s="3"/>
      <c r="LV794" s="3"/>
      <c r="LW794" s="3"/>
      <c r="LX794" s="3"/>
      <c r="LY794" s="3"/>
      <c r="LZ794" s="3"/>
      <c r="MA794" s="3"/>
      <c r="MB794" s="3"/>
      <c r="MC794" s="3"/>
      <c r="MD794" s="3"/>
      <c r="ME794" s="3"/>
      <c r="MF794" s="3"/>
      <c r="MG794" s="3"/>
      <c r="MH794" s="3"/>
      <c r="MI794" s="3"/>
    </row>
    <row r="795" spans="1:347"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c r="HX795" s="3"/>
      <c r="HY795" s="3"/>
      <c r="HZ795" s="3"/>
      <c r="IA795" s="3"/>
      <c r="IB795" s="3"/>
      <c r="IC795" s="3"/>
      <c r="ID795" s="3"/>
      <c r="IE795" s="3"/>
      <c r="IF795" s="3"/>
      <c r="IG795" s="3"/>
      <c r="IH795" s="3"/>
      <c r="II795" s="3"/>
      <c r="IJ795" s="3"/>
      <c r="IK795" s="3"/>
      <c r="IL795" s="3"/>
      <c r="IM795" s="3"/>
      <c r="IN795" s="3"/>
      <c r="IO795" s="3"/>
      <c r="IP795" s="3"/>
      <c r="IQ795" s="3"/>
      <c r="IR795" s="3"/>
      <c r="IS795" s="3"/>
      <c r="IT795" s="3"/>
      <c r="IU795" s="3"/>
      <c r="IV795" s="3"/>
      <c r="IW795" s="3"/>
      <c r="IX795" s="3"/>
      <c r="IY795" s="3"/>
      <c r="IZ795" s="3"/>
      <c r="JA795" s="3"/>
      <c r="JB795" s="3"/>
      <c r="JC795" s="3"/>
      <c r="JD795" s="3"/>
      <c r="JE795" s="3"/>
      <c r="JF795" s="3"/>
      <c r="JG795" s="3"/>
      <c r="JH795" s="3"/>
      <c r="JI795" s="3"/>
      <c r="JJ795" s="3"/>
      <c r="JK795" s="3"/>
      <c r="JL795" s="3"/>
      <c r="JM795" s="3"/>
      <c r="JN795" s="3"/>
      <c r="JO795" s="3"/>
      <c r="JP795" s="3"/>
      <c r="JQ795" s="3"/>
      <c r="JR795" s="3"/>
      <c r="JS795" s="3"/>
      <c r="JT795" s="3"/>
      <c r="JU795" s="3"/>
      <c r="JV795" s="3"/>
      <c r="JW795" s="3"/>
      <c r="JX795" s="3"/>
      <c r="JY795" s="3"/>
      <c r="JZ795" s="3"/>
      <c r="KA795" s="3"/>
      <c r="KB795" s="3"/>
      <c r="KC795" s="3"/>
      <c r="KD795" s="3"/>
      <c r="KE795" s="3"/>
      <c r="KF795" s="3"/>
      <c r="KG795" s="3"/>
      <c r="KH795" s="3"/>
      <c r="KI795" s="3"/>
      <c r="KJ795" s="3"/>
      <c r="KK795" s="3"/>
      <c r="KL795" s="3"/>
      <c r="KM795" s="3"/>
      <c r="KN795" s="3"/>
      <c r="KO795" s="3"/>
      <c r="KP795" s="3"/>
      <c r="KQ795" s="3"/>
      <c r="KR795" s="3"/>
      <c r="KS795" s="3"/>
      <c r="KT795" s="3"/>
      <c r="KU795" s="3"/>
      <c r="KV795" s="3"/>
      <c r="KW795" s="3"/>
      <c r="KX795" s="3"/>
      <c r="KY795" s="3"/>
      <c r="KZ795" s="3"/>
      <c r="LA795" s="3"/>
      <c r="LB795" s="3"/>
      <c r="LC795" s="3"/>
      <c r="LD795" s="3"/>
      <c r="LE795" s="3"/>
      <c r="LF795" s="3"/>
      <c r="LG795" s="3"/>
      <c r="LH795" s="3"/>
      <c r="LI795" s="3"/>
      <c r="LJ795" s="3"/>
      <c r="LK795" s="3"/>
      <c r="LL795" s="3"/>
      <c r="LM795" s="3"/>
      <c r="LN795" s="3"/>
      <c r="LO795" s="3"/>
      <c r="LP795" s="3"/>
      <c r="LQ795" s="3"/>
      <c r="LR795" s="3"/>
      <c r="LS795" s="3"/>
      <c r="LT795" s="3"/>
      <c r="LU795" s="3"/>
      <c r="LV795" s="3"/>
      <c r="LW795" s="3"/>
      <c r="LX795" s="3"/>
      <c r="LY795" s="3"/>
      <c r="LZ795" s="3"/>
      <c r="MA795" s="3"/>
      <c r="MB795" s="3"/>
      <c r="MC795" s="3"/>
      <c r="MD795" s="3"/>
      <c r="ME795" s="3"/>
      <c r="MF795" s="3"/>
      <c r="MG795" s="3"/>
      <c r="MH795" s="3"/>
      <c r="MI795" s="3"/>
    </row>
    <row r="796" spans="1:347"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c r="HX796" s="3"/>
      <c r="HY796" s="3"/>
      <c r="HZ796" s="3"/>
      <c r="IA796" s="3"/>
      <c r="IB796" s="3"/>
      <c r="IC796" s="3"/>
      <c r="ID796" s="3"/>
      <c r="IE796" s="3"/>
      <c r="IF796" s="3"/>
      <c r="IG796" s="3"/>
      <c r="IH796" s="3"/>
      <c r="II796" s="3"/>
      <c r="IJ796" s="3"/>
      <c r="IK796" s="3"/>
      <c r="IL796" s="3"/>
      <c r="IM796" s="3"/>
      <c r="IN796" s="3"/>
      <c r="IO796" s="3"/>
      <c r="IP796" s="3"/>
      <c r="IQ796" s="3"/>
      <c r="IR796" s="3"/>
      <c r="IS796" s="3"/>
      <c r="IT796" s="3"/>
      <c r="IU796" s="3"/>
      <c r="IV796" s="3"/>
      <c r="IW796" s="3"/>
      <c r="IX796" s="3"/>
      <c r="IY796" s="3"/>
      <c r="IZ796" s="3"/>
      <c r="JA796" s="3"/>
      <c r="JB796" s="3"/>
      <c r="JC796" s="3"/>
      <c r="JD796" s="3"/>
      <c r="JE796" s="3"/>
      <c r="JF796" s="3"/>
      <c r="JG796" s="3"/>
      <c r="JH796" s="3"/>
      <c r="JI796" s="3"/>
      <c r="JJ796" s="3"/>
      <c r="JK796" s="3"/>
      <c r="JL796" s="3"/>
      <c r="JM796" s="3"/>
      <c r="JN796" s="3"/>
      <c r="JO796" s="3"/>
      <c r="JP796" s="3"/>
      <c r="JQ796" s="3"/>
      <c r="JR796" s="3"/>
      <c r="JS796" s="3"/>
      <c r="JT796" s="3"/>
      <c r="JU796" s="3"/>
      <c r="JV796" s="3"/>
      <c r="JW796" s="3"/>
      <c r="JX796" s="3"/>
      <c r="JY796" s="3"/>
      <c r="JZ796" s="3"/>
      <c r="KA796" s="3"/>
      <c r="KB796" s="3"/>
      <c r="KC796" s="3"/>
      <c r="KD796" s="3"/>
      <c r="KE796" s="3"/>
      <c r="KF796" s="3"/>
      <c r="KG796" s="3"/>
      <c r="KH796" s="3"/>
      <c r="KI796" s="3"/>
      <c r="KJ796" s="3"/>
      <c r="KK796" s="3"/>
      <c r="KL796" s="3"/>
      <c r="KM796" s="3"/>
      <c r="KN796" s="3"/>
      <c r="KO796" s="3"/>
      <c r="KP796" s="3"/>
      <c r="KQ796" s="3"/>
      <c r="KR796" s="3"/>
      <c r="KS796" s="3"/>
      <c r="KT796" s="3"/>
      <c r="KU796" s="3"/>
      <c r="KV796" s="3"/>
      <c r="KW796" s="3"/>
      <c r="KX796" s="3"/>
      <c r="KY796" s="3"/>
      <c r="KZ796" s="3"/>
      <c r="LA796" s="3"/>
      <c r="LB796" s="3"/>
      <c r="LC796" s="3"/>
      <c r="LD796" s="3"/>
      <c r="LE796" s="3"/>
      <c r="LF796" s="3"/>
      <c r="LG796" s="3"/>
      <c r="LH796" s="3"/>
      <c r="LI796" s="3"/>
      <c r="LJ796" s="3"/>
      <c r="LK796" s="3"/>
      <c r="LL796" s="3"/>
      <c r="LM796" s="3"/>
      <c r="LN796" s="3"/>
      <c r="LO796" s="3"/>
      <c r="LP796" s="3"/>
      <c r="LQ796" s="3"/>
      <c r="LR796" s="3"/>
      <c r="LS796" s="3"/>
      <c r="LT796" s="3"/>
      <c r="LU796" s="3"/>
      <c r="LV796" s="3"/>
      <c r="LW796" s="3"/>
      <c r="LX796" s="3"/>
      <c r="LY796" s="3"/>
      <c r="LZ796" s="3"/>
      <c r="MA796" s="3"/>
      <c r="MB796" s="3"/>
      <c r="MC796" s="3"/>
      <c r="MD796" s="3"/>
      <c r="ME796" s="3"/>
      <c r="MF796" s="3"/>
      <c r="MG796" s="3"/>
      <c r="MH796" s="3"/>
      <c r="MI796" s="3"/>
    </row>
    <row r="797" spans="1:347"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c r="HX797" s="3"/>
      <c r="HY797" s="3"/>
      <c r="HZ797" s="3"/>
      <c r="IA797" s="3"/>
      <c r="IB797" s="3"/>
      <c r="IC797" s="3"/>
      <c r="ID797" s="3"/>
      <c r="IE797" s="3"/>
      <c r="IF797" s="3"/>
      <c r="IG797" s="3"/>
      <c r="IH797" s="3"/>
      <c r="II797" s="3"/>
      <c r="IJ797" s="3"/>
      <c r="IK797" s="3"/>
      <c r="IL797" s="3"/>
      <c r="IM797" s="3"/>
      <c r="IN797" s="3"/>
      <c r="IO797" s="3"/>
      <c r="IP797" s="3"/>
      <c r="IQ797" s="3"/>
      <c r="IR797" s="3"/>
      <c r="IS797" s="3"/>
      <c r="IT797" s="3"/>
      <c r="IU797" s="3"/>
      <c r="IV797" s="3"/>
      <c r="IW797" s="3"/>
      <c r="IX797" s="3"/>
      <c r="IY797" s="3"/>
      <c r="IZ797" s="3"/>
      <c r="JA797" s="3"/>
      <c r="JB797" s="3"/>
      <c r="JC797" s="3"/>
      <c r="JD797" s="3"/>
      <c r="JE797" s="3"/>
      <c r="JF797" s="3"/>
      <c r="JG797" s="3"/>
      <c r="JH797" s="3"/>
      <c r="JI797" s="3"/>
      <c r="JJ797" s="3"/>
      <c r="JK797" s="3"/>
      <c r="JL797" s="3"/>
      <c r="JM797" s="3"/>
      <c r="JN797" s="3"/>
      <c r="JO797" s="3"/>
      <c r="JP797" s="3"/>
      <c r="JQ797" s="3"/>
      <c r="JR797" s="3"/>
      <c r="JS797" s="3"/>
      <c r="JT797" s="3"/>
      <c r="JU797" s="3"/>
      <c r="JV797" s="3"/>
      <c r="JW797" s="3"/>
      <c r="JX797" s="3"/>
      <c r="JY797" s="3"/>
      <c r="JZ797" s="3"/>
      <c r="KA797" s="3"/>
      <c r="KB797" s="3"/>
      <c r="KC797" s="3"/>
      <c r="KD797" s="3"/>
      <c r="KE797" s="3"/>
      <c r="KF797" s="3"/>
      <c r="KG797" s="3"/>
      <c r="KH797" s="3"/>
      <c r="KI797" s="3"/>
      <c r="KJ797" s="3"/>
      <c r="KK797" s="3"/>
      <c r="KL797" s="3"/>
      <c r="KM797" s="3"/>
      <c r="KN797" s="3"/>
      <c r="KO797" s="3"/>
      <c r="KP797" s="3"/>
      <c r="KQ797" s="3"/>
      <c r="KR797" s="3"/>
      <c r="KS797" s="3"/>
      <c r="KT797" s="3"/>
      <c r="KU797" s="3"/>
      <c r="KV797" s="3"/>
      <c r="KW797" s="3"/>
      <c r="KX797" s="3"/>
      <c r="KY797" s="3"/>
      <c r="KZ797" s="3"/>
      <c r="LA797" s="3"/>
      <c r="LB797" s="3"/>
      <c r="LC797" s="3"/>
      <c r="LD797" s="3"/>
      <c r="LE797" s="3"/>
      <c r="LF797" s="3"/>
      <c r="LG797" s="3"/>
      <c r="LH797" s="3"/>
      <c r="LI797" s="3"/>
      <c r="LJ797" s="3"/>
      <c r="LK797" s="3"/>
      <c r="LL797" s="3"/>
      <c r="LM797" s="3"/>
      <c r="LN797" s="3"/>
      <c r="LO797" s="3"/>
      <c r="LP797" s="3"/>
      <c r="LQ797" s="3"/>
      <c r="LR797" s="3"/>
      <c r="LS797" s="3"/>
      <c r="LT797" s="3"/>
      <c r="LU797" s="3"/>
      <c r="LV797" s="3"/>
      <c r="LW797" s="3"/>
      <c r="LX797" s="3"/>
      <c r="LY797" s="3"/>
      <c r="LZ797" s="3"/>
      <c r="MA797" s="3"/>
      <c r="MB797" s="3"/>
      <c r="MC797" s="3"/>
      <c r="MD797" s="3"/>
      <c r="ME797" s="3"/>
      <c r="MF797" s="3"/>
      <c r="MG797" s="3"/>
      <c r="MH797" s="3"/>
      <c r="MI797" s="3"/>
    </row>
    <row r="798" spans="1:347"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c r="HX798" s="3"/>
      <c r="HY798" s="3"/>
      <c r="HZ798" s="3"/>
      <c r="IA798" s="3"/>
      <c r="IB798" s="3"/>
      <c r="IC798" s="3"/>
      <c r="ID798" s="3"/>
      <c r="IE798" s="3"/>
      <c r="IF798" s="3"/>
      <c r="IG798" s="3"/>
      <c r="IH798" s="3"/>
      <c r="II798" s="3"/>
      <c r="IJ798" s="3"/>
      <c r="IK798" s="3"/>
      <c r="IL798" s="3"/>
      <c r="IM798" s="3"/>
      <c r="IN798" s="3"/>
      <c r="IO798" s="3"/>
      <c r="IP798" s="3"/>
      <c r="IQ798" s="3"/>
      <c r="IR798" s="3"/>
      <c r="IS798" s="3"/>
      <c r="IT798" s="3"/>
      <c r="IU798" s="3"/>
      <c r="IV798" s="3"/>
      <c r="IW798" s="3"/>
      <c r="IX798" s="3"/>
      <c r="IY798" s="3"/>
      <c r="IZ798" s="3"/>
      <c r="JA798" s="3"/>
      <c r="JB798" s="3"/>
      <c r="JC798" s="3"/>
      <c r="JD798" s="3"/>
      <c r="JE798" s="3"/>
      <c r="JF798" s="3"/>
      <c r="JG798" s="3"/>
      <c r="JH798" s="3"/>
      <c r="JI798" s="3"/>
      <c r="JJ798" s="3"/>
      <c r="JK798" s="3"/>
      <c r="JL798" s="3"/>
      <c r="JM798" s="3"/>
      <c r="JN798" s="3"/>
      <c r="JO798" s="3"/>
      <c r="JP798" s="3"/>
      <c r="JQ798" s="3"/>
      <c r="JR798" s="3"/>
      <c r="JS798" s="3"/>
      <c r="JT798" s="3"/>
      <c r="JU798" s="3"/>
      <c r="JV798" s="3"/>
      <c r="JW798" s="3"/>
      <c r="JX798" s="3"/>
      <c r="JY798" s="3"/>
      <c r="JZ798" s="3"/>
      <c r="KA798" s="3"/>
      <c r="KB798" s="3"/>
      <c r="KC798" s="3"/>
      <c r="KD798" s="3"/>
      <c r="KE798" s="3"/>
      <c r="KF798" s="3"/>
      <c r="KG798" s="3"/>
      <c r="KH798" s="3"/>
      <c r="KI798" s="3"/>
      <c r="KJ798" s="3"/>
      <c r="KK798" s="3"/>
      <c r="KL798" s="3"/>
      <c r="KM798" s="3"/>
      <c r="KN798" s="3"/>
      <c r="KO798" s="3"/>
      <c r="KP798" s="3"/>
      <c r="KQ798" s="3"/>
      <c r="KR798" s="3"/>
      <c r="KS798" s="3"/>
      <c r="KT798" s="3"/>
      <c r="KU798" s="3"/>
      <c r="KV798" s="3"/>
      <c r="KW798" s="3"/>
      <c r="KX798" s="3"/>
      <c r="KY798" s="3"/>
      <c r="KZ798" s="3"/>
      <c r="LA798" s="3"/>
      <c r="LB798" s="3"/>
      <c r="LC798" s="3"/>
      <c r="LD798" s="3"/>
      <c r="LE798" s="3"/>
      <c r="LF798" s="3"/>
      <c r="LG798" s="3"/>
      <c r="LH798" s="3"/>
      <c r="LI798" s="3"/>
      <c r="LJ798" s="3"/>
      <c r="LK798" s="3"/>
      <c r="LL798" s="3"/>
      <c r="LM798" s="3"/>
      <c r="LN798" s="3"/>
      <c r="LO798" s="3"/>
      <c r="LP798" s="3"/>
      <c r="LQ798" s="3"/>
      <c r="LR798" s="3"/>
      <c r="LS798" s="3"/>
      <c r="LT798" s="3"/>
      <c r="LU798" s="3"/>
      <c r="LV798" s="3"/>
      <c r="LW798" s="3"/>
      <c r="LX798" s="3"/>
      <c r="LY798" s="3"/>
      <c r="LZ798" s="3"/>
      <c r="MA798" s="3"/>
      <c r="MB798" s="3"/>
      <c r="MC798" s="3"/>
      <c r="MD798" s="3"/>
      <c r="ME798" s="3"/>
      <c r="MF798" s="3"/>
      <c r="MG798" s="3"/>
      <c r="MH798" s="3"/>
      <c r="MI798" s="3"/>
    </row>
    <row r="799" spans="1:347"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c r="HX799" s="3"/>
      <c r="HY799" s="3"/>
      <c r="HZ799" s="3"/>
      <c r="IA799" s="3"/>
      <c r="IB799" s="3"/>
      <c r="IC799" s="3"/>
      <c r="ID799" s="3"/>
      <c r="IE799" s="3"/>
      <c r="IF799" s="3"/>
      <c r="IG799" s="3"/>
      <c r="IH799" s="3"/>
      <c r="II799" s="3"/>
      <c r="IJ799" s="3"/>
      <c r="IK799" s="3"/>
      <c r="IL799" s="3"/>
      <c r="IM799" s="3"/>
      <c r="IN799" s="3"/>
      <c r="IO799" s="3"/>
      <c r="IP799" s="3"/>
      <c r="IQ799" s="3"/>
      <c r="IR799" s="3"/>
      <c r="IS799" s="3"/>
      <c r="IT799" s="3"/>
      <c r="IU799" s="3"/>
      <c r="IV799" s="3"/>
      <c r="IW799" s="3"/>
      <c r="IX799" s="3"/>
      <c r="IY799" s="3"/>
      <c r="IZ799" s="3"/>
      <c r="JA799" s="3"/>
      <c r="JB799" s="3"/>
      <c r="JC799" s="3"/>
      <c r="JD799" s="3"/>
      <c r="JE799" s="3"/>
      <c r="JF799" s="3"/>
      <c r="JG799" s="3"/>
      <c r="JH799" s="3"/>
      <c r="JI799" s="3"/>
      <c r="JJ799" s="3"/>
      <c r="JK799" s="3"/>
      <c r="JL799" s="3"/>
      <c r="JM799" s="3"/>
      <c r="JN799" s="3"/>
      <c r="JO799" s="3"/>
      <c r="JP799" s="3"/>
      <c r="JQ799" s="3"/>
      <c r="JR799" s="3"/>
      <c r="JS799" s="3"/>
      <c r="JT799" s="3"/>
      <c r="JU799" s="3"/>
      <c r="JV799" s="3"/>
      <c r="JW799" s="3"/>
      <c r="JX799" s="3"/>
      <c r="JY799" s="3"/>
      <c r="JZ799" s="3"/>
      <c r="KA799" s="3"/>
      <c r="KB799" s="3"/>
      <c r="KC799" s="3"/>
      <c r="KD799" s="3"/>
      <c r="KE799" s="3"/>
      <c r="KF799" s="3"/>
      <c r="KG799" s="3"/>
      <c r="KH799" s="3"/>
      <c r="KI799" s="3"/>
      <c r="KJ799" s="3"/>
      <c r="KK799" s="3"/>
      <c r="KL799" s="3"/>
      <c r="KM799" s="3"/>
      <c r="KN799" s="3"/>
      <c r="KO799" s="3"/>
      <c r="KP799" s="3"/>
      <c r="KQ799" s="3"/>
      <c r="KR799" s="3"/>
      <c r="KS799" s="3"/>
      <c r="KT799" s="3"/>
      <c r="KU799" s="3"/>
      <c r="KV799" s="3"/>
      <c r="KW799" s="3"/>
      <c r="KX799" s="3"/>
      <c r="KY799" s="3"/>
      <c r="KZ799" s="3"/>
      <c r="LA799" s="3"/>
      <c r="LB799" s="3"/>
      <c r="LC799" s="3"/>
      <c r="LD799" s="3"/>
      <c r="LE799" s="3"/>
      <c r="LF799" s="3"/>
      <c r="LG799" s="3"/>
      <c r="LH799" s="3"/>
      <c r="LI799" s="3"/>
      <c r="LJ799" s="3"/>
      <c r="LK799" s="3"/>
      <c r="LL799" s="3"/>
      <c r="LM799" s="3"/>
      <c r="LN799" s="3"/>
      <c r="LO799" s="3"/>
      <c r="LP799" s="3"/>
      <c r="LQ799" s="3"/>
      <c r="LR799" s="3"/>
      <c r="LS799" s="3"/>
      <c r="LT799" s="3"/>
      <c r="LU799" s="3"/>
      <c r="LV799" s="3"/>
      <c r="LW799" s="3"/>
      <c r="LX799" s="3"/>
      <c r="LY799" s="3"/>
      <c r="LZ799" s="3"/>
      <c r="MA799" s="3"/>
      <c r="MB799" s="3"/>
      <c r="MC799" s="3"/>
      <c r="MD799" s="3"/>
      <c r="ME799" s="3"/>
      <c r="MF799" s="3"/>
      <c r="MG799" s="3"/>
      <c r="MH799" s="3"/>
      <c r="MI799" s="3"/>
    </row>
    <row r="800" spans="1:347"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c r="HX800" s="3"/>
      <c r="HY800" s="3"/>
      <c r="HZ800" s="3"/>
      <c r="IA800" s="3"/>
      <c r="IB800" s="3"/>
      <c r="IC800" s="3"/>
      <c r="ID800" s="3"/>
      <c r="IE800" s="3"/>
      <c r="IF800" s="3"/>
      <c r="IG800" s="3"/>
      <c r="IH800" s="3"/>
      <c r="II800" s="3"/>
      <c r="IJ800" s="3"/>
      <c r="IK800" s="3"/>
      <c r="IL800" s="3"/>
      <c r="IM800" s="3"/>
      <c r="IN800" s="3"/>
      <c r="IO800" s="3"/>
      <c r="IP800" s="3"/>
      <c r="IQ800" s="3"/>
      <c r="IR800" s="3"/>
      <c r="IS800" s="3"/>
      <c r="IT800" s="3"/>
      <c r="IU800" s="3"/>
      <c r="IV800" s="3"/>
      <c r="IW800" s="3"/>
      <c r="IX800" s="3"/>
      <c r="IY800" s="3"/>
      <c r="IZ800" s="3"/>
      <c r="JA800" s="3"/>
      <c r="JB800" s="3"/>
      <c r="JC800" s="3"/>
      <c r="JD800" s="3"/>
      <c r="JE800" s="3"/>
      <c r="JF800" s="3"/>
      <c r="JG800" s="3"/>
      <c r="JH800" s="3"/>
      <c r="JI800" s="3"/>
      <c r="JJ800" s="3"/>
      <c r="JK800" s="3"/>
      <c r="JL800" s="3"/>
      <c r="JM800" s="3"/>
      <c r="JN800" s="3"/>
      <c r="JO800" s="3"/>
      <c r="JP800" s="3"/>
      <c r="JQ800" s="3"/>
      <c r="JR800" s="3"/>
      <c r="JS800" s="3"/>
      <c r="JT800" s="3"/>
      <c r="JU800" s="3"/>
      <c r="JV800" s="3"/>
      <c r="JW800" s="3"/>
      <c r="JX800" s="3"/>
      <c r="JY800" s="3"/>
      <c r="JZ800" s="3"/>
      <c r="KA800" s="3"/>
      <c r="KB800" s="3"/>
      <c r="KC800" s="3"/>
      <c r="KD800" s="3"/>
      <c r="KE800" s="3"/>
      <c r="KF800" s="3"/>
      <c r="KG800" s="3"/>
      <c r="KH800" s="3"/>
      <c r="KI800" s="3"/>
      <c r="KJ800" s="3"/>
      <c r="KK800" s="3"/>
      <c r="KL800" s="3"/>
      <c r="KM800" s="3"/>
      <c r="KN800" s="3"/>
      <c r="KO800" s="3"/>
      <c r="KP800" s="3"/>
      <c r="KQ800" s="3"/>
      <c r="KR800" s="3"/>
      <c r="KS800" s="3"/>
      <c r="KT800" s="3"/>
      <c r="KU800" s="3"/>
      <c r="KV800" s="3"/>
      <c r="KW800" s="3"/>
      <c r="KX800" s="3"/>
      <c r="KY800" s="3"/>
      <c r="KZ800" s="3"/>
      <c r="LA800" s="3"/>
      <c r="LB800" s="3"/>
      <c r="LC800" s="3"/>
      <c r="LD800" s="3"/>
      <c r="LE800" s="3"/>
      <c r="LF800" s="3"/>
      <c r="LG800" s="3"/>
      <c r="LH800" s="3"/>
      <c r="LI800" s="3"/>
      <c r="LJ800" s="3"/>
      <c r="LK800" s="3"/>
      <c r="LL800" s="3"/>
      <c r="LM800" s="3"/>
      <c r="LN800" s="3"/>
      <c r="LO800" s="3"/>
      <c r="LP800" s="3"/>
      <c r="LQ800" s="3"/>
      <c r="LR800" s="3"/>
      <c r="LS800" s="3"/>
      <c r="LT800" s="3"/>
      <c r="LU800" s="3"/>
      <c r="LV800" s="3"/>
      <c r="LW800" s="3"/>
      <c r="LX800" s="3"/>
      <c r="LY800" s="3"/>
      <c r="LZ800" s="3"/>
      <c r="MA800" s="3"/>
      <c r="MB800" s="3"/>
      <c r="MC800" s="3"/>
      <c r="MD800" s="3"/>
      <c r="ME800" s="3"/>
      <c r="MF800" s="3"/>
      <c r="MG800" s="3"/>
      <c r="MH800" s="3"/>
      <c r="MI800" s="3"/>
    </row>
    <row r="801" spans="1:347"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c r="HX801" s="3"/>
      <c r="HY801" s="3"/>
      <c r="HZ801" s="3"/>
      <c r="IA801" s="3"/>
      <c r="IB801" s="3"/>
      <c r="IC801" s="3"/>
      <c r="ID801" s="3"/>
      <c r="IE801" s="3"/>
      <c r="IF801" s="3"/>
      <c r="IG801" s="3"/>
      <c r="IH801" s="3"/>
      <c r="II801" s="3"/>
      <c r="IJ801" s="3"/>
      <c r="IK801" s="3"/>
      <c r="IL801" s="3"/>
      <c r="IM801" s="3"/>
      <c r="IN801" s="3"/>
      <c r="IO801" s="3"/>
      <c r="IP801" s="3"/>
      <c r="IQ801" s="3"/>
      <c r="IR801" s="3"/>
      <c r="IS801" s="3"/>
      <c r="IT801" s="3"/>
      <c r="IU801" s="3"/>
      <c r="IV801" s="3"/>
      <c r="IW801" s="3"/>
      <c r="IX801" s="3"/>
      <c r="IY801" s="3"/>
      <c r="IZ801" s="3"/>
      <c r="JA801" s="3"/>
      <c r="JB801" s="3"/>
      <c r="JC801" s="3"/>
      <c r="JD801" s="3"/>
      <c r="JE801" s="3"/>
      <c r="JF801" s="3"/>
      <c r="JG801" s="3"/>
      <c r="JH801" s="3"/>
      <c r="JI801" s="3"/>
      <c r="JJ801" s="3"/>
      <c r="JK801" s="3"/>
      <c r="JL801" s="3"/>
      <c r="JM801" s="3"/>
      <c r="JN801" s="3"/>
      <c r="JO801" s="3"/>
      <c r="JP801" s="3"/>
      <c r="JQ801" s="3"/>
      <c r="JR801" s="3"/>
      <c r="JS801" s="3"/>
      <c r="JT801" s="3"/>
      <c r="JU801" s="3"/>
      <c r="JV801" s="3"/>
      <c r="JW801" s="3"/>
      <c r="JX801" s="3"/>
      <c r="JY801" s="3"/>
      <c r="JZ801" s="3"/>
      <c r="KA801" s="3"/>
      <c r="KB801" s="3"/>
      <c r="KC801" s="3"/>
      <c r="KD801" s="3"/>
      <c r="KE801" s="3"/>
      <c r="KF801" s="3"/>
      <c r="KG801" s="3"/>
      <c r="KH801" s="3"/>
      <c r="KI801" s="3"/>
      <c r="KJ801" s="3"/>
      <c r="KK801" s="3"/>
      <c r="KL801" s="3"/>
      <c r="KM801" s="3"/>
      <c r="KN801" s="3"/>
      <c r="KO801" s="3"/>
      <c r="KP801" s="3"/>
      <c r="KQ801" s="3"/>
      <c r="KR801" s="3"/>
      <c r="KS801" s="3"/>
      <c r="KT801" s="3"/>
      <c r="KU801" s="3"/>
      <c r="KV801" s="3"/>
      <c r="KW801" s="3"/>
      <c r="KX801" s="3"/>
      <c r="KY801" s="3"/>
      <c r="KZ801" s="3"/>
      <c r="LA801" s="3"/>
      <c r="LB801" s="3"/>
      <c r="LC801" s="3"/>
      <c r="LD801" s="3"/>
      <c r="LE801" s="3"/>
      <c r="LF801" s="3"/>
      <c r="LG801" s="3"/>
      <c r="LH801" s="3"/>
      <c r="LI801" s="3"/>
      <c r="LJ801" s="3"/>
      <c r="LK801" s="3"/>
      <c r="LL801" s="3"/>
      <c r="LM801" s="3"/>
      <c r="LN801" s="3"/>
      <c r="LO801" s="3"/>
      <c r="LP801" s="3"/>
      <c r="LQ801" s="3"/>
      <c r="LR801" s="3"/>
      <c r="LS801" s="3"/>
      <c r="LT801" s="3"/>
      <c r="LU801" s="3"/>
      <c r="LV801" s="3"/>
      <c r="LW801" s="3"/>
      <c r="LX801" s="3"/>
      <c r="LY801" s="3"/>
      <c r="LZ801" s="3"/>
      <c r="MA801" s="3"/>
      <c r="MB801" s="3"/>
      <c r="MC801" s="3"/>
      <c r="MD801" s="3"/>
      <c r="ME801" s="3"/>
      <c r="MF801" s="3"/>
      <c r="MG801" s="3"/>
      <c r="MH801" s="3"/>
      <c r="MI801" s="3"/>
    </row>
    <row r="802" spans="1:347"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c r="HX802" s="3"/>
      <c r="HY802" s="3"/>
      <c r="HZ802" s="3"/>
      <c r="IA802" s="3"/>
      <c r="IB802" s="3"/>
      <c r="IC802" s="3"/>
      <c r="ID802" s="3"/>
      <c r="IE802" s="3"/>
      <c r="IF802" s="3"/>
      <c r="IG802" s="3"/>
      <c r="IH802" s="3"/>
      <c r="II802" s="3"/>
      <c r="IJ802" s="3"/>
      <c r="IK802" s="3"/>
      <c r="IL802" s="3"/>
      <c r="IM802" s="3"/>
      <c r="IN802" s="3"/>
      <c r="IO802" s="3"/>
      <c r="IP802" s="3"/>
      <c r="IQ802" s="3"/>
      <c r="IR802" s="3"/>
      <c r="IS802" s="3"/>
      <c r="IT802" s="3"/>
      <c r="IU802" s="3"/>
      <c r="IV802" s="3"/>
      <c r="IW802" s="3"/>
      <c r="IX802" s="3"/>
      <c r="IY802" s="3"/>
      <c r="IZ802" s="3"/>
      <c r="JA802" s="3"/>
      <c r="JB802" s="3"/>
      <c r="JC802" s="3"/>
      <c r="JD802" s="3"/>
      <c r="JE802" s="3"/>
      <c r="JF802" s="3"/>
      <c r="JG802" s="3"/>
      <c r="JH802" s="3"/>
      <c r="JI802" s="3"/>
      <c r="JJ802" s="3"/>
      <c r="JK802" s="3"/>
      <c r="JL802" s="3"/>
      <c r="JM802" s="3"/>
      <c r="JN802" s="3"/>
      <c r="JO802" s="3"/>
      <c r="JP802" s="3"/>
      <c r="JQ802" s="3"/>
      <c r="JR802" s="3"/>
      <c r="JS802" s="3"/>
      <c r="JT802" s="3"/>
      <c r="JU802" s="3"/>
      <c r="JV802" s="3"/>
      <c r="JW802" s="3"/>
      <c r="JX802" s="3"/>
      <c r="JY802" s="3"/>
      <c r="JZ802" s="3"/>
      <c r="KA802" s="3"/>
      <c r="KB802" s="3"/>
      <c r="KC802" s="3"/>
      <c r="KD802" s="3"/>
      <c r="KE802" s="3"/>
      <c r="KF802" s="3"/>
      <c r="KG802" s="3"/>
      <c r="KH802" s="3"/>
      <c r="KI802" s="3"/>
      <c r="KJ802" s="3"/>
      <c r="KK802" s="3"/>
      <c r="KL802" s="3"/>
      <c r="KM802" s="3"/>
      <c r="KN802" s="3"/>
      <c r="KO802" s="3"/>
      <c r="KP802" s="3"/>
      <c r="KQ802" s="3"/>
      <c r="KR802" s="3"/>
      <c r="KS802" s="3"/>
      <c r="KT802" s="3"/>
      <c r="KU802" s="3"/>
      <c r="KV802" s="3"/>
      <c r="KW802" s="3"/>
      <c r="KX802" s="3"/>
      <c r="KY802" s="3"/>
      <c r="KZ802" s="3"/>
      <c r="LA802" s="3"/>
      <c r="LB802" s="3"/>
      <c r="LC802" s="3"/>
      <c r="LD802" s="3"/>
      <c r="LE802" s="3"/>
      <c r="LF802" s="3"/>
      <c r="LG802" s="3"/>
      <c r="LH802" s="3"/>
      <c r="LI802" s="3"/>
      <c r="LJ802" s="3"/>
      <c r="LK802" s="3"/>
      <c r="LL802" s="3"/>
      <c r="LM802" s="3"/>
      <c r="LN802" s="3"/>
      <c r="LO802" s="3"/>
      <c r="LP802" s="3"/>
      <c r="LQ802" s="3"/>
      <c r="LR802" s="3"/>
      <c r="LS802" s="3"/>
      <c r="LT802" s="3"/>
      <c r="LU802" s="3"/>
      <c r="LV802" s="3"/>
      <c r="LW802" s="3"/>
      <c r="LX802" s="3"/>
      <c r="LY802" s="3"/>
      <c r="LZ802" s="3"/>
      <c r="MA802" s="3"/>
      <c r="MB802" s="3"/>
      <c r="MC802" s="3"/>
      <c r="MD802" s="3"/>
      <c r="ME802" s="3"/>
      <c r="MF802" s="3"/>
      <c r="MG802" s="3"/>
      <c r="MH802" s="3"/>
      <c r="MI802" s="3"/>
    </row>
    <row r="803" spans="1:347"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c r="HX803" s="3"/>
      <c r="HY803" s="3"/>
      <c r="HZ803" s="3"/>
      <c r="IA803" s="3"/>
      <c r="IB803" s="3"/>
      <c r="IC803" s="3"/>
      <c r="ID803" s="3"/>
      <c r="IE803" s="3"/>
      <c r="IF803" s="3"/>
      <c r="IG803" s="3"/>
      <c r="IH803" s="3"/>
      <c r="II803" s="3"/>
      <c r="IJ803" s="3"/>
      <c r="IK803" s="3"/>
      <c r="IL803" s="3"/>
      <c r="IM803" s="3"/>
      <c r="IN803" s="3"/>
      <c r="IO803" s="3"/>
      <c r="IP803" s="3"/>
      <c r="IQ803" s="3"/>
      <c r="IR803" s="3"/>
      <c r="IS803" s="3"/>
      <c r="IT803" s="3"/>
      <c r="IU803" s="3"/>
      <c r="IV803" s="3"/>
      <c r="IW803" s="3"/>
      <c r="IX803" s="3"/>
      <c r="IY803" s="3"/>
      <c r="IZ803" s="3"/>
      <c r="JA803" s="3"/>
      <c r="JB803" s="3"/>
      <c r="JC803" s="3"/>
      <c r="JD803" s="3"/>
      <c r="JE803" s="3"/>
      <c r="JF803" s="3"/>
      <c r="JG803" s="3"/>
      <c r="JH803" s="3"/>
      <c r="JI803" s="3"/>
      <c r="JJ803" s="3"/>
      <c r="JK803" s="3"/>
      <c r="JL803" s="3"/>
      <c r="JM803" s="3"/>
      <c r="JN803" s="3"/>
      <c r="JO803" s="3"/>
      <c r="JP803" s="3"/>
      <c r="JQ803" s="3"/>
      <c r="JR803" s="3"/>
      <c r="JS803" s="3"/>
      <c r="JT803" s="3"/>
      <c r="JU803" s="3"/>
      <c r="JV803" s="3"/>
      <c r="JW803" s="3"/>
      <c r="JX803" s="3"/>
      <c r="JY803" s="3"/>
      <c r="JZ803" s="3"/>
      <c r="KA803" s="3"/>
      <c r="KB803" s="3"/>
      <c r="KC803" s="3"/>
      <c r="KD803" s="3"/>
      <c r="KE803" s="3"/>
      <c r="KF803" s="3"/>
      <c r="KG803" s="3"/>
      <c r="KH803" s="3"/>
      <c r="KI803" s="3"/>
      <c r="KJ803" s="3"/>
      <c r="KK803" s="3"/>
      <c r="KL803" s="3"/>
      <c r="KM803" s="3"/>
      <c r="KN803" s="3"/>
      <c r="KO803" s="3"/>
      <c r="KP803" s="3"/>
      <c r="KQ803" s="3"/>
      <c r="KR803" s="3"/>
      <c r="KS803" s="3"/>
      <c r="KT803" s="3"/>
      <c r="KU803" s="3"/>
      <c r="KV803" s="3"/>
      <c r="KW803" s="3"/>
      <c r="KX803" s="3"/>
      <c r="KY803" s="3"/>
      <c r="KZ803" s="3"/>
      <c r="LA803" s="3"/>
      <c r="LB803" s="3"/>
      <c r="LC803" s="3"/>
      <c r="LD803" s="3"/>
      <c r="LE803" s="3"/>
      <c r="LF803" s="3"/>
      <c r="LG803" s="3"/>
      <c r="LH803" s="3"/>
      <c r="LI803" s="3"/>
      <c r="LJ803" s="3"/>
      <c r="LK803" s="3"/>
      <c r="LL803" s="3"/>
      <c r="LM803" s="3"/>
      <c r="LN803" s="3"/>
      <c r="LO803" s="3"/>
      <c r="LP803" s="3"/>
      <c r="LQ803" s="3"/>
      <c r="LR803" s="3"/>
      <c r="LS803" s="3"/>
      <c r="LT803" s="3"/>
      <c r="LU803" s="3"/>
      <c r="LV803" s="3"/>
      <c r="LW803" s="3"/>
      <c r="LX803" s="3"/>
      <c r="LY803" s="3"/>
      <c r="LZ803" s="3"/>
      <c r="MA803" s="3"/>
      <c r="MB803" s="3"/>
      <c r="MC803" s="3"/>
      <c r="MD803" s="3"/>
      <c r="ME803" s="3"/>
      <c r="MF803" s="3"/>
      <c r="MG803" s="3"/>
      <c r="MH803" s="3"/>
      <c r="MI803" s="3"/>
    </row>
    <row r="804" spans="1:347"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c r="HX804" s="3"/>
      <c r="HY804" s="3"/>
      <c r="HZ804" s="3"/>
      <c r="IA804" s="3"/>
      <c r="IB804" s="3"/>
      <c r="IC804" s="3"/>
      <c r="ID804" s="3"/>
      <c r="IE804" s="3"/>
      <c r="IF804" s="3"/>
      <c r="IG804" s="3"/>
      <c r="IH804" s="3"/>
      <c r="II804" s="3"/>
      <c r="IJ804" s="3"/>
      <c r="IK804" s="3"/>
      <c r="IL804" s="3"/>
      <c r="IM804" s="3"/>
      <c r="IN804" s="3"/>
      <c r="IO804" s="3"/>
      <c r="IP804" s="3"/>
      <c r="IQ804" s="3"/>
      <c r="IR804" s="3"/>
      <c r="IS804" s="3"/>
      <c r="IT804" s="3"/>
      <c r="IU804" s="3"/>
      <c r="IV804" s="3"/>
      <c r="IW804" s="3"/>
      <c r="IX804" s="3"/>
      <c r="IY804" s="3"/>
      <c r="IZ804" s="3"/>
      <c r="JA804" s="3"/>
      <c r="JB804" s="3"/>
      <c r="JC804" s="3"/>
      <c r="JD804" s="3"/>
      <c r="JE804" s="3"/>
      <c r="JF804" s="3"/>
      <c r="JG804" s="3"/>
      <c r="JH804" s="3"/>
      <c r="JI804" s="3"/>
      <c r="JJ804" s="3"/>
      <c r="JK804" s="3"/>
      <c r="JL804" s="3"/>
      <c r="JM804" s="3"/>
      <c r="JN804" s="3"/>
      <c r="JO804" s="3"/>
      <c r="JP804" s="3"/>
      <c r="JQ804" s="3"/>
      <c r="JR804" s="3"/>
      <c r="JS804" s="3"/>
      <c r="JT804" s="3"/>
      <c r="JU804" s="3"/>
      <c r="JV804" s="3"/>
      <c r="JW804" s="3"/>
      <c r="JX804" s="3"/>
      <c r="JY804" s="3"/>
      <c r="JZ804" s="3"/>
      <c r="KA804" s="3"/>
      <c r="KB804" s="3"/>
      <c r="KC804" s="3"/>
      <c r="KD804" s="3"/>
      <c r="KE804" s="3"/>
      <c r="KF804" s="3"/>
      <c r="KG804" s="3"/>
      <c r="KH804" s="3"/>
      <c r="KI804" s="3"/>
      <c r="KJ804" s="3"/>
      <c r="KK804" s="3"/>
      <c r="KL804" s="3"/>
      <c r="KM804" s="3"/>
      <c r="KN804" s="3"/>
      <c r="KO804" s="3"/>
      <c r="KP804" s="3"/>
      <c r="KQ804" s="3"/>
      <c r="KR804" s="3"/>
      <c r="KS804" s="3"/>
      <c r="KT804" s="3"/>
      <c r="KU804" s="3"/>
      <c r="KV804" s="3"/>
      <c r="KW804" s="3"/>
      <c r="KX804" s="3"/>
      <c r="KY804" s="3"/>
      <c r="KZ804" s="3"/>
      <c r="LA804" s="3"/>
      <c r="LB804" s="3"/>
      <c r="LC804" s="3"/>
      <c r="LD804" s="3"/>
      <c r="LE804" s="3"/>
      <c r="LF804" s="3"/>
      <c r="LG804" s="3"/>
      <c r="LH804" s="3"/>
      <c r="LI804" s="3"/>
      <c r="LJ804" s="3"/>
      <c r="LK804" s="3"/>
      <c r="LL804" s="3"/>
      <c r="LM804" s="3"/>
      <c r="LN804" s="3"/>
      <c r="LO804" s="3"/>
      <c r="LP804" s="3"/>
      <c r="LQ804" s="3"/>
      <c r="LR804" s="3"/>
      <c r="LS804" s="3"/>
      <c r="LT804" s="3"/>
      <c r="LU804" s="3"/>
      <c r="LV804" s="3"/>
      <c r="LW804" s="3"/>
      <c r="LX804" s="3"/>
      <c r="LY804" s="3"/>
      <c r="LZ804" s="3"/>
      <c r="MA804" s="3"/>
      <c r="MB804" s="3"/>
      <c r="MC804" s="3"/>
      <c r="MD804" s="3"/>
      <c r="ME804" s="3"/>
      <c r="MF804" s="3"/>
      <c r="MG804" s="3"/>
      <c r="MH804" s="3"/>
      <c r="MI804" s="3"/>
    </row>
    <row r="805" spans="1:347"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c r="HX805" s="3"/>
      <c r="HY805" s="3"/>
      <c r="HZ805" s="3"/>
      <c r="IA805" s="3"/>
      <c r="IB805" s="3"/>
      <c r="IC805" s="3"/>
      <c r="ID805" s="3"/>
      <c r="IE805" s="3"/>
      <c r="IF805" s="3"/>
      <c r="IG805" s="3"/>
      <c r="IH805" s="3"/>
      <c r="II805" s="3"/>
      <c r="IJ805" s="3"/>
      <c r="IK805" s="3"/>
      <c r="IL805" s="3"/>
      <c r="IM805" s="3"/>
      <c r="IN805" s="3"/>
      <c r="IO805" s="3"/>
      <c r="IP805" s="3"/>
      <c r="IQ805" s="3"/>
      <c r="IR805" s="3"/>
      <c r="IS805" s="3"/>
      <c r="IT805" s="3"/>
      <c r="IU805" s="3"/>
      <c r="IV805" s="3"/>
      <c r="IW805" s="3"/>
      <c r="IX805" s="3"/>
      <c r="IY805" s="3"/>
      <c r="IZ805" s="3"/>
      <c r="JA805" s="3"/>
      <c r="JB805" s="3"/>
      <c r="JC805" s="3"/>
      <c r="JD805" s="3"/>
      <c r="JE805" s="3"/>
      <c r="JF805" s="3"/>
      <c r="JG805" s="3"/>
      <c r="JH805" s="3"/>
      <c r="JI805" s="3"/>
      <c r="JJ805" s="3"/>
      <c r="JK805" s="3"/>
      <c r="JL805" s="3"/>
      <c r="JM805" s="3"/>
      <c r="JN805" s="3"/>
      <c r="JO805" s="3"/>
      <c r="JP805" s="3"/>
      <c r="JQ805" s="3"/>
      <c r="JR805" s="3"/>
      <c r="JS805" s="3"/>
      <c r="JT805" s="3"/>
      <c r="JU805" s="3"/>
      <c r="JV805" s="3"/>
      <c r="JW805" s="3"/>
      <c r="JX805" s="3"/>
      <c r="JY805" s="3"/>
      <c r="JZ805" s="3"/>
      <c r="KA805" s="3"/>
      <c r="KB805" s="3"/>
      <c r="KC805" s="3"/>
      <c r="KD805" s="3"/>
      <c r="KE805" s="3"/>
      <c r="KF805" s="3"/>
      <c r="KG805" s="3"/>
      <c r="KH805" s="3"/>
      <c r="KI805" s="3"/>
      <c r="KJ805" s="3"/>
      <c r="KK805" s="3"/>
      <c r="KL805" s="3"/>
      <c r="KM805" s="3"/>
      <c r="KN805" s="3"/>
      <c r="KO805" s="3"/>
      <c r="KP805" s="3"/>
      <c r="KQ805" s="3"/>
      <c r="KR805" s="3"/>
      <c r="KS805" s="3"/>
      <c r="KT805" s="3"/>
      <c r="KU805" s="3"/>
      <c r="KV805" s="3"/>
      <c r="KW805" s="3"/>
      <c r="KX805" s="3"/>
      <c r="KY805" s="3"/>
      <c r="KZ805" s="3"/>
      <c r="LA805" s="3"/>
      <c r="LB805" s="3"/>
      <c r="LC805" s="3"/>
      <c r="LD805" s="3"/>
      <c r="LE805" s="3"/>
      <c r="LF805" s="3"/>
      <c r="LG805" s="3"/>
      <c r="LH805" s="3"/>
      <c r="LI805" s="3"/>
      <c r="LJ805" s="3"/>
      <c r="LK805" s="3"/>
      <c r="LL805" s="3"/>
      <c r="LM805" s="3"/>
      <c r="LN805" s="3"/>
      <c r="LO805" s="3"/>
      <c r="LP805" s="3"/>
      <c r="LQ805" s="3"/>
      <c r="LR805" s="3"/>
      <c r="LS805" s="3"/>
      <c r="LT805" s="3"/>
      <c r="LU805" s="3"/>
      <c r="LV805" s="3"/>
      <c r="LW805" s="3"/>
      <c r="LX805" s="3"/>
      <c r="LY805" s="3"/>
      <c r="LZ805" s="3"/>
      <c r="MA805" s="3"/>
      <c r="MB805" s="3"/>
      <c r="MC805" s="3"/>
      <c r="MD805" s="3"/>
      <c r="ME805" s="3"/>
      <c r="MF805" s="3"/>
      <c r="MG805" s="3"/>
      <c r="MH805" s="3"/>
      <c r="MI805" s="3"/>
    </row>
    <row r="806" spans="1:347"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c r="HX806" s="3"/>
      <c r="HY806" s="3"/>
      <c r="HZ806" s="3"/>
      <c r="IA806" s="3"/>
      <c r="IB806" s="3"/>
      <c r="IC806" s="3"/>
      <c r="ID806" s="3"/>
      <c r="IE806" s="3"/>
      <c r="IF806" s="3"/>
      <c r="IG806" s="3"/>
      <c r="IH806" s="3"/>
      <c r="II806" s="3"/>
      <c r="IJ806" s="3"/>
      <c r="IK806" s="3"/>
      <c r="IL806" s="3"/>
      <c r="IM806" s="3"/>
      <c r="IN806" s="3"/>
      <c r="IO806" s="3"/>
      <c r="IP806" s="3"/>
      <c r="IQ806" s="3"/>
      <c r="IR806" s="3"/>
      <c r="IS806" s="3"/>
      <c r="IT806" s="3"/>
      <c r="IU806" s="3"/>
      <c r="IV806" s="3"/>
      <c r="IW806" s="3"/>
      <c r="IX806" s="3"/>
      <c r="IY806" s="3"/>
      <c r="IZ806" s="3"/>
      <c r="JA806" s="3"/>
      <c r="JB806" s="3"/>
      <c r="JC806" s="3"/>
      <c r="JD806" s="3"/>
      <c r="JE806" s="3"/>
      <c r="JF806" s="3"/>
      <c r="JG806" s="3"/>
      <c r="JH806" s="3"/>
      <c r="JI806" s="3"/>
      <c r="JJ806" s="3"/>
      <c r="JK806" s="3"/>
      <c r="JL806" s="3"/>
      <c r="JM806" s="3"/>
      <c r="JN806" s="3"/>
      <c r="JO806" s="3"/>
      <c r="JP806" s="3"/>
      <c r="JQ806" s="3"/>
      <c r="JR806" s="3"/>
      <c r="JS806" s="3"/>
      <c r="JT806" s="3"/>
      <c r="JU806" s="3"/>
      <c r="JV806" s="3"/>
      <c r="JW806" s="3"/>
      <c r="JX806" s="3"/>
      <c r="JY806" s="3"/>
      <c r="JZ806" s="3"/>
      <c r="KA806" s="3"/>
      <c r="KB806" s="3"/>
      <c r="KC806" s="3"/>
      <c r="KD806" s="3"/>
      <c r="KE806" s="3"/>
      <c r="KF806" s="3"/>
      <c r="KG806" s="3"/>
      <c r="KH806" s="3"/>
      <c r="KI806" s="3"/>
      <c r="KJ806" s="3"/>
      <c r="KK806" s="3"/>
      <c r="KL806" s="3"/>
      <c r="KM806" s="3"/>
      <c r="KN806" s="3"/>
      <c r="KO806" s="3"/>
      <c r="KP806" s="3"/>
      <c r="KQ806" s="3"/>
      <c r="KR806" s="3"/>
      <c r="KS806" s="3"/>
      <c r="KT806" s="3"/>
      <c r="KU806" s="3"/>
      <c r="KV806" s="3"/>
      <c r="KW806" s="3"/>
      <c r="KX806" s="3"/>
      <c r="KY806" s="3"/>
      <c r="KZ806" s="3"/>
      <c r="LA806" s="3"/>
      <c r="LB806" s="3"/>
      <c r="LC806" s="3"/>
      <c r="LD806" s="3"/>
      <c r="LE806" s="3"/>
      <c r="LF806" s="3"/>
      <c r="LG806" s="3"/>
      <c r="LH806" s="3"/>
      <c r="LI806" s="3"/>
      <c r="LJ806" s="3"/>
      <c r="LK806" s="3"/>
      <c r="LL806" s="3"/>
      <c r="LM806" s="3"/>
      <c r="LN806" s="3"/>
      <c r="LO806" s="3"/>
      <c r="LP806" s="3"/>
      <c r="LQ806" s="3"/>
      <c r="LR806" s="3"/>
      <c r="LS806" s="3"/>
      <c r="LT806" s="3"/>
      <c r="LU806" s="3"/>
      <c r="LV806" s="3"/>
      <c r="LW806" s="3"/>
      <c r="LX806" s="3"/>
      <c r="LY806" s="3"/>
      <c r="LZ806" s="3"/>
      <c r="MA806" s="3"/>
      <c r="MB806" s="3"/>
      <c r="MC806" s="3"/>
      <c r="MD806" s="3"/>
      <c r="ME806" s="3"/>
      <c r="MF806" s="3"/>
      <c r="MG806" s="3"/>
      <c r="MH806" s="3"/>
      <c r="MI806" s="3"/>
    </row>
    <row r="807" spans="1:347"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c r="HX807" s="3"/>
      <c r="HY807" s="3"/>
      <c r="HZ807" s="3"/>
      <c r="IA807" s="3"/>
      <c r="IB807" s="3"/>
      <c r="IC807" s="3"/>
      <c r="ID807" s="3"/>
      <c r="IE807" s="3"/>
      <c r="IF807" s="3"/>
      <c r="IG807" s="3"/>
      <c r="IH807" s="3"/>
      <c r="II807" s="3"/>
      <c r="IJ807" s="3"/>
      <c r="IK807" s="3"/>
      <c r="IL807" s="3"/>
      <c r="IM807" s="3"/>
      <c r="IN807" s="3"/>
      <c r="IO807" s="3"/>
      <c r="IP807" s="3"/>
      <c r="IQ807" s="3"/>
      <c r="IR807" s="3"/>
      <c r="IS807" s="3"/>
      <c r="IT807" s="3"/>
      <c r="IU807" s="3"/>
      <c r="IV807" s="3"/>
      <c r="IW807" s="3"/>
      <c r="IX807" s="3"/>
      <c r="IY807" s="3"/>
      <c r="IZ807" s="3"/>
      <c r="JA807" s="3"/>
      <c r="JB807" s="3"/>
      <c r="JC807" s="3"/>
      <c r="JD807" s="3"/>
      <c r="JE807" s="3"/>
      <c r="JF807" s="3"/>
      <c r="JG807" s="3"/>
      <c r="JH807" s="3"/>
      <c r="JI807" s="3"/>
      <c r="JJ807" s="3"/>
      <c r="JK807" s="3"/>
      <c r="JL807" s="3"/>
      <c r="JM807" s="3"/>
      <c r="JN807" s="3"/>
      <c r="JO807" s="3"/>
      <c r="JP807" s="3"/>
      <c r="JQ807" s="3"/>
      <c r="JR807" s="3"/>
      <c r="JS807" s="3"/>
      <c r="JT807" s="3"/>
      <c r="JU807" s="3"/>
      <c r="JV807" s="3"/>
      <c r="JW807" s="3"/>
      <c r="JX807" s="3"/>
      <c r="JY807" s="3"/>
      <c r="JZ807" s="3"/>
      <c r="KA807" s="3"/>
      <c r="KB807" s="3"/>
      <c r="KC807" s="3"/>
      <c r="KD807" s="3"/>
      <c r="KE807" s="3"/>
      <c r="KF807" s="3"/>
      <c r="KG807" s="3"/>
      <c r="KH807" s="3"/>
      <c r="KI807" s="3"/>
      <c r="KJ807" s="3"/>
      <c r="KK807" s="3"/>
      <c r="KL807" s="3"/>
      <c r="KM807" s="3"/>
      <c r="KN807" s="3"/>
      <c r="KO807" s="3"/>
      <c r="KP807" s="3"/>
      <c r="KQ807" s="3"/>
      <c r="KR807" s="3"/>
      <c r="KS807" s="3"/>
      <c r="KT807" s="3"/>
      <c r="KU807" s="3"/>
      <c r="KV807" s="3"/>
      <c r="KW807" s="3"/>
      <c r="KX807" s="3"/>
      <c r="KY807" s="3"/>
      <c r="KZ807" s="3"/>
      <c r="LA807" s="3"/>
      <c r="LB807" s="3"/>
      <c r="LC807" s="3"/>
      <c r="LD807" s="3"/>
      <c r="LE807" s="3"/>
      <c r="LF807" s="3"/>
      <c r="LG807" s="3"/>
      <c r="LH807" s="3"/>
      <c r="LI807" s="3"/>
      <c r="LJ807" s="3"/>
      <c r="LK807" s="3"/>
      <c r="LL807" s="3"/>
      <c r="LM807" s="3"/>
      <c r="LN807" s="3"/>
      <c r="LO807" s="3"/>
      <c r="LP807" s="3"/>
      <c r="LQ807" s="3"/>
      <c r="LR807" s="3"/>
      <c r="LS807" s="3"/>
      <c r="LT807" s="3"/>
      <c r="LU807" s="3"/>
      <c r="LV807" s="3"/>
      <c r="LW807" s="3"/>
      <c r="LX807" s="3"/>
      <c r="LY807" s="3"/>
      <c r="LZ807" s="3"/>
      <c r="MA807" s="3"/>
      <c r="MB807" s="3"/>
      <c r="MC807" s="3"/>
      <c r="MD807" s="3"/>
      <c r="ME807" s="3"/>
      <c r="MF807" s="3"/>
      <c r="MG807" s="3"/>
      <c r="MH807" s="3"/>
      <c r="MI807" s="3"/>
    </row>
    <row r="808" spans="1:347"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c r="HX808" s="3"/>
      <c r="HY808" s="3"/>
      <c r="HZ808" s="3"/>
      <c r="IA808" s="3"/>
      <c r="IB808" s="3"/>
      <c r="IC808" s="3"/>
      <c r="ID808" s="3"/>
      <c r="IE808" s="3"/>
      <c r="IF808" s="3"/>
      <c r="IG808" s="3"/>
      <c r="IH808" s="3"/>
      <c r="II808" s="3"/>
      <c r="IJ808" s="3"/>
      <c r="IK808" s="3"/>
      <c r="IL808" s="3"/>
      <c r="IM808" s="3"/>
      <c r="IN808" s="3"/>
      <c r="IO808" s="3"/>
      <c r="IP808" s="3"/>
      <c r="IQ808" s="3"/>
      <c r="IR808" s="3"/>
      <c r="IS808" s="3"/>
      <c r="IT808" s="3"/>
      <c r="IU808" s="3"/>
      <c r="IV808" s="3"/>
      <c r="IW808" s="3"/>
      <c r="IX808" s="3"/>
      <c r="IY808" s="3"/>
      <c r="IZ808" s="3"/>
      <c r="JA808" s="3"/>
      <c r="JB808" s="3"/>
      <c r="JC808" s="3"/>
      <c r="JD808" s="3"/>
      <c r="JE808" s="3"/>
      <c r="JF808" s="3"/>
      <c r="JG808" s="3"/>
      <c r="JH808" s="3"/>
      <c r="JI808" s="3"/>
      <c r="JJ808" s="3"/>
      <c r="JK808" s="3"/>
      <c r="JL808" s="3"/>
      <c r="JM808" s="3"/>
      <c r="JN808" s="3"/>
      <c r="JO808" s="3"/>
      <c r="JP808" s="3"/>
      <c r="JQ808" s="3"/>
      <c r="JR808" s="3"/>
      <c r="JS808" s="3"/>
      <c r="JT808" s="3"/>
      <c r="JU808" s="3"/>
      <c r="JV808" s="3"/>
      <c r="JW808" s="3"/>
      <c r="JX808" s="3"/>
      <c r="JY808" s="3"/>
      <c r="JZ808" s="3"/>
      <c r="KA808" s="3"/>
      <c r="KB808" s="3"/>
      <c r="KC808" s="3"/>
      <c r="KD808" s="3"/>
      <c r="KE808" s="3"/>
      <c r="KF808" s="3"/>
      <c r="KG808" s="3"/>
      <c r="KH808" s="3"/>
      <c r="KI808" s="3"/>
      <c r="KJ808" s="3"/>
      <c r="KK808" s="3"/>
      <c r="KL808" s="3"/>
      <c r="KM808" s="3"/>
      <c r="KN808" s="3"/>
      <c r="KO808" s="3"/>
      <c r="KP808" s="3"/>
      <c r="KQ808" s="3"/>
      <c r="KR808" s="3"/>
      <c r="KS808" s="3"/>
      <c r="KT808" s="3"/>
      <c r="KU808" s="3"/>
      <c r="KV808" s="3"/>
      <c r="KW808" s="3"/>
      <c r="KX808" s="3"/>
      <c r="KY808" s="3"/>
      <c r="KZ808" s="3"/>
      <c r="LA808" s="3"/>
      <c r="LB808" s="3"/>
      <c r="LC808" s="3"/>
      <c r="LD808" s="3"/>
      <c r="LE808" s="3"/>
      <c r="LF808" s="3"/>
      <c r="LG808" s="3"/>
      <c r="LH808" s="3"/>
      <c r="LI808" s="3"/>
      <c r="LJ808" s="3"/>
      <c r="LK808" s="3"/>
      <c r="LL808" s="3"/>
      <c r="LM808" s="3"/>
      <c r="LN808" s="3"/>
      <c r="LO808" s="3"/>
      <c r="LP808" s="3"/>
      <c r="LQ808" s="3"/>
      <c r="LR808" s="3"/>
      <c r="LS808" s="3"/>
      <c r="LT808" s="3"/>
      <c r="LU808" s="3"/>
      <c r="LV808" s="3"/>
      <c r="LW808" s="3"/>
      <c r="LX808" s="3"/>
      <c r="LY808" s="3"/>
      <c r="LZ808" s="3"/>
      <c r="MA808" s="3"/>
      <c r="MB808" s="3"/>
      <c r="MC808" s="3"/>
      <c r="MD808" s="3"/>
      <c r="ME808" s="3"/>
      <c r="MF808" s="3"/>
      <c r="MG808" s="3"/>
      <c r="MH808" s="3"/>
      <c r="MI808" s="3"/>
    </row>
    <row r="809" spans="1:347"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c r="HX809" s="3"/>
      <c r="HY809" s="3"/>
      <c r="HZ809" s="3"/>
      <c r="IA809" s="3"/>
      <c r="IB809" s="3"/>
      <c r="IC809" s="3"/>
      <c r="ID809" s="3"/>
      <c r="IE809" s="3"/>
      <c r="IF809" s="3"/>
      <c r="IG809" s="3"/>
      <c r="IH809" s="3"/>
      <c r="II809" s="3"/>
      <c r="IJ809" s="3"/>
      <c r="IK809" s="3"/>
      <c r="IL809" s="3"/>
      <c r="IM809" s="3"/>
      <c r="IN809" s="3"/>
      <c r="IO809" s="3"/>
      <c r="IP809" s="3"/>
      <c r="IQ809" s="3"/>
      <c r="IR809" s="3"/>
      <c r="IS809" s="3"/>
      <c r="IT809" s="3"/>
      <c r="IU809" s="3"/>
      <c r="IV809" s="3"/>
      <c r="IW809" s="3"/>
      <c r="IX809" s="3"/>
      <c r="IY809" s="3"/>
      <c r="IZ809" s="3"/>
      <c r="JA809" s="3"/>
      <c r="JB809" s="3"/>
      <c r="JC809" s="3"/>
      <c r="JD809" s="3"/>
      <c r="JE809" s="3"/>
      <c r="JF809" s="3"/>
      <c r="JG809" s="3"/>
      <c r="JH809" s="3"/>
      <c r="JI809" s="3"/>
      <c r="JJ809" s="3"/>
      <c r="JK809" s="3"/>
      <c r="JL809" s="3"/>
      <c r="JM809" s="3"/>
      <c r="JN809" s="3"/>
      <c r="JO809" s="3"/>
      <c r="JP809" s="3"/>
      <c r="JQ809" s="3"/>
      <c r="JR809" s="3"/>
      <c r="JS809" s="3"/>
      <c r="JT809" s="3"/>
      <c r="JU809" s="3"/>
      <c r="JV809" s="3"/>
      <c r="JW809" s="3"/>
      <c r="JX809" s="3"/>
      <c r="JY809" s="3"/>
      <c r="JZ809" s="3"/>
      <c r="KA809" s="3"/>
      <c r="KB809" s="3"/>
      <c r="KC809" s="3"/>
      <c r="KD809" s="3"/>
      <c r="KE809" s="3"/>
      <c r="KF809" s="3"/>
      <c r="KG809" s="3"/>
      <c r="KH809" s="3"/>
      <c r="KI809" s="3"/>
      <c r="KJ809" s="3"/>
      <c r="KK809" s="3"/>
      <c r="KL809" s="3"/>
      <c r="KM809" s="3"/>
      <c r="KN809" s="3"/>
      <c r="KO809" s="3"/>
      <c r="KP809" s="3"/>
      <c r="KQ809" s="3"/>
      <c r="KR809" s="3"/>
      <c r="KS809" s="3"/>
      <c r="KT809" s="3"/>
      <c r="KU809" s="3"/>
      <c r="KV809" s="3"/>
      <c r="KW809" s="3"/>
      <c r="KX809" s="3"/>
      <c r="KY809" s="3"/>
      <c r="KZ809" s="3"/>
      <c r="LA809" s="3"/>
      <c r="LB809" s="3"/>
      <c r="LC809" s="3"/>
      <c r="LD809" s="3"/>
      <c r="LE809" s="3"/>
      <c r="LF809" s="3"/>
      <c r="LG809" s="3"/>
      <c r="LH809" s="3"/>
      <c r="LI809" s="3"/>
      <c r="LJ809" s="3"/>
      <c r="LK809" s="3"/>
      <c r="LL809" s="3"/>
      <c r="LM809" s="3"/>
      <c r="LN809" s="3"/>
      <c r="LO809" s="3"/>
      <c r="LP809" s="3"/>
      <c r="LQ809" s="3"/>
      <c r="LR809" s="3"/>
      <c r="LS809" s="3"/>
      <c r="LT809" s="3"/>
      <c r="LU809" s="3"/>
      <c r="LV809" s="3"/>
      <c r="LW809" s="3"/>
      <c r="LX809" s="3"/>
      <c r="LY809" s="3"/>
      <c r="LZ809" s="3"/>
      <c r="MA809" s="3"/>
      <c r="MB809" s="3"/>
      <c r="MC809" s="3"/>
      <c r="MD809" s="3"/>
      <c r="ME809" s="3"/>
      <c r="MF809" s="3"/>
      <c r="MG809" s="3"/>
      <c r="MH809" s="3"/>
      <c r="MI809" s="3"/>
    </row>
    <row r="810" spans="1:347"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row>
    <row r="811" spans="1:347"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c r="HX811" s="3"/>
      <c r="HY811" s="3"/>
      <c r="HZ811" s="3"/>
      <c r="IA811" s="3"/>
      <c r="IB811" s="3"/>
      <c r="IC811" s="3"/>
      <c r="ID811" s="3"/>
      <c r="IE811" s="3"/>
      <c r="IF811" s="3"/>
      <c r="IG811" s="3"/>
      <c r="IH811" s="3"/>
      <c r="II811" s="3"/>
      <c r="IJ811" s="3"/>
      <c r="IK811" s="3"/>
      <c r="IL811" s="3"/>
      <c r="IM811" s="3"/>
      <c r="IN811" s="3"/>
      <c r="IO811" s="3"/>
      <c r="IP811" s="3"/>
      <c r="IQ811" s="3"/>
      <c r="IR811" s="3"/>
      <c r="IS811" s="3"/>
      <c r="IT811" s="3"/>
      <c r="IU811" s="3"/>
      <c r="IV811" s="3"/>
      <c r="IW811" s="3"/>
      <c r="IX811" s="3"/>
      <c r="IY811" s="3"/>
      <c r="IZ811" s="3"/>
      <c r="JA811" s="3"/>
      <c r="JB811" s="3"/>
      <c r="JC811" s="3"/>
      <c r="JD811" s="3"/>
      <c r="JE811" s="3"/>
      <c r="JF811" s="3"/>
      <c r="JG811" s="3"/>
      <c r="JH811" s="3"/>
      <c r="JI811" s="3"/>
      <c r="JJ811" s="3"/>
      <c r="JK811" s="3"/>
      <c r="JL811" s="3"/>
      <c r="JM811" s="3"/>
      <c r="JN811" s="3"/>
      <c r="JO811" s="3"/>
      <c r="JP811" s="3"/>
      <c r="JQ811" s="3"/>
      <c r="JR811" s="3"/>
      <c r="JS811" s="3"/>
      <c r="JT811" s="3"/>
      <c r="JU811" s="3"/>
      <c r="JV811" s="3"/>
      <c r="JW811" s="3"/>
      <c r="JX811" s="3"/>
      <c r="JY811" s="3"/>
      <c r="JZ811" s="3"/>
      <c r="KA811" s="3"/>
      <c r="KB811" s="3"/>
      <c r="KC811" s="3"/>
      <c r="KD811" s="3"/>
      <c r="KE811" s="3"/>
      <c r="KF811" s="3"/>
      <c r="KG811" s="3"/>
      <c r="KH811" s="3"/>
      <c r="KI811" s="3"/>
      <c r="KJ811" s="3"/>
      <c r="KK811" s="3"/>
      <c r="KL811" s="3"/>
      <c r="KM811" s="3"/>
      <c r="KN811" s="3"/>
      <c r="KO811" s="3"/>
      <c r="KP811" s="3"/>
      <c r="KQ811" s="3"/>
      <c r="KR811" s="3"/>
      <c r="KS811" s="3"/>
      <c r="KT811" s="3"/>
      <c r="KU811" s="3"/>
      <c r="KV811" s="3"/>
      <c r="KW811" s="3"/>
      <c r="KX811" s="3"/>
      <c r="KY811" s="3"/>
      <c r="KZ811" s="3"/>
      <c r="LA811" s="3"/>
      <c r="LB811" s="3"/>
      <c r="LC811" s="3"/>
      <c r="LD811" s="3"/>
      <c r="LE811" s="3"/>
      <c r="LF811" s="3"/>
      <c r="LG811" s="3"/>
      <c r="LH811" s="3"/>
      <c r="LI811" s="3"/>
      <c r="LJ811" s="3"/>
      <c r="LK811" s="3"/>
      <c r="LL811" s="3"/>
      <c r="LM811" s="3"/>
      <c r="LN811" s="3"/>
      <c r="LO811" s="3"/>
      <c r="LP811" s="3"/>
      <c r="LQ811" s="3"/>
      <c r="LR811" s="3"/>
      <c r="LS811" s="3"/>
      <c r="LT811" s="3"/>
      <c r="LU811" s="3"/>
      <c r="LV811" s="3"/>
      <c r="LW811" s="3"/>
      <c r="LX811" s="3"/>
      <c r="LY811" s="3"/>
      <c r="LZ811" s="3"/>
      <c r="MA811" s="3"/>
      <c r="MB811" s="3"/>
      <c r="MC811" s="3"/>
      <c r="MD811" s="3"/>
      <c r="ME811" s="3"/>
      <c r="MF811" s="3"/>
      <c r="MG811" s="3"/>
      <c r="MH811" s="3"/>
      <c r="MI811" s="3"/>
    </row>
    <row r="812" spans="1:347"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c r="HX812" s="3"/>
      <c r="HY812" s="3"/>
      <c r="HZ812" s="3"/>
      <c r="IA812" s="3"/>
      <c r="IB812" s="3"/>
      <c r="IC812" s="3"/>
      <c r="ID812" s="3"/>
      <c r="IE812" s="3"/>
      <c r="IF812" s="3"/>
      <c r="IG812" s="3"/>
      <c r="IH812" s="3"/>
      <c r="II812" s="3"/>
      <c r="IJ812" s="3"/>
      <c r="IK812" s="3"/>
      <c r="IL812" s="3"/>
      <c r="IM812" s="3"/>
      <c r="IN812" s="3"/>
      <c r="IO812" s="3"/>
      <c r="IP812" s="3"/>
      <c r="IQ812" s="3"/>
      <c r="IR812" s="3"/>
      <c r="IS812" s="3"/>
      <c r="IT812" s="3"/>
      <c r="IU812" s="3"/>
      <c r="IV812" s="3"/>
      <c r="IW812" s="3"/>
      <c r="IX812" s="3"/>
      <c r="IY812" s="3"/>
      <c r="IZ812" s="3"/>
      <c r="JA812" s="3"/>
      <c r="JB812" s="3"/>
      <c r="JC812" s="3"/>
      <c r="JD812" s="3"/>
      <c r="JE812" s="3"/>
      <c r="JF812" s="3"/>
      <c r="JG812" s="3"/>
      <c r="JH812" s="3"/>
      <c r="JI812" s="3"/>
      <c r="JJ812" s="3"/>
      <c r="JK812" s="3"/>
      <c r="JL812" s="3"/>
      <c r="JM812" s="3"/>
      <c r="JN812" s="3"/>
      <c r="JO812" s="3"/>
      <c r="JP812" s="3"/>
      <c r="JQ812" s="3"/>
      <c r="JR812" s="3"/>
      <c r="JS812" s="3"/>
      <c r="JT812" s="3"/>
      <c r="JU812" s="3"/>
      <c r="JV812" s="3"/>
      <c r="JW812" s="3"/>
      <c r="JX812" s="3"/>
      <c r="JY812" s="3"/>
      <c r="JZ812" s="3"/>
      <c r="KA812" s="3"/>
      <c r="KB812" s="3"/>
      <c r="KC812" s="3"/>
      <c r="KD812" s="3"/>
      <c r="KE812" s="3"/>
      <c r="KF812" s="3"/>
      <c r="KG812" s="3"/>
      <c r="KH812" s="3"/>
      <c r="KI812" s="3"/>
      <c r="KJ812" s="3"/>
      <c r="KK812" s="3"/>
      <c r="KL812" s="3"/>
      <c r="KM812" s="3"/>
      <c r="KN812" s="3"/>
      <c r="KO812" s="3"/>
      <c r="KP812" s="3"/>
      <c r="KQ812" s="3"/>
      <c r="KR812" s="3"/>
      <c r="KS812" s="3"/>
      <c r="KT812" s="3"/>
      <c r="KU812" s="3"/>
      <c r="KV812" s="3"/>
      <c r="KW812" s="3"/>
      <c r="KX812" s="3"/>
      <c r="KY812" s="3"/>
      <c r="KZ812" s="3"/>
      <c r="LA812" s="3"/>
      <c r="LB812" s="3"/>
      <c r="LC812" s="3"/>
      <c r="LD812" s="3"/>
      <c r="LE812" s="3"/>
      <c r="LF812" s="3"/>
      <c r="LG812" s="3"/>
      <c r="LH812" s="3"/>
      <c r="LI812" s="3"/>
      <c r="LJ812" s="3"/>
      <c r="LK812" s="3"/>
      <c r="LL812" s="3"/>
      <c r="LM812" s="3"/>
      <c r="LN812" s="3"/>
      <c r="LO812" s="3"/>
      <c r="LP812" s="3"/>
      <c r="LQ812" s="3"/>
      <c r="LR812" s="3"/>
      <c r="LS812" s="3"/>
      <c r="LT812" s="3"/>
      <c r="LU812" s="3"/>
      <c r="LV812" s="3"/>
      <c r="LW812" s="3"/>
      <c r="LX812" s="3"/>
      <c r="LY812" s="3"/>
      <c r="LZ812" s="3"/>
      <c r="MA812" s="3"/>
      <c r="MB812" s="3"/>
      <c r="MC812" s="3"/>
      <c r="MD812" s="3"/>
      <c r="ME812" s="3"/>
      <c r="MF812" s="3"/>
      <c r="MG812" s="3"/>
      <c r="MH812" s="3"/>
      <c r="MI812" s="3"/>
    </row>
    <row r="813" spans="1:347"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c r="HX813" s="3"/>
      <c r="HY813" s="3"/>
      <c r="HZ813" s="3"/>
      <c r="IA813" s="3"/>
      <c r="IB813" s="3"/>
      <c r="IC813" s="3"/>
      <c r="ID813" s="3"/>
      <c r="IE813" s="3"/>
      <c r="IF813" s="3"/>
      <c r="IG813" s="3"/>
      <c r="IH813" s="3"/>
      <c r="II813" s="3"/>
      <c r="IJ813" s="3"/>
      <c r="IK813" s="3"/>
      <c r="IL813" s="3"/>
      <c r="IM813" s="3"/>
      <c r="IN813" s="3"/>
      <c r="IO813" s="3"/>
      <c r="IP813" s="3"/>
      <c r="IQ813" s="3"/>
      <c r="IR813" s="3"/>
      <c r="IS813" s="3"/>
      <c r="IT813" s="3"/>
      <c r="IU813" s="3"/>
      <c r="IV813" s="3"/>
      <c r="IW813" s="3"/>
      <c r="IX813" s="3"/>
      <c r="IY813" s="3"/>
      <c r="IZ813" s="3"/>
      <c r="JA813" s="3"/>
      <c r="JB813" s="3"/>
      <c r="JC813" s="3"/>
      <c r="JD813" s="3"/>
      <c r="JE813" s="3"/>
      <c r="JF813" s="3"/>
      <c r="JG813" s="3"/>
      <c r="JH813" s="3"/>
      <c r="JI813" s="3"/>
      <c r="JJ813" s="3"/>
      <c r="JK813" s="3"/>
      <c r="JL813" s="3"/>
      <c r="JM813" s="3"/>
      <c r="JN813" s="3"/>
      <c r="JO813" s="3"/>
      <c r="JP813" s="3"/>
      <c r="JQ813" s="3"/>
      <c r="JR813" s="3"/>
      <c r="JS813" s="3"/>
      <c r="JT813" s="3"/>
      <c r="JU813" s="3"/>
      <c r="JV813" s="3"/>
      <c r="JW813" s="3"/>
      <c r="JX813" s="3"/>
      <c r="JY813" s="3"/>
      <c r="JZ813" s="3"/>
      <c r="KA813" s="3"/>
      <c r="KB813" s="3"/>
      <c r="KC813" s="3"/>
      <c r="KD813" s="3"/>
      <c r="KE813" s="3"/>
      <c r="KF813" s="3"/>
      <c r="KG813" s="3"/>
      <c r="KH813" s="3"/>
      <c r="KI813" s="3"/>
      <c r="KJ813" s="3"/>
      <c r="KK813" s="3"/>
      <c r="KL813" s="3"/>
      <c r="KM813" s="3"/>
      <c r="KN813" s="3"/>
      <c r="KO813" s="3"/>
      <c r="KP813" s="3"/>
      <c r="KQ813" s="3"/>
      <c r="KR813" s="3"/>
      <c r="KS813" s="3"/>
      <c r="KT813" s="3"/>
      <c r="KU813" s="3"/>
      <c r="KV813" s="3"/>
      <c r="KW813" s="3"/>
      <c r="KX813" s="3"/>
      <c r="KY813" s="3"/>
      <c r="KZ813" s="3"/>
      <c r="LA813" s="3"/>
      <c r="LB813" s="3"/>
      <c r="LC813" s="3"/>
      <c r="LD813" s="3"/>
      <c r="LE813" s="3"/>
      <c r="LF813" s="3"/>
      <c r="LG813" s="3"/>
      <c r="LH813" s="3"/>
      <c r="LI813" s="3"/>
      <c r="LJ813" s="3"/>
      <c r="LK813" s="3"/>
      <c r="LL813" s="3"/>
      <c r="LM813" s="3"/>
      <c r="LN813" s="3"/>
      <c r="LO813" s="3"/>
      <c r="LP813" s="3"/>
      <c r="LQ813" s="3"/>
      <c r="LR813" s="3"/>
      <c r="LS813" s="3"/>
      <c r="LT813" s="3"/>
      <c r="LU813" s="3"/>
      <c r="LV813" s="3"/>
      <c r="LW813" s="3"/>
      <c r="LX813" s="3"/>
      <c r="LY813" s="3"/>
      <c r="LZ813" s="3"/>
      <c r="MA813" s="3"/>
      <c r="MB813" s="3"/>
      <c r="MC813" s="3"/>
      <c r="MD813" s="3"/>
      <c r="ME813" s="3"/>
      <c r="MF813" s="3"/>
      <c r="MG813" s="3"/>
      <c r="MH813" s="3"/>
      <c r="MI813" s="3"/>
    </row>
    <row r="814" spans="1:347"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c r="HX814" s="3"/>
      <c r="HY814" s="3"/>
      <c r="HZ814" s="3"/>
      <c r="IA814" s="3"/>
      <c r="IB814" s="3"/>
      <c r="IC814" s="3"/>
      <c r="ID814" s="3"/>
      <c r="IE814" s="3"/>
      <c r="IF814" s="3"/>
      <c r="IG814" s="3"/>
      <c r="IH814" s="3"/>
      <c r="II814" s="3"/>
      <c r="IJ814" s="3"/>
      <c r="IK814" s="3"/>
      <c r="IL814" s="3"/>
      <c r="IM814" s="3"/>
      <c r="IN814" s="3"/>
      <c r="IO814" s="3"/>
      <c r="IP814" s="3"/>
      <c r="IQ814" s="3"/>
      <c r="IR814" s="3"/>
      <c r="IS814" s="3"/>
      <c r="IT814" s="3"/>
      <c r="IU814" s="3"/>
      <c r="IV814" s="3"/>
      <c r="IW814" s="3"/>
      <c r="IX814" s="3"/>
      <c r="IY814" s="3"/>
      <c r="IZ814" s="3"/>
      <c r="JA814" s="3"/>
      <c r="JB814" s="3"/>
      <c r="JC814" s="3"/>
      <c r="JD814" s="3"/>
      <c r="JE814" s="3"/>
      <c r="JF814" s="3"/>
      <c r="JG814" s="3"/>
      <c r="JH814" s="3"/>
      <c r="JI814" s="3"/>
      <c r="JJ814" s="3"/>
      <c r="JK814" s="3"/>
      <c r="JL814" s="3"/>
      <c r="JM814" s="3"/>
      <c r="JN814" s="3"/>
      <c r="JO814" s="3"/>
      <c r="JP814" s="3"/>
      <c r="JQ814" s="3"/>
      <c r="JR814" s="3"/>
      <c r="JS814" s="3"/>
      <c r="JT814" s="3"/>
      <c r="JU814" s="3"/>
      <c r="JV814" s="3"/>
      <c r="JW814" s="3"/>
      <c r="JX814" s="3"/>
      <c r="JY814" s="3"/>
      <c r="JZ814" s="3"/>
      <c r="KA814" s="3"/>
      <c r="KB814" s="3"/>
      <c r="KC814" s="3"/>
      <c r="KD814" s="3"/>
      <c r="KE814" s="3"/>
      <c r="KF814" s="3"/>
      <c r="KG814" s="3"/>
      <c r="KH814" s="3"/>
      <c r="KI814" s="3"/>
      <c r="KJ814" s="3"/>
      <c r="KK814" s="3"/>
      <c r="KL814" s="3"/>
      <c r="KM814" s="3"/>
      <c r="KN814" s="3"/>
      <c r="KO814" s="3"/>
      <c r="KP814" s="3"/>
      <c r="KQ814" s="3"/>
      <c r="KR814" s="3"/>
      <c r="KS814" s="3"/>
      <c r="KT814" s="3"/>
      <c r="KU814" s="3"/>
      <c r="KV814" s="3"/>
      <c r="KW814" s="3"/>
      <c r="KX814" s="3"/>
      <c r="KY814" s="3"/>
      <c r="KZ814" s="3"/>
      <c r="LA814" s="3"/>
      <c r="LB814" s="3"/>
      <c r="LC814" s="3"/>
      <c r="LD814" s="3"/>
      <c r="LE814" s="3"/>
      <c r="LF814" s="3"/>
      <c r="LG814" s="3"/>
      <c r="LH814" s="3"/>
      <c r="LI814" s="3"/>
      <c r="LJ814" s="3"/>
      <c r="LK814" s="3"/>
      <c r="LL814" s="3"/>
      <c r="LM814" s="3"/>
      <c r="LN814" s="3"/>
      <c r="LO814" s="3"/>
      <c r="LP814" s="3"/>
      <c r="LQ814" s="3"/>
      <c r="LR814" s="3"/>
      <c r="LS814" s="3"/>
      <c r="LT814" s="3"/>
      <c r="LU814" s="3"/>
      <c r="LV814" s="3"/>
      <c r="LW814" s="3"/>
      <c r="LX814" s="3"/>
      <c r="LY814" s="3"/>
      <c r="LZ814" s="3"/>
      <c r="MA814" s="3"/>
      <c r="MB814" s="3"/>
      <c r="MC814" s="3"/>
      <c r="MD814" s="3"/>
      <c r="ME814" s="3"/>
      <c r="MF814" s="3"/>
      <c r="MG814" s="3"/>
      <c r="MH814" s="3"/>
      <c r="MI814" s="3"/>
    </row>
    <row r="815" spans="1:347"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c r="HX815" s="3"/>
      <c r="HY815" s="3"/>
      <c r="HZ815" s="3"/>
      <c r="IA815" s="3"/>
      <c r="IB815" s="3"/>
      <c r="IC815" s="3"/>
      <c r="ID815" s="3"/>
      <c r="IE815" s="3"/>
      <c r="IF815" s="3"/>
      <c r="IG815" s="3"/>
      <c r="IH815" s="3"/>
      <c r="II815" s="3"/>
      <c r="IJ815" s="3"/>
      <c r="IK815" s="3"/>
      <c r="IL815" s="3"/>
      <c r="IM815" s="3"/>
      <c r="IN815" s="3"/>
      <c r="IO815" s="3"/>
      <c r="IP815" s="3"/>
      <c r="IQ815" s="3"/>
      <c r="IR815" s="3"/>
      <c r="IS815" s="3"/>
      <c r="IT815" s="3"/>
      <c r="IU815" s="3"/>
      <c r="IV815" s="3"/>
      <c r="IW815" s="3"/>
      <c r="IX815" s="3"/>
      <c r="IY815" s="3"/>
      <c r="IZ815" s="3"/>
      <c r="JA815" s="3"/>
      <c r="JB815" s="3"/>
      <c r="JC815" s="3"/>
      <c r="JD815" s="3"/>
      <c r="JE815" s="3"/>
      <c r="JF815" s="3"/>
      <c r="JG815" s="3"/>
      <c r="JH815" s="3"/>
      <c r="JI815" s="3"/>
      <c r="JJ815" s="3"/>
      <c r="JK815" s="3"/>
      <c r="JL815" s="3"/>
      <c r="JM815" s="3"/>
      <c r="JN815" s="3"/>
      <c r="JO815" s="3"/>
      <c r="JP815" s="3"/>
      <c r="JQ815" s="3"/>
      <c r="JR815" s="3"/>
      <c r="JS815" s="3"/>
      <c r="JT815" s="3"/>
      <c r="JU815" s="3"/>
      <c r="JV815" s="3"/>
      <c r="JW815" s="3"/>
      <c r="JX815" s="3"/>
      <c r="JY815" s="3"/>
      <c r="JZ815" s="3"/>
      <c r="KA815" s="3"/>
      <c r="KB815" s="3"/>
      <c r="KC815" s="3"/>
      <c r="KD815" s="3"/>
      <c r="KE815" s="3"/>
      <c r="KF815" s="3"/>
      <c r="KG815" s="3"/>
      <c r="KH815" s="3"/>
      <c r="KI815" s="3"/>
      <c r="KJ815" s="3"/>
      <c r="KK815" s="3"/>
      <c r="KL815" s="3"/>
      <c r="KM815" s="3"/>
      <c r="KN815" s="3"/>
      <c r="KO815" s="3"/>
      <c r="KP815" s="3"/>
      <c r="KQ815" s="3"/>
      <c r="KR815" s="3"/>
      <c r="KS815" s="3"/>
      <c r="KT815" s="3"/>
      <c r="KU815" s="3"/>
      <c r="KV815" s="3"/>
      <c r="KW815" s="3"/>
      <c r="KX815" s="3"/>
      <c r="KY815" s="3"/>
      <c r="KZ815" s="3"/>
      <c r="LA815" s="3"/>
      <c r="LB815" s="3"/>
      <c r="LC815" s="3"/>
      <c r="LD815" s="3"/>
      <c r="LE815" s="3"/>
      <c r="LF815" s="3"/>
      <c r="LG815" s="3"/>
      <c r="LH815" s="3"/>
      <c r="LI815" s="3"/>
      <c r="LJ815" s="3"/>
      <c r="LK815" s="3"/>
      <c r="LL815" s="3"/>
      <c r="LM815" s="3"/>
      <c r="LN815" s="3"/>
      <c r="LO815" s="3"/>
      <c r="LP815" s="3"/>
      <c r="LQ815" s="3"/>
      <c r="LR815" s="3"/>
      <c r="LS815" s="3"/>
      <c r="LT815" s="3"/>
      <c r="LU815" s="3"/>
      <c r="LV815" s="3"/>
      <c r="LW815" s="3"/>
      <c r="LX815" s="3"/>
      <c r="LY815" s="3"/>
      <c r="LZ815" s="3"/>
      <c r="MA815" s="3"/>
      <c r="MB815" s="3"/>
      <c r="MC815" s="3"/>
      <c r="MD815" s="3"/>
      <c r="ME815" s="3"/>
      <c r="MF815" s="3"/>
      <c r="MG815" s="3"/>
      <c r="MH815" s="3"/>
      <c r="MI815" s="3"/>
    </row>
    <row r="816" spans="1:347"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c r="HX816" s="3"/>
      <c r="HY816" s="3"/>
      <c r="HZ816" s="3"/>
      <c r="IA816" s="3"/>
      <c r="IB816" s="3"/>
      <c r="IC816" s="3"/>
      <c r="ID816" s="3"/>
      <c r="IE816" s="3"/>
      <c r="IF816" s="3"/>
      <c r="IG816" s="3"/>
      <c r="IH816" s="3"/>
      <c r="II816" s="3"/>
      <c r="IJ816" s="3"/>
      <c r="IK816" s="3"/>
      <c r="IL816" s="3"/>
      <c r="IM816" s="3"/>
      <c r="IN816" s="3"/>
      <c r="IO816" s="3"/>
      <c r="IP816" s="3"/>
      <c r="IQ816" s="3"/>
      <c r="IR816" s="3"/>
      <c r="IS816" s="3"/>
      <c r="IT816" s="3"/>
      <c r="IU816" s="3"/>
      <c r="IV816" s="3"/>
      <c r="IW816" s="3"/>
      <c r="IX816" s="3"/>
      <c r="IY816" s="3"/>
      <c r="IZ816" s="3"/>
      <c r="JA816" s="3"/>
      <c r="JB816" s="3"/>
      <c r="JC816" s="3"/>
      <c r="JD816" s="3"/>
      <c r="JE816" s="3"/>
      <c r="JF816" s="3"/>
      <c r="JG816" s="3"/>
      <c r="JH816" s="3"/>
      <c r="JI816" s="3"/>
      <c r="JJ816" s="3"/>
      <c r="JK816" s="3"/>
      <c r="JL816" s="3"/>
      <c r="JM816" s="3"/>
      <c r="JN816" s="3"/>
      <c r="JO816" s="3"/>
      <c r="JP816" s="3"/>
      <c r="JQ816" s="3"/>
      <c r="JR816" s="3"/>
      <c r="JS816" s="3"/>
      <c r="JT816" s="3"/>
      <c r="JU816" s="3"/>
      <c r="JV816" s="3"/>
      <c r="JW816" s="3"/>
      <c r="JX816" s="3"/>
      <c r="JY816" s="3"/>
      <c r="JZ816" s="3"/>
      <c r="KA816" s="3"/>
      <c r="KB816" s="3"/>
      <c r="KC816" s="3"/>
      <c r="KD816" s="3"/>
      <c r="KE816" s="3"/>
      <c r="KF816" s="3"/>
      <c r="KG816" s="3"/>
      <c r="KH816" s="3"/>
      <c r="KI816" s="3"/>
      <c r="KJ816" s="3"/>
      <c r="KK816" s="3"/>
      <c r="KL816" s="3"/>
      <c r="KM816" s="3"/>
      <c r="KN816" s="3"/>
      <c r="KO816" s="3"/>
      <c r="KP816" s="3"/>
      <c r="KQ816" s="3"/>
      <c r="KR816" s="3"/>
      <c r="KS816" s="3"/>
      <c r="KT816" s="3"/>
      <c r="KU816" s="3"/>
      <c r="KV816" s="3"/>
      <c r="KW816" s="3"/>
      <c r="KX816" s="3"/>
      <c r="KY816" s="3"/>
      <c r="KZ816" s="3"/>
      <c r="LA816" s="3"/>
      <c r="LB816" s="3"/>
      <c r="LC816" s="3"/>
      <c r="LD816" s="3"/>
      <c r="LE816" s="3"/>
      <c r="LF816" s="3"/>
      <c r="LG816" s="3"/>
      <c r="LH816" s="3"/>
      <c r="LI816" s="3"/>
      <c r="LJ816" s="3"/>
      <c r="LK816" s="3"/>
      <c r="LL816" s="3"/>
      <c r="LM816" s="3"/>
      <c r="LN816" s="3"/>
      <c r="LO816" s="3"/>
      <c r="LP816" s="3"/>
      <c r="LQ816" s="3"/>
      <c r="LR816" s="3"/>
      <c r="LS816" s="3"/>
      <c r="LT816" s="3"/>
      <c r="LU816" s="3"/>
      <c r="LV816" s="3"/>
      <c r="LW816" s="3"/>
      <c r="LX816" s="3"/>
      <c r="LY816" s="3"/>
      <c r="LZ816" s="3"/>
      <c r="MA816" s="3"/>
      <c r="MB816" s="3"/>
      <c r="MC816" s="3"/>
      <c r="MD816" s="3"/>
      <c r="ME816" s="3"/>
      <c r="MF816" s="3"/>
      <c r="MG816" s="3"/>
      <c r="MH816" s="3"/>
      <c r="MI816" s="3"/>
    </row>
    <row r="817" spans="1:347"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c r="HX817" s="3"/>
      <c r="HY817" s="3"/>
      <c r="HZ817" s="3"/>
      <c r="IA817" s="3"/>
      <c r="IB817" s="3"/>
      <c r="IC817" s="3"/>
      <c r="ID817" s="3"/>
      <c r="IE817" s="3"/>
      <c r="IF817" s="3"/>
      <c r="IG817" s="3"/>
      <c r="IH817" s="3"/>
      <c r="II817" s="3"/>
      <c r="IJ817" s="3"/>
      <c r="IK817" s="3"/>
      <c r="IL817" s="3"/>
      <c r="IM817" s="3"/>
      <c r="IN817" s="3"/>
      <c r="IO817" s="3"/>
      <c r="IP817" s="3"/>
      <c r="IQ817" s="3"/>
      <c r="IR817" s="3"/>
      <c r="IS817" s="3"/>
      <c r="IT817" s="3"/>
      <c r="IU817" s="3"/>
      <c r="IV817" s="3"/>
      <c r="IW817" s="3"/>
      <c r="IX817" s="3"/>
      <c r="IY817" s="3"/>
      <c r="IZ817" s="3"/>
      <c r="JA817" s="3"/>
      <c r="JB817" s="3"/>
      <c r="JC817" s="3"/>
      <c r="JD817" s="3"/>
      <c r="JE817" s="3"/>
      <c r="JF817" s="3"/>
      <c r="JG817" s="3"/>
      <c r="JH817" s="3"/>
      <c r="JI817" s="3"/>
      <c r="JJ817" s="3"/>
      <c r="JK817" s="3"/>
      <c r="JL817" s="3"/>
      <c r="JM817" s="3"/>
      <c r="JN817" s="3"/>
      <c r="JO817" s="3"/>
      <c r="JP817" s="3"/>
      <c r="JQ817" s="3"/>
      <c r="JR817" s="3"/>
      <c r="JS817" s="3"/>
      <c r="JT817" s="3"/>
      <c r="JU817" s="3"/>
      <c r="JV817" s="3"/>
      <c r="JW817" s="3"/>
      <c r="JX817" s="3"/>
      <c r="JY817" s="3"/>
      <c r="JZ817" s="3"/>
      <c r="KA817" s="3"/>
      <c r="KB817" s="3"/>
      <c r="KC817" s="3"/>
      <c r="KD817" s="3"/>
      <c r="KE817" s="3"/>
      <c r="KF817" s="3"/>
      <c r="KG817" s="3"/>
      <c r="KH817" s="3"/>
      <c r="KI817" s="3"/>
      <c r="KJ817" s="3"/>
      <c r="KK817" s="3"/>
      <c r="KL817" s="3"/>
      <c r="KM817" s="3"/>
      <c r="KN817" s="3"/>
      <c r="KO817" s="3"/>
      <c r="KP817" s="3"/>
      <c r="KQ817" s="3"/>
      <c r="KR817" s="3"/>
      <c r="KS817" s="3"/>
      <c r="KT817" s="3"/>
      <c r="KU817" s="3"/>
      <c r="KV817" s="3"/>
      <c r="KW817" s="3"/>
      <c r="KX817" s="3"/>
      <c r="KY817" s="3"/>
      <c r="KZ817" s="3"/>
      <c r="LA817" s="3"/>
      <c r="LB817" s="3"/>
      <c r="LC817" s="3"/>
      <c r="LD817" s="3"/>
      <c r="LE817" s="3"/>
      <c r="LF817" s="3"/>
      <c r="LG817" s="3"/>
      <c r="LH817" s="3"/>
      <c r="LI817" s="3"/>
      <c r="LJ817" s="3"/>
      <c r="LK817" s="3"/>
      <c r="LL817" s="3"/>
      <c r="LM817" s="3"/>
      <c r="LN817" s="3"/>
      <c r="LO817" s="3"/>
      <c r="LP817" s="3"/>
      <c r="LQ817" s="3"/>
      <c r="LR817" s="3"/>
      <c r="LS817" s="3"/>
      <c r="LT817" s="3"/>
      <c r="LU817" s="3"/>
      <c r="LV817" s="3"/>
      <c r="LW817" s="3"/>
      <c r="LX817" s="3"/>
      <c r="LY817" s="3"/>
      <c r="LZ817" s="3"/>
      <c r="MA817" s="3"/>
      <c r="MB817" s="3"/>
      <c r="MC817" s="3"/>
      <c r="MD817" s="3"/>
      <c r="ME817" s="3"/>
      <c r="MF817" s="3"/>
      <c r="MG817" s="3"/>
      <c r="MH817" s="3"/>
      <c r="MI817" s="3"/>
    </row>
    <row r="818" spans="1:347"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c r="HX818" s="3"/>
      <c r="HY818" s="3"/>
      <c r="HZ818" s="3"/>
      <c r="IA818" s="3"/>
      <c r="IB818" s="3"/>
      <c r="IC818" s="3"/>
      <c r="ID818" s="3"/>
      <c r="IE818" s="3"/>
      <c r="IF818" s="3"/>
      <c r="IG818" s="3"/>
      <c r="IH818" s="3"/>
      <c r="II818" s="3"/>
      <c r="IJ818" s="3"/>
      <c r="IK818" s="3"/>
      <c r="IL818" s="3"/>
      <c r="IM818" s="3"/>
      <c r="IN818" s="3"/>
      <c r="IO818" s="3"/>
      <c r="IP818" s="3"/>
      <c r="IQ818" s="3"/>
      <c r="IR818" s="3"/>
      <c r="IS818" s="3"/>
      <c r="IT818" s="3"/>
      <c r="IU818" s="3"/>
      <c r="IV818" s="3"/>
      <c r="IW818" s="3"/>
      <c r="IX818" s="3"/>
      <c r="IY818" s="3"/>
      <c r="IZ818" s="3"/>
      <c r="JA818" s="3"/>
      <c r="JB818" s="3"/>
      <c r="JC818" s="3"/>
      <c r="JD818" s="3"/>
      <c r="JE818" s="3"/>
      <c r="JF818" s="3"/>
      <c r="JG818" s="3"/>
      <c r="JH818" s="3"/>
      <c r="JI818" s="3"/>
      <c r="JJ818" s="3"/>
      <c r="JK818" s="3"/>
      <c r="JL818" s="3"/>
      <c r="JM818" s="3"/>
      <c r="JN818" s="3"/>
      <c r="JO818" s="3"/>
      <c r="JP818" s="3"/>
      <c r="JQ818" s="3"/>
      <c r="JR818" s="3"/>
      <c r="JS818" s="3"/>
      <c r="JT818" s="3"/>
      <c r="JU818" s="3"/>
      <c r="JV818" s="3"/>
      <c r="JW818" s="3"/>
      <c r="JX818" s="3"/>
      <c r="JY818" s="3"/>
      <c r="JZ818" s="3"/>
      <c r="KA818" s="3"/>
      <c r="KB818" s="3"/>
      <c r="KC818" s="3"/>
      <c r="KD818" s="3"/>
      <c r="KE818" s="3"/>
      <c r="KF818" s="3"/>
      <c r="KG818" s="3"/>
      <c r="KH818" s="3"/>
      <c r="KI818" s="3"/>
      <c r="KJ818" s="3"/>
      <c r="KK818" s="3"/>
      <c r="KL818" s="3"/>
      <c r="KM818" s="3"/>
      <c r="KN818" s="3"/>
      <c r="KO818" s="3"/>
      <c r="KP818" s="3"/>
      <c r="KQ818" s="3"/>
      <c r="KR818" s="3"/>
      <c r="KS818" s="3"/>
      <c r="KT818" s="3"/>
      <c r="KU818" s="3"/>
      <c r="KV818" s="3"/>
      <c r="KW818" s="3"/>
      <c r="KX818" s="3"/>
      <c r="KY818" s="3"/>
      <c r="KZ818" s="3"/>
      <c r="LA818" s="3"/>
      <c r="LB818" s="3"/>
      <c r="LC818" s="3"/>
      <c r="LD818" s="3"/>
      <c r="LE818" s="3"/>
      <c r="LF818" s="3"/>
      <c r="LG818" s="3"/>
      <c r="LH818" s="3"/>
      <c r="LI818" s="3"/>
      <c r="LJ818" s="3"/>
      <c r="LK818" s="3"/>
      <c r="LL818" s="3"/>
      <c r="LM818" s="3"/>
      <c r="LN818" s="3"/>
      <c r="LO818" s="3"/>
      <c r="LP818" s="3"/>
      <c r="LQ818" s="3"/>
      <c r="LR818" s="3"/>
      <c r="LS818" s="3"/>
      <c r="LT818" s="3"/>
      <c r="LU818" s="3"/>
      <c r="LV818" s="3"/>
      <c r="LW818" s="3"/>
      <c r="LX818" s="3"/>
      <c r="LY818" s="3"/>
      <c r="LZ818" s="3"/>
      <c r="MA818" s="3"/>
      <c r="MB818" s="3"/>
      <c r="MC818" s="3"/>
      <c r="MD818" s="3"/>
      <c r="ME818" s="3"/>
      <c r="MF818" s="3"/>
      <c r="MG818" s="3"/>
      <c r="MH818" s="3"/>
      <c r="MI818" s="3"/>
    </row>
    <row r="819" spans="1:347"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c r="HX819" s="3"/>
      <c r="HY819" s="3"/>
      <c r="HZ819" s="3"/>
      <c r="IA819" s="3"/>
      <c r="IB819" s="3"/>
      <c r="IC819" s="3"/>
      <c r="ID819" s="3"/>
      <c r="IE819" s="3"/>
      <c r="IF819" s="3"/>
      <c r="IG819" s="3"/>
      <c r="IH819" s="3"/>
      <c r="II819" s="3"/>
      <c r="IJ819" s="3"/>
      <c r="IK819" s="3"/>
      <c r="IL819" s="3"/>
      <c r="IM819" s="3"/>
      <c r="IN819" s="3"/>
      <c r="IO819" s="3"/>
      <c r="IP819" s="3"/>
      <c r="IQ819" s="3"/>
      <c r="IR819" s="3"/>
      <c r="IS819" s="3"/>
      <c r="IT819" s="3"/>
      <c r="IU819" s="3"/>
      <c r="IV819" s="3"/>
      <c r="IW819" s="3"/>
      <c r="IX819" s="3"/>
      <c r="IY819" s="3"/>
      <c r="IZ819" s="3"/>
      <c r="JA819" s="3"/>
      <c r="JB819" s="3"/>
      <c r="JC819" s="3"/>
      <c r="JD819" s="3"/>
      <c r="JE819" s="3"/>
      <c r="JF819" s="3"/>
      <c r="JG819" s="3"/>
      <c r="JH819" s="3"/>
      <c r="JI819" s="3"/>
      <c r="JJ819" s="3"/>
      <c r="JK819" s="3"/>
      <c r="JL819" s="3"/>
      <c r="JM819" s="3"/>
      <c r="JN819" s="3"/>
      <c r="JO819" s="3"/>
      <c r="JP819" s="3"/>
      <c r="JQ819" s="3"/>
      <c r="JR819" s="3"/>
      <c r="JS819" s="3"/>
      <c r="JT819" s="3"/>
      <c r="JU819" s="3"/>
      <c r="JV819" s="3"/>
      <c r="JW819" s="3"/>
      <c r="JX819" s="3"/>
      <c r="JY819" s="3"/>
      <c r="JZ819" s="3"/>
      <c r="KA819" s="3"/>
      <c r="KB819" s="3"/>
      <c r="KC819" s="3"/>
      <c r="KD819" s="3"/>
      <c r="KE819" s="3"/>
      <c r="KF819" s="3"/>
      <c r="KG819" s="3"/>
      <c r="KH819" s="3"/>
      <c r="KI819" s="3"/>
      <c r="KJ819" s="3"/>
      <c r="KK819" s="3"/>
      <c r="KL819" s="3"/>
      <c r="KM819" s="3"/>
      <c r="KN819" s="3"/>
      <c r="KO819" s="3"/>
      <c r="KP819" s="3"/>
      <c r="KQ819" s="3"/>
      <c r="KR819" s="3"/>
      <c r="KS819" s="3"/>
      <c r="KT819" s="3"/>
      <c r="KU819" s="3"/>
      <c r="KV819" s="3"/>
      <c r="KW819" s="3"/>
      <c r="KX819" s="3"/>
      <c r="KY819" s="3"/>
      <c r="KZ819" s="3"/>
      <c r="LA819" s="3"/>
      <c r="LB819" s="3"/>
      <c r="LC819" s="3"/>
      <c r="LD819" s="3"/>
      <c r="LE819" s="3"/>
      <c r="LF819" s="3"/>
      <c r="LG819" s="3"/>
      <c r="LH819" s="3"/>
      <c r="LI819" s="3"/>
      <c r="LJ819" s="3"/>
      <c r="LK819" s="3"/>
      <c r="LL819" s="3"/>
      <c r="LM819" s="3"/>
      <c r="LN819" s="3"/>
      <c r="LO819" s="3"/>
      <c r="LP819" s="3"/>
      <c r="LQ819" s="3"/>
      <c r="LR819" s="3"/>
      <c r="LS819" s="3"/>
      <c r="LT819" s="3"/>
      <c r="LU819" s="3"/>
      <c r="LV819" s="3"/>
      <c r="LW819" s="3"/>
      <c r="LX819" s="3"/>
      <c r="LY819" s="3"/>
      <c r="LZ819" s="3"/>
      <c r="MA819" s="3"/>
      <c r="MB819" s="3"/>
      <c r="MC819" s="3"/>
      <c r="MD819" s="3"/>
      <c r="ME819" s="3"/>
      <c r="MF819" s="3"/>
      <c r="MG819" s="3"/>
      <c r="MH819" s="3"/>
      <c r="MI819" s="3"/>
    </row>
    <row r="820" spans="1:347"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c r="HX820" s="3"/>
      <c r="HY820" s="3"/>
      <c r="HZ820" s="3"/>
      <c r="IA820" s="3"/>
      <c r="IB820" s="3"/>
      <c r="IC820" s="3"/>
      <c r="ID820" s="3"/>
      <c r="IE820" s="3"/>
      <c r="IF820" s="3"/>
      <c r="IG820" s="3"/>
      <c r="IH820" s="3"/>
      <c r="II820" s="3"/>
      <c r="IJ820" s="3"/>
      <c r="IK820" s="3"/>
      <c r="IL820" s="3"/>
      <c r="IM820" s="3"/>
      <c r="IN820" s="3"/>
      <c r="IO820" s="3"/>
      <c r="IP820" s="3"/>
      <c r="IQ820" s="3"/>
      <c r="IR820" s="3"/>
      <c r="IS820" s="3"/>
      <c r="IT820" s="3"/>
      <c r="IU820" s="3"/>
      <c r="IV820" s="3"/>
      <c r="IW820" s="3"/>
      <c r="IX820" s="3"/>
      <c r="IY820" s="3"/>
      <c r="IZ820" s="3"/>
      <c r="JA820" s="3"/>
      <c r="JB820" s="3"/>
      <c r="JC820" s="3"/>
      <c r="JD820" s="3"/>
      <c r="JE820" s="3"/>
      <c r="JF820" s="3"/>
      <c r="JG820" s="3"/>
      <c r="JH820" s="3"/>
      <c r="JI820" s="3"/>
      <c r="JJ820" s="3"/>
      <c r="JK820" s="3"/>
      <c r="JL820" s="3"/>
      <c r="JM820" s="3"/>
      <c r="JN820" s="3"/>
      <c r="JO820" s="3"/>
      <c r="JP820" s="3"/>
      <c r="JQ820" s="3"/>
      <c r="JR820" s="3"/>
      <c r="JS820" s="3"/>
      <c r="JT820" s="3"/>
      <c r="JU820" s="3"/>
      <c r="JV820" s="3"/>
      <c r="JW820" s="3"/>
      <c r="JX820" s="3"/>
      <c r="JY820" s="3"/>
      <c r="JZ820" s="3"/>
      <c r="KA820" s="3"/>
      <c r="KB820" s="3"/>
      <c r="KC820" s="3"/>
      <c r="KD820" s="3"/>
      <c r="KE820" s="3"/>
      <c r="KF820" s="3"/>
      <c r="KG820" s="3"/>
      <c r="KH820" s="3"/>
      <c r="KI820" s="3"/>
      <c r="KJ820" s="3"/>
      <c r="KK820" s="3"/>
      <c r="KL820" s="3"/>
      <c r="KM820" s="3"/>
      <c r="KN820" s="3"/>
      <c r="KO820" s="3"/>
      <c r="KP820" s="3"/>
      <c r="KQ820" s="3"/>
      <c r="KR820" s="3"/>
      <c r="KS820" s="3"/>
      <c r="KT820" s="3"/>
      <c r="KU820" s="3"/>
      <c r="KV820" s="3"/>
      <c r="KW820" s="3"/>
      <c r="KX820" s="3"/>
      <c r="KY820" s="3"/>
      <c r="KZ820" s="3"/>
      <c r="LA820" s="3"/>
      <c r="LB820" s="3"/>
      <c r="LC820" s="3"/>
      <c r="LD820" s="3"/>
      <c r="LE820" s="3"/>
      <c r="LF820" s="3"/>
      <c r="LG820" s="3"/>
      <c r="LH820" s="3"/>
      <c r="LI820" s="3"/>
      <c r="LJ820" s="3"/>
      <c r="LK820" s="3"/>
      <c r="LL820" s="3"/>
      <c r="LM820" s="3"/>
      <c r="LN820" s="3"/>
      <c r="LO820" s="3"/>
      <c r="LP820" s="3"/>
      <c r="LQ820" s="3"/>
      <c r="LR820" s="3"/>
      <c r="LS820" s="3"/>
      <c r="LT820" s="3"/>
      <c r="LU820" s="3"/>
      <c r="LV820" s="3"/>
      <c r="LW820" s="3"/>
      <c r="LX820" s="3"/>
      <c r="LY820" s="3"/>
      <c r="LZ820" s="3"/>
      <c r="MA820" s="3"/>
      <c r="MB820" s="3"/>
      <c r="MC820" s="3"/>
      <c r="MD820" s="3"/>
      <c r="ME820" s="3"/>
      <c r="MF820" s="3"/>
      <c r="MG820" s="3"/>
      <c r="MH820" s="3"/>
      <c r="MI820" s="3"/>
    </row>
    <row r="821" spans="1:347"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c r="HX821" s="3"/>
      <c r="HY821" s="3"/>
      <c r="HZ821" s="3"/>
      <c r="IA821" s="3"/>
      <c r="IB821" s="3"/>
      <c r="IC821" s="3"/>
      <c r="ID821" s="3"/>
      <c r="IE821" s="3"/>
      <c r="IF821" s="3"/>
      <c r="IG821" s="3"/>
      <c r="IH821" s="3"/>
      <c r="II821" s="3"/>
      <c r="IJ821" s="3"/>
      <c r="IK821" s="3"/>
      <c r="IL821" s="3"/>
      <c r="IM821" s="3"/>
      <c r="IN821" s="3"/>
      <c r="IO821" s="3"/>
      <c r="IP821" s="3"/>
      <c r="IQ821" s="3"/>
      <c r="IR821" s="3"/>
      <c r="IS821" s="3"/>
      <c r="IT821" s="3"/>
      <c r="IU821" s="3"/>
      <c r="IV821" s="3"/>
      <c r="IW821" s="3"/>
      <c r="IX821" s="3"/>
      <c r="IY821" s="3"/>
      <c r="IZ821" s="3"/>
      <c r="JA821" s="3"/>
      <c r="JB821" s="3"/>
      <c r="JC821" s="3"/>
      <c r="JD821" s="3"/>
      <c r="JE821" s="3"/>
      <c r="JF821" s="3"/>
      <c r="JG821" s="3"/>
      <c r="JH821" s="3"/>
      <c r="JI821" s="3"/>
      <c r="JJ821" s="3"/>
      <c r="JK821" s="3"/>
      <c r="JL821" s="3"/>
      <c r="JM821" s="3"/>
      <c r="JN821" s="3"/>
      <c r="JO821" s="3"/>
      <c r="JP821" s="3"/>
      <c r="JQ821" s="3"/>
      <c r="JR821" s="3"/>
      <c r="JS821" s="3"/>
      <c r="JT821" s="3"/>
      <c r="JU821" s="3"/>
      <c r="JV821" s="3"/>
      <c r="JW821" s="3"/>
      <c r="JX821" s="3"/>
      <c r="JY821" s="3"/>
      <c r="JZ821" s="3"/>
      <c r="KA821" s="3"/>
      <c r="KB821" s="3"/>
      <c r="KC821" s="3"/>
      <c r="KD821" s="3"/>
      <c r="KE821" s="3"/>
      <c r="KF821" s="3"/>
      <c r="KG821" s="3"/>
      <c r="KH821" s="3"/>
      <c r="KI821" s="3"/>
      <c r="KJ821" s="3"/>
      <c r="KK821" s="3"/>
      <c r="KL821" s="3"/>
      <c r="KM821" s="3"/>
      <c r="KN821" s="3"/>
      <c r="KO821" s="3"/>
      <c r="KP821" s="3"/>
      <c r="KQ821" s="3"/>
      <c r="KR821" s="3"/>
      <c r="KS821" s="3"/>
      <c r="KT821" s="3"/>
      <c r="KU821" s="3"/>
      <c r="KV821" s="3"/>
      <c r="KW821" s="3"/>
      <c r="KX821" s="3"/>
      <c r="KY821" s="3"/>
      <c r="KZ821" s="3"/>
      <c r="LA821" s="3"/>
      <c r="LB821" s="3"/>
      <c r="LC821" s="3"/>
      <c r="LD821" s="3"/>
      <c r="LE821" s="3"/>
      <c r="LF821" s="3"/>
      <c r="LG821" s="3"/>
      <c r="LH821" s="3"/>
      <c r="LI821" s="3"/>
      <c r="LJ821" s="3"/>
      <c r="LK821" s="3"/>
      <c r="LL821" s="3"/>
      <c r="LM821" s="3"/>
      <c r="LN821" s="3"/>
      <c r="LO821" s="3"/>
      <c r="LP821" s="3"/>
      <c r="LQ821" s="3"/>
      <c r="LR821" s="3"/>
      <c r="LS821" s="3"/>
      <c r="LT821" s="3"/>
      <c r="LU821" s="3"/>
      <c r="LV821" s="3"/>
      <c r="LW821" s="3"/>
      <c r="LX821" s="3"/>
      <c r="LY821" s="3"/>
      <c r="LZ821" s="3"/>
      <c r="MA821" s="3"/>
      <c r="MB821" s="3"/>
      <c r="MC821" s="3"/>
      <c r="MD821" s="3"/>
      <c r="ME821" s="3"/>
      <c r="MF821" s="3"/>
      <c r="MG821" s="3"/>
      <c r="MH821" s="3"/>
      <c r="MI821" s="3"/>
    </row>
    <row r="822" spans="1:347"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c r="HX822" s="3"/>
      <c r="HY822" s="3"/>
      <c r="HZ822" s="3"/>
      <c r="IA822" s="3"/>
      <c r="IB822" s="3"/>
      <c r="IC822" s="3"/>
      <c r="ID822" s="3"/>
      <c r="IE822" s="3"/>
      <c r="IF822" s="3"/>
      <c r="IG822" s="3"/>
      <c r="IH822" s="3"/>
      <c r="II822" s="3"/>
      <c r="IJ822" s="3"/>
      <c r="IK822" s="3"/>
      <c r="IL822" s="3"/>
      <c r="IM822" s="3"/>
      <c r="IN822" s="3"/>
      <c r="IO822" s="3"/>
      <c r="IP822" s="3"/>
      <c r="IQ822" s="3"/>
      <c r="IR822" s="3"/>
      <c r="IS822" s="3"/>
      <c r="IT822" s="3"/>
      <c r="IU822" s="3"/>
      <c r="IV822" s="3"/>
      <c r="IW822" s="3"/>
      <c r="IX822" s="3"/>
      <c r="IY822" s="3"/>
      <c r="IZ822" s="3"/>
      <c r="JA822" s="3"/>
      <c r="JB822" s="3"/>
      <c r="JC822" s="3"/>
      <c r="JD822" s="3"/>
      <c r="JE822" s="3"/>
      <c r="JF822" s="3"/>
      <c r="JG822" s="3"/>
      <c r="JH822" s="3"/>
      <c r="JI822" s="3"/>
      <c r="JJ822" s="3"/>
      <c r="JK822" s="3"/>
      <c r="JL822" s="3"/>
      <c r="JM822" s="3"/>
      <c r="JN822" s="3"/>
      <c r="JO822" s="3"/>
      <c r="JP822" s="3"/>
      <c r="JQ822" s="3"/>
      <c r="JR822" s="3"/>
      <c r="JS822" s="3"/>
      <c r="JT822" s="3"/>
      <c r="JU822" s="3"/>
      <c r="JV822" s="3"/>
      <c r="JW822" s="3"/>
      <c r="JX822" s="3"/>
      <c r="JY822" s="3"/>
      <c r="JZ822" s="3"/>
      <c r="KA822" s="3"/>
      <c r="KB822" s="3"/>
      <c r="KC822" s="3"/>
      <c r="KD822" s="3"/>
      <c r="KE822" s="3"/>
      <c r="KF822" s="3"/>
      <c r="KG822" s="3"/>
      <c r="KH822" s="3"/>
      <c r="KI822" s="3"/>
      <c r="KJ822" s="3"/>
      <c r="KK822" s="3"/>
      <c r="KL822" s="3"/>
      <c r="KM822" s="3"/>
      <c r="KN822" s="3"/>
      <c r="KO822" s="3"/>
      <c r="KP822" s="3"/>
      <c r="KQ822" s="3"/>
      <c r="KR822" s="3"/>
      <c r="KS822" s="3"/>
      <c r="KT822" s="3"/>
      <c r="KU822" s="3"/>
      <c r="KV822" s="3"/>
      <c r="KW822" s="3"/>
      <c r="KX822" s="3"/>
      <c r="KY822" s="3"/>
      <c r="KZ822" s="3"/>
      <c r="LA822" s="3"/>
      <c r="LB822" s="3"/>
      <c r="LC822" s="3"/>
      <c r="LD822" s="3"/>
      <c r="LE822" s="3"/>
      <c r="LF822" s="3"/>
      <c r="LG822" s="3"/>
      <c r="LH822" s="3"/>
      <c r="LI822" s="3"/>
      <c r="LJ822" s="3"/>
      <c r="LK822" s="3"/>
      <c r="LL822" s="3"/>
      <c r="LM822" s="3"/>
      <c r="LN822" s="3"/>
      <c r="LO822" s="3"/>
      <c r="LP822" s="3"/>
      <c r="LQ822" s="3"/>
      <c r="LR822" s="3"/>
      <c r="LS822" s="3"/>
      <c r="LT822" s="3"/>
      <c r="LU822" s="3"/>
      <c r="LV822" s="3"/>
      <c r="LW822" s="3"/>
      <c r="LX822" s="3"/>
      <c r="LY822" s="3"/>
      <c r="LZ822" s="3"/>
      <c r="MA822" s="3"/>
      <c r="MB822" s="3"/>
      <c r="MC822" s="3"/>
      <c r="MD822" s="3"/>
      <c r="ME822" s="3"/>
      <c r="MF822" s="3"/>
      <c r="MG822" s="3"/>
      <c r="MH822" s="3"/>
      <c r="MI822" s="3"/>
    </row>
    <row r="823" spans="1:347"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c r="HX823" s="3"/>
      <c r="HY823" s="3"/>
      <c r="HZ823" s="3"/>
      <c r="IA823" s="3"/>
      <c r="IB823" s="3"/>
      <c r="IC823" s="3"/>
      <c r="ID823" s="3"/>
      <c r="IE823" s="3"/>
      <c r="IF823" s="3"/>
      <c r="IG823" s="3"/>
      <c r="IH823" s="3"/>
      <c r="II823" s="3"/>
      <c r="IJ823" s="3"/>
      <c r="IK823" s="3"/>
      <c r="IL823" s="3"/>
      <c r="IM823" s="3"/>
      <c r="IN823" s="3"/>
      <c r="IO823" s="3"/>
      <c r="IP823" s="3"/>
      <c r="IQ823" s="3"/>
      <c r="IR823" s="3"/>
      <c r="IS823" s="3"/>
      <c r="IT823" s="3"/>
      <c r="IU823" s="3"/>
      <c r="IV823" s="3"/>
      <c r="IW823" s="3"/>
      <c r="IX823" s="3"/>
      <c r="IY823" s="3"/>
      <c r="IZ823" s="3"/>
      <c r="JA823" s="3"/>
      <c r="JB823" s="3"/>
      <c r="JC823" s="3"/>
      <c r="JD823" s="3"/>
      <c r="JE823" s="3"/>
      <c r="JF823" s="3"/>
      <c r="JG823" s="3"/>
      <c r="JH823" s="3"/>
      <c r="JI823" s="3"/>
      <c r="JJ823" s="3"/>
      <c r="JK823" s="3"/>
      <c r="JL823" s="3"/>
      <c r="JM823" s="3"/>
      <c r="JN823" s="3"/>
      <c r="JO823" s="3"/>
      <c r="JP823" s="3"/>
      <c r="JQ823" s="3"/>
      <c r="JR823" s="3"/>
      <c r="JS823" s="3"/>
      <c r="JT823" s="3"/>
      <c r="JU823" s="3"/>
      <c r="JV823" s="3"/>
      <c r="JW823" s="3"/>
      <c r="JX823" s="3"/>
      <c r="JY823" s="3"/>
      <c r="JZ823" s="3"/>
      <c r="KA823" s="3"/>
      <c r="KB823" s="3"/>
      <c r="KC823" s="3"/>
      <c r="KD823" s="3"/>
      <c r="KE823" s="3"/>
      <c r="KF823" s="3"/>
      <c r="KG823" s="3"/>
      <c r="KH823" s="3"/>
      <c r="KI823" s="3"/>
      <c r="KJ823" s="3"/>
      <c r="KK823" s="3"/>
      <c r="KL823" s="3"/>
      <c r="KM823" s="3"/>
      <c r="KN823" s="3"/>
      <c r="KO823" s="3"/>
      <c r="KP823" s="3"/>
      <c r="KQ823" s="3"/>
      <c r="KR823" s="3"/>
      <c r="KS823" s="3"/>
      <c r="KT823" s="3"/>
      <c r="KU823" s="3"/>
      <c r="KV823" s="3"/>
      <c r="KW823" s="3"/>
      <c r="KX823" s="3"/>
      <c r="KY823" s="3"/>
      <c r="KZ823" s="3"/>
      <c r="LA823" s="3"/>
      <c r="LB823" s="3"/>
      <c r="LC823" s="3"/>
      <c r="LD823" s="3"/>
      <c r="LE823" s="3"/>
      <c r="LF823" s="3"/>
      <c r="LG823" s="3"/>
      <c r="LH823" s="3"/>
      <c r="LI823" s="3"/>
      <c r="LJ823" s="3"/>
      <c r="LK823" s="3"/>
      <c r="LL823" s="3"/>
      <c r="LM823" s="3"/>
      <c r="LN823" s="3"/>
      <c r="LO823" s="3"/>
      <c r="LP823" s="3"/>
      <c r="LQ823" s="3"/>
      <c r="LR823" s="3"/>
      <c r="LS823" s="3"/>
      <c r="LT823" s="3"/>
      <c r="LU823" s="3"/>
      <c r="LV823" s="3"/>
      <c r="LW823" s="3"/>
      <c r="LX823" s="3"/>
      <c r="LY823" s="3"/>
      <c r="LZ823" s="3"/>
      <c r="MA823" s="3"/>
      <c r="MB823" s="3"/>
      <c r="MC823" s="3"/>
      <c r="MD823" s="3"/>
      <c r="ME823" s="3"/>
      <c r="MF823" s="3"/>
      <c r="MG823" s="3"/>
      <c r="MH823" s="3"/>
      <c r="MI823" s="3"/>
    </row>
    <row r="824" spans="1:347"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c r="HX824" s="3"/>
      <c r="HY824" s="3"/>
      <c r="HZ824" s="3"/>
      <c r="IA824" s="3"/>
      <c r="IB824" s="3"/>
      <c r="IC824" s="3"/>
      <c r="ID824" s="3"/>
      <c r="IE824" s="3"/>
      <c r="IF824" s="3"/>
      <c r="IG824" s="3"/>
      <c r="IH824" s="3"/>
      <c r="II824" s="3"/>
      <c r="IJ824" s="3"/>
      <c r="IK824" s="3"/>
      <c r="IL824" s="3"/>
      <c r="IM824" s="3"/>
      <c r="IN824" s="3"/>
      <c r="IO824" s="3"/>
      <c r="IP824" s="3"/>
      <c r="IQ824" s="3"/>
      <c r="IR824" s="3"/>
      <c r="IS824" s="3"/>
      <c r="IT824" s="3"/>
      <c r="IU824" s="3"/>
      <c r="IV824" s="3"/>
      <c r="IW824" s="3"/>
      <c r="IX824" s="3"/>
      <c r="IY824" s="3"/>
      <c r="IZ824" s="3"/>
      <c r="JA824" s="3"/>
      <c r="JB824" s="3"/>
      <c r="JC824" s="3"/>
      <c r="JD824" s="3"/>
      <c r="JE824" s="3"/>
      <c r="JF824" s="3"/>
      <c r="JG824" s="3"/>
      <c r="JH824" s="3"/>
      <c r="JI824" s="3"/>
      <c r="JJ824" s="3"/>
      <c r="JK824" s="3"/>
      <c r="JL824" s="3"/>
      <c r="JM824" s="3"/>
      <c r="JN824" s="3"/>
      <c r="JO824" s="3"/>
      <c r="JP824" s="3"/>
      <c r="JQ824" s="3"/>
      <c r="JR824" s="3"/>
      <c r="JS824" s="3"/>
      <c r="JT824" s="3"/>
      <c r="JU824" s="3"/>
      <c r="JV824" s="3"/>
      <c r="JW824" s="3"/>
      <c r="JX824" s="3"/>
      <c r="JY824" s="3"/>
      <c r="JZ824" s="3"/>
      <c r="KA824" s="3"/>
      <c r="KB824" s="3"/>
      <c r="KC824" s="3"/>
      <c r="KD824" s="3"/>
      <c r="KE824" s="3"/>
      <c r="KF824" s="3"/>
      <c r="KG824" s="3"/>
      <c r="KH824" s="3"/>
      <c r="KI824" s="3"/>
      <c r="KJ824" s="3"/>
      <c r="KK824" s="3"/>
      <c r="KL824" s="3"/>
      <c r="KM824" s="3"/>
      <c r="KN824" s="3"/>
      <c r="KO824" s="3"/>
      <c r="KP824" s="3"/>
      <c r="KQ824" s="3"/>
      <c r="KR824" s="3"/>
      <c r="KS824" s="3"/>
      <c r="KT824" s="3"/>
      <c r="KU824" s="3"/>
      <c r="KV824" s="3"/>
      <c r="KW824" s="3"/>
      <c r="KX824" s="3"/>
      <c r="KY824" s="3"/>
      <c r="KZ824" s="3"/>
      <c r="LA824" s="3"/>
      <c r="LB824" s="3"/>
      <c r="LC824" s="3"/>
      <c r="LD824" s="3"/>
      <c r="LE824" s="3"/>
      <c r="LF824" s="3"/>
      <c r="LG824" s="3"/>
      <c r="LH824" s="3"/>
      <c r="LI824" s="3"/>
      <c r="LJ824" s="3"/>
      <c r="LK824" s="3"/>
      <c r="LL824" s="3"/>
      <c r="LM824" s="3"/>
      <c r="LN824" s="3"/>
      <c r="LO824" s="3"/>
      <c r="LP824" s="3"/>
      <c r="LQ824" s="3"/>
      <c r="LR824" s="3"/>
      <c r="LS824" s="3"/>
      <c r="LT824" s="3"/>
      <c r="LU824" s="3"/>
      <c r="LV824" s="3"/>
      <c r="LW824" s="3"/>
      <c r="LX824" s="3"/>
      <c r="LY824" s="3"/>
      <c r="LZ824" s="3"/>
      <c r="MA824" s="3"/>
      <c r="MB824" s="3"/>
      <c r="MC824" s="3"/>
      <c r="MD824" s="3"/>
      <c r="ME824" s="3"/>
      <c r="MF824" s="3"/>
      <c r="MG824" s="3"/>
      <c r="MH824" s="3"/>
      <c r="MI824" s="3"/>
    </row>
    <row r="825" spans="1:347"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c r="HX825" s="3"/>
      <c r="HY825" s="3"/>
      <c r="HZ825" s="3"/>
      <c r="IA825" s="3"/>
      <c r="IB825" s="3"/>
      <c r="IC825" s="3"/>
      <c r="ID825" s="3"/>
      <c r="IE825" s="3"/>
      <c r="IF825" s="3"/>
      <c r="IG825" s="3"/>
      <c r="IH825" s="3"/>
      <c r="II825" s="3"/>
      <c r="IJ825" s="3"/>
      <c r="IK825" s="3"/>
      <c r="IL825" s="3"/>
      <c r="IM825" s="3"/>
      <c r="IN825" s="3"/>
      <c r="IO825" s="3"/>
      <c r="IP825" s="3"/>
      <c r="IQ825" s="3"/>
      <c r="IR825" s="3"/>
      <c r="IS825" s="3"/>
      <c r="IT825" s="3"/>
      <c r="IU825" s="3"/>
      <c r="IV825" s="3"/>
      <c r="IW825" s="3"/>
      <c r="IX825" s="3"/>
      <c r="IY825" s="3"/>
      <c r="IZ825" s="3"/>
      <c r="JA825" s="3"/>
      <c r="JB825" s="3"/>
      <c r="JC825" s="3"/>
      <c r="JD825" s="3"/>
      <c r="JE825" s="3"/>
      <c r="JF825" s="3"/>
      <c r="JG825" s="3"/>
      <c r="JH825" s="3"/>
      <c r="JI825" s="3"/>
      <c r="JJ825" s="3"/>
      <c r="JK825" s="3"/>
      <c r="JL825" s="3"/>
      <c r="JM825" s="3"/>
      <c r="JN825" s="3"/>
      <c r="JO825" s="3"/>
      <c r="JP825" s="3"/>
      <c r="JQ825" s="3"/>
      <c r="JR825" s="3"/>
      <c r="JS825" s="3"/>
      <c r="JT825" s="3"/>
      <c r="JU825" s="3"/>
      <c r="JV825" s="3"/>
      <c r="JW825" s="3"/>
      <c r="JX825" s="3"/>
      <c r="JY825" s="3"/>
      <c r="JZ825" s="3"/>
      <c r="KA825" s="3"/>
      <c r="KB825" s="3"/>
      <c r="KC825" s="3"/>
      <c r="KD825" s="3"/>
      <c r="KE825" s="3"/>
      <c r="KF825" s="3"/>
      <c r="KG825" s="3"/>
      <c r="KH825" s="3"/>
      <c r="KI825" s="3"/>
      <c r="KJ825" s="3"/>
      <c r="KK825" s="3"/>
      <c r="KL825" s="3"/>
      <c r="KM825" s="3"/>
      <c r="KN825" s="3"/>
      <c r="KO825" s="3"/>
      <c r="KP825" s="3"/>
      <c r="KQ825" s="3"/>
      <c r="KR825" s="3"/>
      <c r="KS825" s="3"/>
      <c r="KT825" s="3"/>
      <c r="KU825" s="3"/>
      <c r="KV825" s="3"/>
      <c r="KW825" s="3"/>
      <c r="KX825" s="3"/>
      <c r="KY825" s="3"/>
      <c r="KZ825" s="3"/>
      <c r="LA825" s="3"/>
      <c r="LB825" s="3"/>
      <c r="LC825" s="3"/>
      <c r="LD825" s="3"/>
      <c r="LE825" s="3"/>
      <c r="LF825" s="3"/>
      <c r="LG825" s="3"/>
      <c r="LH825" s="3"/>
      <c r="LI825" s="3"/>
      <c r="LJ825" s="3"/>
      <c r="LK825" s="3"/>
      <c r="LL825" s="3"/>
      <c r="LM825" s="3"/>
      <c r="LN825" s="3"/>
      <c r="LO825" s="3"/>
      <c r="LP825" s="3"/>
      <c r="LQ825" s="3"/>
      <c r="LR825" s="3"/>
      <c r="LS825" s="3"/>
      <c r="LT825" s="3"/>
      <c r="LU825" s="3"/>
      <c r="LV825" s="3"/>
      <c r="LW825" s="3"/>
      <c r="LX825" s="3"/>
      <c r="LY825" s="3"/>
      <c r="LZ825" s="3"/>
      <c r="MA825" s="3"/>
      <c r="MB825" s="3"/>
      <c r="MC825" s="3"/>
      <c r="MD825" s="3"/>
      <c r="ME825" s="3"/>
      <c r="MF825" s="3"/>
      <c r="MG825" s="3"/>
      <c r="MH825" s="3"/>
      <c r="MI825" s="3"/>
    </row>
    <row r="826" spans="1:347"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c r="HX826" s="3"/>
      <c r="HY826" s="3"/>
      <c r="HZ826" s="3"/>
      <c r="IA826" s="3"/>
      <c r="IB826" s="3"/>
      <c r="IC826" s="3"/>
      <c r="ID826" s="3"/>
      <c r="IE826" s="3"/>
      <c r="IF826" s="3"/>
      <c r="IG826" s="3"/>
      <c r="IH826" s="3"/>
      <c r="II826" s="3"/>
      <c r="IJ826" s="3"/>
      <c r="IK826" s="3"/>
      <c r="IL826" s="3"/>
      <c r="IM826" s="3"/>
      <c r="IN826" s="3"/>
      <c r="IO826" s="3"/>
      <c r="IP826" s="3"/>
      <c r="IQ826" s="3"/>
      <c r="IR826" s="3"/>
      <c r="IS826" s="3"/>
      <c r="IT826" s="3"/>
      <c r="IU826" s="3"/>
      <c r="IV826" s="3"/>
      <c r="IW826" s="3"/>
      <c r="IX826" s="3"/>
      <c r="IY826" s="3"/>
      <c r="IZ826" s="3"/>
      <c r="JA826" s="3"/>
      <c r="JB826" s="3"/>
      <c r="JC826" s="3"/>
      <c r="JD826" s="3"/>
      <c r="JE826" s="3"/>
      <c r="JF826" s="3"/>
      <c r="JG826" s="3"/>
      <c r="JH826" s="3"/>
      <c r="JI826" s="3"/>
      <c r="JJ826" s="3"/>
      <c r="JK826" s="3"/>
      <c r="JL826" s="3"/>
      <c r="JM826" s="3"/>
      <c r="JN826" s="3"/>
      <c r="JO826" s="3"/>
      <c r="JP826" s="3"/>
      <c r="JQ826" s="3"/>
      <c r="JR826" s="3"/>
      <c r="JS826" s="3"/>
      <c r="JT826" s="3"/>
      <c r="JU826" s="3"/>
      <c r="JV826" s="3"/>
      <c r="JW826" s="3"/>
      <c r="JX826" s="3"/>
      <c r="JY826" s="3"/>
      <c r="JZ826" s="3"/>
      <c r="KA826" s="3"/>
      <c r="KB826" s="3"/>
      <c r="KC826" s="3"/>
      <c r="KD826" s="3"/>
      <c r="KE826" s="3"/>
      <c r="KF826" s="3"/>
      <c r="KG826" s="3"/>
      <c r="KH826" s="3"/>
      <c r="KI826" s="3"/>
      <c r="KJ826" s="3"/>
      <c r="KK826" s="3"/>
      <c r="KL826" s="3"/>
      <c r="KM826" s="3"/>
      <c r="KN826" s="3"/>
      <c r="KO826" s="3"/>
      <c r="KP826" s="3"/>
      <c r="KQ826" s="3"/>
      <c r="KR826" s="3"/>
      <c r="KS826" s="3"/>
      <c r="KT826" s="3"/>
      <c r="KU826" s="3"/>
      <c r="KV826" s="3"/>
      <c r="KW826" s="3"/>
      <c r="KX826" s="3"/>
      <c r="KY826" s="3"/>
      <c r="KZ826" s="3"/>
      <c r="LA826" s="3"/>
      <c r="LB826" s="3"/>
      <c r="LC826" s="3"/>
      <c r="LD826" s="3"/>
      <c r="LE826" s="3"/>
      <c r="LF826" s="3"/>
      <c r="LG826" s="3"/>
      <c r="LH826" s="3"/>
      <c r="LI826" s="3"/>
      <c r="LJ826" s="3"/>
      <c r="LK826" s="3"/>
      <c r="LL826" s="3"/>
      <c r="LM826" s="3"/>
      <c r="LN826" s="3"/>
      <c r="LO826" s="3"/>
      <c r="LP826" s="3"/>
      <c r="LQ826" s="3"/>
      <c r="LR826" s="3"/>
      <c r="LS826" s="3"/>
      <c r="LT826" s="3"/>
      <c r="LU826" s="3"/>
      <c r="LV826" s="3"/>
      <c r="LW826" s="3"/>
      <c r="LX826" s="3"/>
      <c r="LY826" s="3"/>
      <c r="LZ826" s="3"/>
      <c r="MA826" s="3"/>
      <c r="MB826" s="3"/>
      <c r="MC826" s="3"/>
      <c r="MD826" s="3"/>
      <c r="ME826" s="3"/>
      <c r="MF826" s="3"/>
      <c r="MG826" s="3"/>
      <c r="MH826" s="3"/>
      <c r="MI826" s="3"/>
    </row>
    <row r="827" spans="1:347"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c r="HX827" s="3"/>
      <c r="HY827" s="3"/>
      <c r="HZ827" s="3"/>
      <c r="IA827" s="3"/>
      <c r="IB827" s="3"/>
      <c r="IC827" s="3"/>
      <c r="ID827" s="3"/>
      <c r="IE827" s="3"/>
      <c r="IF827" s="3"/>
      <c r="IG827" s="3"/>
      <c r="IH827" s="3"/>
      <c r="II827" s="3"/>
      <c r="IJ827" s="3"/>
      <c r="IK827" s="3"/>
      <c r="IL827" s="3"/>
      <c r="IM827" s="3"/>
      <c r="IN827" s="3"/>
      <c r="IO827" s="3"/>
      <c r="IP827" s="3"/>
      <c r="IQ827" s="3"/>
      <c r="IR827" s="3"/>
      <c r="IS827" s="3"/>
      <c r="IT827" s="3"/>
      <c r="IU827" s="3"/>
      <c r="IV827" s="3"/>
      <c r="IW827" s="3"/>
      <c r="IX827" s="3"/>
      <c r="IY827" s="3"/>
      <c r="IZ827" s="3"/>
      <c r="JA827" s="3"/>
      <c r="JB827" s="3"/>
      <c r="JC827" s="3"/>
      <c r="JD827" s="3"/>
      <c r="JE827" s="3"/>
      <c r="JF827" s="3"/>
      <c r="JG827" s="3"/>
      <c r="JH827" s="3"/>
      <c r="JI827" s="3"/>
      <c r="JJ827" s="3"/>
      <c r="JK827" s="3"/>
      <c r="JL827" s="3"/>
      <c r="JM827" s="3"/>
      <c r="JN827" s="3"/>
      <c r="JO827" s="3"/>
      <c r="JP827" s="3"/>
      <c r="JQ827" s="3"/>
      <c r="JR827" s="3"/>
      <c r="JS827" s="3"/>
      <c r="JT827" s="3"/>
      <c r="JU827" s="3"/>
      <c r="JV827" s="3"/>
      <c r="JW827" s="3"/>
      <c r="JX827" s="3"/>
      <c r="JY827" s="3"/>
      <c r="JZ827" s="3"/>
      <c r="KA827" s="3"/>
      <c r="KB827" s="3"/>
      <c r="KC827" s="3"/>
      <c r="KD827" s="3"/>
      <c r="KE827" s="3"/>
      <c r="KF827" s="3"/>
      <c r="KG827" s="3"/>
      <c r="KH827" s="3"/>
      <c r="KI827" s="3"/>
      <c r="KJ827" s="3"/>
      <c r="KK827" s="3"/>
      <c r="KL827" s="3"/>
      <c r="KM827" s="3"/>
      <c r="KN827" s="3"/>
      <c r="KO827" s="3"/>
      <c r="KP827" s="3"/>
      <c r="KQ827" s="3"/>
      <c r="KR827" s="3"/>
      <c r="KS827" s="3"/>
      <c r="KT827" s="3"/>
      <c r="KU827" s="3"/>
      <c r="KV827" s="3"/>
      <c r="KW827" s="3"/>
      <c r="KX827" s="3"/>
      <c r="KY827" s="3"/>
      <c r="KZ827" s="3"/>
      <c r="LA827" s="3"/>
      <c r="LB827" s="3"/>
      <c r="LC827" s="3"/>
      <c r="LD827" s="3"/>
      <c r="LE827" s="3"/>
      <c r="LF827" s="3"/>
      <c r="LG827" s="3"/>
      <c r="LH827" s="3"/>
      <c r="LI827" s="3"/>
      <c r="LJ827" s="3"/>
      <c r="LK827" s="3"/>
      <c r="LL827" s="3"/>
      <c r="LM827" s="3"/>
      <c r="LN827" s="3"/>
      <c r="LO827" s="3"/>
      <c r="LP827" s="3"/>
      <c r="LQ827" s="3"/>
      <c r="LR827" s="3"/>
      <c r="LS827" s="3"/>
      <c r="LT827" s="3"/>
      <c r="LU827" s="3"/>
      <c r="LV827" s="3"/>
      <c r="LW827" s="3"/>
      <c r="LX827" s="3"/>
      <c r="LY827" s="3"/>
      <c r="LZ827" s="3"/>
      <c r="MA827" s="3"/>
      <c r="MB827" s="3"/>
      <c r="MC827" s="3"/>
      <c r="MD827" s="3"/>
      <c r="ME827" s="3"/>
      <c r="MF827" s="3"/>
      <c r="MG827" s="3"/>
      <c r="MH827" s="3"/>
      <c r="MI827" s="3"/>
    </row>
    <row r="828" spans="1:347"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c r="HX828" s="3"/>
      <c r="HY828" s="3"/>
      <c r="HZ828" s="3"/>
      <c r="IA828" s="3"/>
      <c r="IB828" s="3"/>
      <c r="IC828" s="3"/>
      <c r="ID828" s="3"/>
      <c r="IE828" s="3"/>
      <c r="IF828" s="3"/>
      <c r="IG828" s="3"/>
      <c r="IH828" s="3"/>
      <c r="II828" s="3"/>
      <c r="IJ828" s="3"/>
      <c r="IK828" s="3"/>
      <c r="IL828" s="3"/>
      <c r="IM828" s="3"/>
      <c r="IN828" s="3"/>
      <c r="IO828" s="3"/>
      <c r="IP828" s="3"/>
      <c r="IQ828" s="3"/>
      <c r="IR828" s="3"/>
      <c r="IS828" s="3"/>
      <c r="IT828" s="3"/>
      <c r="IU828" s="3"/>
      <c r="IV828" s="3"/>
      <c r="IW828" s="3"/>
      <c r="IX828" s="3"/>
      <c r="IY828" s="3"/>
      <c r="IZ828" s="3"/>
      <c r="JA828" s="3"/>
      <c r="JB828" s="3"/>
      <c r="JC828" s="3"/>
      <c r="JD828" s="3"/>
      <c r="JE828" s="3"/>
      <c r="JF828" s="3"/>
      <c r="JG828" s="3"/>
      <c r="JH828" s="3"/>
      <c r="JI828" s="3"/>
      <c r="JJ828" s="3"/>
      <c r="JK828" s="3"/>
      <c r="JL828" s="3"/>
      <c r="JM828" s="3"/>
      <c r="JN828" s="3"/>
      <c r="JO828" s="3"/>
      <c r="JP828" s="3"/>
      <c r="JQ828" s="3"/>
      <c r="JR828" s="3"/>
      <c r="JS828" s="3"/>
      <c r="JT828" s="3"/>
      <c r="JU828" s="3"/>
      <c r="JV828" s="3"/>
      <c r="JW828" s="3"/>
      <c r="JX828" s="3"/>
      <c r="JY828" s="3"/>
      <c r="JZ828" s="3"/>
      <c r="KA828" s="3"/>
      <c r="KB828" s="3"/>
      <c r="KC828" s="3"/>
      <c r="KD828" s="3"/>
      <c r="KE828" s="3"/>
      <c r="KF828" s="3"/>
      <c r="KG828" s="3"/>
      <c r="KH828" s="3"/>
      <c r="KI828" s="3"/>
      <c r="KJ828" s="3"/>
      <c r="KK828" s="3"/>
      <c r="KL828" s="3"/>
      <c r="KM828" s="3"/>
      <c r="KN828" s="3"/>
      <c r="KO828" s="3"/>
      <c r="KP828" s="3"/>
      <c r="KQ828" s="3"/>
      <c r="KR828" s="3"/>
      <c r="KS828" s="3"/>
      <c r="KT828" s="3"/>
      <c r="KU828" s="3"/>
      <c r="KV828" s="3"/>
      <c r="KW828" s="3"/>
      <c r="KX828" s="3"/>
      <c r="KY828" s="3"/>
      <c r="KZ828" s="3"/>
      <c r="LA828" s="3"/>
      <c r="LB828" s="3"/>
      <c r="LC828" s="3"/>
      <c r="LD828" s="3"/>
      <c r="LE828" s="3"/>
      <c r="LF828" s="3"/>
      <c r="LG828" s="3"/>
      <c r="LH828" s="3"/>
      <c r="LI828" s="3"/>
      <c r="LJ828" s="3"/>
      <c r="LK828" s="3"/>
      <c r="LL828" s="3"/>
      <c r="LM828" s="3"/>
      <c r="LN828" s="3"/>
      <c r="LO828" s="3"/>
      <c r="LP828" s="3"/>
      <c r="LQ828" s="3"/>
      <c r="LR828" s="3"/>
      <c r="LS828" s="3"/>
      <c r="LT828" s="3"/>
      <c r="LU828" s="3"/>
      <c r="LV828" s="3"/>
      <c r="LW828" s="3"/>
      <c r="LX828" s="3"/>
      <c r="LY828" s="3"/>
      <c r="LZ828" s="3"/>
      <c r="MA828" s="3"/>
      <c r="MB828" s="3"/>
      <c r="MC828" s="3"/>
      <c r="MD828" s="3"/>
      <c r="ME828" s="3"/>
      <c r="MF828" s="3"/>
      <c r="MG828" s="3"/>
      <c r="MH828" s="3"/>
      <c r="MI828" s="3"/>
    </row>
    <row r="829" spans="1:347"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c r="HX829" s="3"/>
      <c r="HY829" s="3"/>
      <c r="HZ829" s="3"/>
      <c r="IA829" s="3"/>
      <c r="IB829" s="3"/>
      <c r="IC829" s="3"/>
      <c r="ID829" s="3"/>
      <c r="IE829" s="3"/>
      <c r="IF829" s="3"/>
      <c r="IG829" s="3"/>
      <c r="IH829" s="3"/>
      <c r="II829" s="3"/>
      <c r="IJ829" s="3"/>
      <c r="IK829" s="3"/>
      <c r="IL829" s="3"/>
      <c r="IM829" s="3"/>
      <c r="IN829" s="3"/>
      <c r="IO829" s="3"/>
      <c r="IP829" s="3"/>
      <c r="IQ829" s="3"/>
      <c r="IR829" s="3"/>
      <c r="IS829" s="3"/>
      <c r="IT829" s="3"/>
      <c r="IU829" s="3"/>
      <c r="IV829" s="3"/>
      <c r="IW829" s="3"/>
      <c r="IX829" s="3"/>
      <c r="IY829" s="3"/>
      <c r="IZ829" s="3"/>
      <c r="JA829" s="3"/>
      <c r="JB829" s="3"/>
      <c r="JC829" s="3"/>
      <c r="JD829" s="3"/>
      <c r="JE829" s="3"/>
      <c r="JF829" s="3"/>
      <c r="JG829" s="3"/>
      <c r="JH829" s="3"/>
      <c r="JI829" s="3"/>
      <c r="JJ829" s="3"/>
      <c r="JK829" s="3"/>
      <c r="JL829" s="3"/>
      <c r="JM829" s="3"/>
      <c r="JN829" s="3"/>
      <c r="JO829" s="3"/>
      <c r="JP829" s="3"/>
      <c r="JQ829" s="3"/>
      <c r="JR829" s="3"/>
      <c r="JS829" s="3"/>
      <c r="JT829" s="3"/>
      <c r="JU829" s="3"/>
      <c r="JV829" s="3"/>
      <c r="JW829" s="3"/>
      <c r="JX829" s="3"/>
      <c r="JY829" s="3"/>
      <c r="JZ829" s="3"/>
      <c r="KA829" s="3"/>
      <c r="KB829" s="3"/>
      <c r="KC829" s="3"/>
      <c r="KD829" s="3"/>
      <c r="KE829" s="3"/>
      <c r="KF829" s="3"/>
      <c r="KG829" s="3"/>
      <c r="KH829" s="3"/>
      <c r="KI829" s="3"/>
      <c r="KJ829" s="3"/>
      <c r="KK829" s="3"/>
      <c r="KL829" s="3"/>
      <c r="KM829" s="3"/>
      <c r="KN829" s="3"/>
      <c r="KO829" s="3"/>
      <c r="KP829" s="3"/>
      <c r="KQ829" s="3"/>
      <c r="KR829" s="3"/>
      <c r="KS829" s="3"/>
      <c r="KT829" s="3"/>
      <c r="KU829" s="3"/>
      <c r="KV829" s="3"/>
      <c r="KW829" s="3"/>
      <c r="KX829" s="3"/>
      <c r="KY829" s="3"/>
      <c r="KZ829" s="3"/>
      <c r="LA829" s="3"/>
      <c r="LB829" s="3"/>
      <c r="LC829" s="3"/>
      <c r="LD829" s="3"/>
      <c r="LE829" s="3"/>
      <c r="LF829" s="3"/>
      <c r="LG829" s="3"/>
      <c r="LH829" s="3"/>
      <c r="LI829" s="3"/>
      <c r="LJ829" s="3"/>
      <c r="LK829" s="3"/>
      <c r="LL829" s="3"/>
      <c r="LM829" s="3"/>
      <c r="LN829" s="3"/>
      <c r="LO829" s="3"/>
      <c r="LP829" s="3"/>
      <c r="LQ829" s="3"/>
      <c r="LR829" s="3"/>
      <c r="LS829" s="3"/>
      <c r="LT829" s="3"/>
      <c r="LU829" s="3"/>
      <c r="LV829" s="3"/>
      <c r="LW829" s="3"/>
      <c r="LX829" s="3"/>
      <c r="LY829" s="3"/>
      <c r="LZ829" s="3"/>
      <c r="MA829" s="3"/>
      <c r="MB829" s="3"/>
      <c r="MC829" s="3"/>
      <c r="MD829" s="3"/>
      <c r="ME829" s="3"/>
      <c r="MF829" s="3"/>
      <c r="MG829" s="3"/>
      <c r="MH829" s="3"/>
      <c r="MI829" s="3"/>
    </row>
    <row r="830" spans="1:347"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c r="HX830" s="3"/>
      <c r="HY830" s="3"/>
      <c r="HZ830" s="3"/>
      <c r="IA830" s="3"/>
      <c r="IB830" s="3"/>
      <c r="IC830" s="3"/>
      <c r="ID830" s="3"/>
      <c r="IE830" s="3"/>
      <c r="IF830" s="3"/>
      <c r="IG830" s="3"/>
      <c r="IH830" s="3"/>
      <c r="II830" s="3"/>
      <c r="IJ830" s="3"/>
      <c r="IK830" s="3"/>
      <c r="IL830" s="3"/>
      <c r="IM830" s="3"/>
      <c r="IN830" s="3"/>
      <c r="IO830" s="3"/>
      <c r="IP830" s="3"/>
      <c r="IQ830" s="3"/>
      <c r="IR830" s="3"/>
      <c r="IS830" s="3"/>
      <c r="IT830" s="3"/>
      <c r="IU830" s="3"/>
      <c r="IV830" s="3"/>
      <c r="IW830" s="3"/>
      <c r="IX830" s="3"/>
      <c r="IY830" s="3"/>
      <c r="IZ830" s="3"/>
      <c r="JA830" s="3"/>
      <c r="JB830" s="3"/>
      <c r="JC830" s="3"/>
      <c r="JD830" s="3"/>
      <c r="JE830" s="3"/>
      <c r="JF830" s="3"/>
      <c r="JG830" s="3"/>
      <c r="JH830" s="3"/>
      <c r="JI830" s="3"/>
      <c r="JJ830" s="3"/>
      <c r="JK830" s="3"/>
      <c r="JL830" s="3"/>
      <c r="JM830" s="3"/>
      <c r="JN830" s="3"/>
      <c r="JO830" s="3"/>
      <c r="JP830" s="3"/>
      <c r="JQ830" s="3"/>
      <c r="JR830" s="3"/>
      <c r="JS830" s="3"/>
      <c r="JT830" s="3"/>
      <c r="JU830" s="3"/>
      <c r="JV830" s="3"/>
      <c r="JW830" s="3"/>
      <c r="JX830" s="3"/>
      <c r="JY830" s="3"/>
      <c r="JZ830" s="3"/>
      <c r="KA830" s="3"/>
      <c r="KB830" s="3"/>
      <c r="KC830" s="3"/>
      <c r="KD830" s="3"/>
      <c r="KE830" s="3"/>
      <c r="KF830" s="3"/>
      <c r="KG830" s="3"/>
      <c r="KH830" s="3"/>
      <c r="KI830" s="3"/>
      <c r="KJ830" s="3"/>
      <c r="KK830" s="3"/>
      <c r="KL830" s="3"/>
      <c r="KM830" s="3"/>
      <c r="KN830" s="3"/>
      <c r="KO830" s="3"/>
      <c r="KP830" s="3"/>
      <c r="KQ830" s="3"/>
      <c r="KR830" s="3"/>
      <c r="KS830" s="3"/>
      <c r="KT830" s="3"/>
      <c r="KU830" s="3"/>
      <c r="KV830" s="3"/>
      <c r="KW830" s="3"/>
      <c r="KX830" s="3"/>
      <c r="KY830" s="3"/>
      <c r="KZ830" s="3"/>
      <c r="LA830" s="3"/>
      <c r="LB830" s="3"/>
      <c r="LC830" s="3"/>
      <c r="LD830" s="3"/>
      <c r="LE830" s="3"/>
      <c r="LF830" s="3"/>
      <c r="LG830" s="3"/>
      <c r="LH830" s="3"/>
      <c r="LI830" s="3"/>
      <c r="LJ830" s="3"/>
      <c r="LK830" s="3"/>
      <c r="LL830" s="3"/>
      <c r="LM830" s="3"/>
      <c r="LN830" s="3"/>
      <c r="LO830" s="3"/>
      <c r="LP830" s="3"/>
      <c r="LQ830" s="3"/>
      <c r="LR830" s="3"/>
      <c r="LS830" s="3"/>
      <c r="LT830" s="3"/>
      <c r="LU830" s="3"/>
      <c r="LV830" s="3"/>
      <c r="LW830" s="3"/>
      <c r="LX830" s="3"/>
      <c r="LY830" s="3"/>
      <c r="LZ830" s="3"/>
      <c r="MA830" s="3"/>
      <c r="MB830" s="3"/>
      <c r="MC830" s="3"/>
      <c r="MD830" s="3"/>
      <c r="ME830" s="3"/>
      <c r="MF830" s="3"/>
      <c r="MG830" s="3"/>
      <c r="MH830" s="3"/>
      <c r="MI830" s="3"/>
    </row>
    <row r="831" spans="1:347"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c r="HX831" s="3"/>
      <c r="HY831" s="3"/>
      <c r="HZ831" s="3"/>
      <c r="IA831" s="3"/>
      <c r="IB831" s="3"/>
      <c r="IC831" s="3"/>
      <c r="ID831" s="3"/>
      <c r="IE831" s="3"/>
      <c r="IF831" s="3"/>
      <c r="IG831" s="3"/>
      <c r="IH831" s="3"/>
      <c r="II831" s="3"/>
      <c r="IJ831" s="3"/>
      <c r="IK831" s="3"/>
      <c r="IL831" s="3"/>
      <c r="IM831" s="3"/>
      <c r="IN831" s="3"/>
      <c r="IO831" s="3"/>
      <c r="IP831" s="3"/>
      <c r="IQ831" s="3"/>
      <c r="IR831" s="3"/>
      <c r="IS831" s="3"/>
      <c r="IT831" s="3"/>
      <c r="IU831" s="3"/>
      <c r="IV831" s="3"/>
      <c r="IW831" s="3"/>
      <c r="IX831" s="3"/>
      <c r="IY831" s="3"/>
      <c r="IZ831" s="3"/>
      <c r="JA831" s="3"/>
      <c r="JB831" s="3"/>
      <c r="JC831" s="3"/>
      <c r="JD831" s="3"/>
      <c r="JE831" s="3"/>
      <c r="JF831" s="3"/>
      <c r="JG831" s="3"/>
      <c r="JH831" s="3"/>
      <c r="JI831" s="3"/>
      <c r="JJ831" s="3"/>
      <c r="JK831" s="3"/>
      <c r="JL831" s="3"/>
      <c r="JM831" s="3"/>
      <c r="JN831" s="3"/>
      <c r="JO831" s="3"/>
      <c r="JP831" s="3"/>
      <c r="JQ831" s="3"/>
      <c r="JR831" s="3"/>
      <c r="JS831" s="3"/>
      <c r="JT831" s="3"/>
      <c r="JU831" s="3"/>
      <c r="JV831" s="3"/>
      <c r="JW831" s="3"/>
      <c r="JX831" s="3"/>
      <c r="JY831" s="3"/>
      <c r="JZ831" s="3"/>
      <c r="KA831" s="3"/>
      <c r="KB831" s="3"/>
      <c r="KC831" s="3"/>
      <c r="KD831" s="3"/>
      <c r="KE831" s="3"/>
      <c r="KF831" s="3"/>
      <c r="KG831" s="3"/>
      <c r="KH831" s="3"/>
      <c r="KI831" s="3"/>
      <c r="KJ831" s="3"/>
      <c r="KK831" s="3"/>
      <c r="KL831" s="3"/>
      <c r="KM831" s="3"/>
      <c r="KN831" s="3"/>
      <c r="KO831" s="3"/>
      <c r="KP831" s="3"/>
      <c r="KQ831" s="3"/>
      <c r="KR831" s="3"/>
      <c r="KS831" s="3"/>
      <c r="KT831" s="3"/>
      <c r="KU831" s="3"/>
      <c r="KV831" s="3"/>
      <c r="KW831" s="3"/>
      <c r="KX831" s="3"/>
      <c r="KY831" s="3"/>
      <c r="KZ831" s="3"/>
      <c r="LA831" s="3"/>
      <c r="LB831" s="3"/>
      <c r="LC831" s="3"/>
      <c r="LD831" s="3"/>
      <c r="LE831" s="3"/>
      <c r="LF831" s="3"/>
      <c r="LG831" s="3"/>
      <c r="LH831" s="3"/>
      <c r="LI831" s="3"/>
      <c r="LJ831" s="3"/>
      <c r="LK831" s="3"/>
      <c r="LL831" s="3"/>
      <c r="LM831" s="3"/>
      <c r="LN831" s="3"/>
      <c r="LO831" s="3"/>
      <c r="LP831" s="3"/>
      <c r="LQ831" s="3"/>
      <c r="LR831" s="3"/>
      <c r="LS831" s="3"/>
      <c r="LT831" s="3"/>
      <c r="LU831" s="3"/>
      <c r="LV831" s="3"/>
      <c r="LW831" s="3"/>
      <c r="LX831" s="3"/>
      <c r="LY831" s="3"/>
      <c r="LZ831" s="3"/>
      <c r="MA831" s="3"/>
      <c r="MB831" s="3"/>
      <c r="MC831" s="3"/>
      <c r="MD831" s="3"/>
      <c r="ME831" s="3"/>
      <c r="MF831" s="3"/>
      <c r="MG831" s="3"/>
      <c r="MH831" s="3"/>
      <c r="MI831" s="3"/>
    </row>
    <row r="832" spans="1:347"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c r="HX832" s="3"/>
      <c r="HY832" s="3"/>
      <c r="HZ832" s="3"/>
      <c r="IA832" s="3"/>
      <c r="IB832" s="3"/>
      <c r="IC832" s="3"/>
      <c r="ID832" s="3"/>
      <c r="IE832" s="3"/>
      <c r="IF832" s="3"/>
      <c r="IG832" s="3"/>
      <c r="IH832" s="3"/>
      <c r="II832" s="3"/>
      <c r="IJ832" s="3"/>
      <c r="IK832" s="3"/>
      <c r="IL832" s="3"/>
      <c r="IM832" s="3"/>
      <c r="IN832" s="3"/>
      <c r="IO832" s="3"/>
      <c r="IP832" s="3"/>
      <c r="IQ832" s="3"/>
      <c r="IR832" s="3"/>
      <c r="IS832" s="3"/>
      <c r="IT832" s="3"/>
      <c r="IU832" s="3"/>
      <c r="IV832" s="3"/>
      <c r="IW832" s="3"/>
      <c r="IX832" s="3"/>
      <c r="IY832" s="3"/>
      <c r="IZ832" s="3"/>
      <c r="JA832" s="3"/>
      <c r="JB832" s="3"/>
      <c r="JC832" s="3"/>
      <c r="JD832" s="3"/>
      <c r="JE832" s="3"/>
      <c r="JF832" s="3"/>
      <c r="JG832" s="3"/>
      <c r="JH832" s="3"/>
      <c r="JI832" s="3"/>
      <c r="JJ832" s="3"/>
      <c r="JK832" s="3"/>
      <c r="JL832" s="3"/>
      <c r="JM832" s="3"/>
      <c r="JN832" s="3"/>
      <c r="JO832" s="3"/>
      <c r="JP832" s="3"/>
      <c r="JQ832" s="3"/>
      <c r="JR832" s="3"/>
      <c r="JS832" s="3"/>
      <c r="JT832" s="3"/>
      <c r="JU832" s="3"/>
      <c r="JV832" s="3"/>
      <c r="JW832" s="3"/>
      <c r="JX832" s="3"/>
      <c r="JY832" s="3"/>
      <c r="JZ832" s="3"/>
      <c r="KA832" s="3"/>
      <c r="KB832" s="3"/>
      <c r="KC832" s="3"/>
      <c r="KD832" s="3"/>
      <c r="KE832" s="3"/>
      <c r="KF832" s="3"/>
      <c r="KG832" s="3"/>
      <c r="KH832" s="3"/>
      <c r="KI832" s="3"/>
      <c r="KJ832" s="3"/>
      <c r="KK832" s="3"/>
      <c r="KL832" s="3"/>
      <c r="KM832" s="3"/>
      <c r="KN832" s="3"/>
      <c r="KO832" s="3"/>
      <c r="KP832" s="3"/>
      <c r="KQ832" s="3"/>
      <c r="KR832" s="3"/>
      <c r="KS832" s="3"/>
      <c r="KT832" s="3"/>
      <c r="KU832" s="3"/>
      <c r="KV832" s="3"/>
      <c r="KW832" s="3"/>
      <c r="KX832" s="3"/>
      <c r="KY832" s="3"/>
      <c r="KZ832" s="3"/>
      <c r="LA832" s="3"/>
      <c r="LB832" s="3"/>
      <c r="LC832" s="3"/>
      <c r="LD832" s="3"/>
      <c r="LE832" s="3"/>
      <c r="LF832" s="3"/>
      <c r="LG832" s="3"/>
      <c r="LH832" s="3"/>
      <c r="LI832" s="3"/>
      <c r="LJ832" s="3"/>
      <c r="LK832" s="3"/>
      <c r="LL832" s="3"/>
      <c r="LM832" s="3"/>
      <c r="LN832" s="3"/>
      <c r="LO832" s="3"/>
      <c r="LP832" s="3"/>
      <c r="LQ832" s="3"/>
      <c r="LR832" s="3"/>
      <c r="LS832" s="3"/>
      <c r="LT832" s="3"/>
      <c r="LU832" s="3"/>
      <c r="LV832" s="3"/>
      <c r="LW832" s="3"/>
      <c r="LX832" s="3"/>
      <c r="LY832" s="3"/>
      <c r="LZ832" s="3"/>
      <c r="MA832" s="3"/>
      <c r="MB832" s="3"/>
      <c r="MC832" s="3"/>
      <c r="MD832" s="3"/>
      <c r="ME832" s="3"/>
      <c r="MF832" s="3"/>
      <c r="MG832" s="3"/>
      <c r="MH832" s="3"/>
      <c r="MI832" s="3"/>
    </row>
    <row r="833" spans="1:347"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c r="HX833" s="3"/>
      <c r="HY833" s="3"/>
      <c r="HZ833" s="3"/>
      <c r="IA833" s="3"/>
      <c r="IB833" s="3"/>
      <c r="IC833" s="3"/>
      <c r="ID833" s="3"/>
      <c r="IE833" s="3"/>
      <c r="IF833" s="3"/>
      <c r="IG833" s="3"/>
      <c r="IH833" s="3"/>
      <c r="II833" s="3"/>
      <c r="IJ833" s="3"/>
      <c r="IK833" s="3"/>
      <c r="IL833" s="3"/>
      <c r="IM833" s="3"/>
      <c r="IN833" s="3"/>
      <c r="IO833" s="3"/>
      <c r="IP833" s="3"/>
      <c r="IQ833" s="3"/>
      <c r="IR833" s="3"/>
      <c r="IS833" s="3"/>
      <c r="IT833" s="3"/>
      <c r="IU833" s="3"/>
      <c r="IV833" s="3"/>
      <c r="IW833" s="3"/>
      <c r="IX833" s="3"/>
      <c r="IY833" s="3"/>
      <c r="IZ833" s="3"/>
      <c r="JA833" s="3"/>
      <c r="JB833" s="3"/>
      <c r="JC833" s="3"/>
      <c r="JD833" s="3"/>
      <c r="JE833" s="3"/>
      <c r="JF833" s="3"/>
      <c r="JG833" s="3"/>
      <c r="JH833" s="3"/>
      <c r="JI833" s="3"/>
      <c r="JJ833" s="3"/>
      <c r="JK833" s="3"/>
      <c r="JL833" s="3"/>
      <c r="JM833" s="3"/>
      <c r="JN833" s="3"/>
      <c r="JO833" s="3"/>
      <c r="JP833" s="3"/>
      <c r="JQ833" s="3"/>
      <c r="JR833" s="3"/>
      <c r="JS833" s="3"/>
      <c r="JT833" s="3"/>
      <c r="JU833" s="3"/>
      <c r="JV833" s="3"/>
      <c r="JW833" s="3"/>
      <c r="JX833" s="3"/>
      <c r="JY833" s="3"/>
      <c r="JZ833" s="3"/>
      <c r="KA833" s="3"/>
      <c r="KB833" s="3"/>
      <c r="KC833" s="3"/>
      <c r="KD833" s="3"/>
      <c r="KE833" s="3"/>
      <c r="KF833" s="3"/>
      <c r="KG833" s="3"/>
      <c r="KH833" s="3"/>
      <c r="KI833" s="3"/>
      <c r="KJ833" s="3"/>
      <c r="KK833" s="3"/>
      <c r="KL833" s="3"/>
      <c r="KM833" s="3"/>
      <c r="KN833" s="3"/>
      <c r="KO833" s="3"/>
      <c r="KP833" s="3"/>
      <c r="KQ833" s="3"/>
      <c r="KR833" s="3"/>
      <c r="KS833" s="3"/>
      <c r="KT833" s="3"/>
      <c r="KU833" s="3"/>
      <c r="KV833" s="3"/>
      <c r="KW833" s="3"/>
      <c r="KX833" s="3"/>
      <c r="KY833" s="3"/>
      <c r="KZ833" s="3"/>
      <c r="LA833" s="3"/>
      <c r="LB833" s="3"/>
      <c r="LC833" s="3"/>
      <c r="LD833" s="3"/>
      <c r="LE833" s="3"/>
      <c r="LF833" s="3"/>
      <c r="LG833" s="3"/>
      <c r="LH833" s="3"/>
      <c r="LI833" s="3"/>
      <c r="LJ833" s="3"/>
      <c r="LK833" s="3"/>
      <c r="LL833" s="3"/>
      <c r="LM833" s="3"/>
      <c r="LN833" s="3"/>
      <c r="LO833" s="3"/>
      <c r="LP833" s="3"/>
      <c r="LQ833" s="3"/>
      <c r="LR833" s="3"/>
      <c r="LS833" s="3"/>
      <c r="LT833" s="3"/>
      <c r="LU833" s="3"/>
      <c r="LV833" s="3"/>
      <c r="LW833" s="3"/>
      <c r="LX833" s="3"/>
      <c r="LY833" s="3"/>
      <c r="LZ833" s="3"/>
      <c r="MA833" s="3"/>
      <c r="MB833" s="3"/>
      <c r="MC833" s="3"/>
      <c r="MD833" s="3"/>
      <c r="ME833" s="3"/>
      <c r="MF833" s="3"/>
      <c r="MG833" s="3"/>
      <c r="MH833" s="3"/>
      <c r="MI833" s="3"/>
    </row>
    <row r="834" spans="1:347"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c r="HX834" s="3"/>
      <c r="HY834" s="3"/>
      <c r="HZ834" s="3"/>
      <c r="IA834" s="3"/>
      <c r="IB834" s="3"/>
      <c r="IC834" s="3"/>
      <c r="ID834" s="3"/>
      <c r="IE834" s="3"/>
      <c r="IF834" s="3"/>
      <c r="IG834" s="3"/>
      <c r="IH834" s="3"/>
      <c r="II834" s="3"/>
      <c r="IJ834" s="3"/>
      <c r="IK834" s="3"/>
      <c r="IL834" s="3"/>
      <c r="IM834" s="3"/>
      <c r="IN834" s="3"/>
      <c r="IO834" s="3"/>
      <c r="IP834" s="3"/>
      <c r="IQ834" s="3"/>
      <c r="IR834" s="3"/>
      <c r="IS834" s="3"/>
      <c r="IT834" s="3"/>
      <c r="IU834" s="3"/>
      <c r="IV834" s="3"/>
      <c r="IW834" s="3"/>
      <c r="IX834" s="3"/>
      <c r="IY834" s="3"/>
      <c r="IZ834" s="3"/>
      <c r="JA834" s="3"/>
      <c r="JB834" s="3"/>
      <c r="JC834" s="3"/>
      <c r="JD834" s="3"/>
      <c r="JE834" s="3"/>
      <c r="JF834" s="3"/>
      <c r="JG834" s="3"/>
      <c r="JH834" s="3"/>
      <c r="JI834" s="3"/>
      <c r="JJ834" s="3"/>
      <c r="JK834" s="3"/>
      <c r="JL834" s="3"/>
      <c r="JM834" s="3"/>
      <c r="JN834" s="3"/>
      <c r="JO834" s="3"/>
      <c r="JP834" s="3"/>
      <c r="JQ834" s="3"/>
      <c r="JR834" s="3"/>
      <c r="JS834" s="3"/>
      <c r="JT834" s="3"/>
      <c r="JU834" s="3"/>
      <c r="JV834" s="3"/>
      <c r="JW834" s="3"/>
      <c r="JX834" s="3"/>
      <c r="JY834" s="3"/>
      <c r="JZ834" s="3"/>
      <c r="KA834" s="3"/>
      <c r="KB834" s="3"/>
      <c r="KC834" s="3"/>
      <c r="KD834" s="3"/>
      <c r="KE834" s="3"/>
      <c r="KF834" s="3"/>
      <c r="KG834" s="3"/>
      <c r="KH834" s="3"/>
      <c r="KI834" s="3"/>
      <c r="KJ834" s="3"/>
      <c r="KK834" s="3"/>
      <c r="KL834" s="3"/>
      <c r="KM834" s="3"/>
      <c r="KN834" s="3"/>
      <c r="KO834" s="3"/>
      <c r="KP834" s="3"/>
      <c r="KQ834" s="3"/>
      <c r="KR834" s="3"/>
      <c r="KS834" s="3"/>
      <c r="KT834" s="3"/>
      <c r="KU834" s="3"/>
      <c r="KV834" s="3"/>
      <c r="KW834" s="3"/>
      <c r="KX834" s="3"/>
      <c r="KY834" s="3"/>
      <c r="KZ834" s="3"/>
      <c r="LA834" s="3"/>
      <c r="LB834" s="3"/>
      <c r="LC834" s="3"/>
      <c r="LD834" s="3"/>
      <c r="LE834" s="3"/>
      <c r="LF834" s="3"/>
      <c r="LG834" s="3"/>
      <c r="LH834" s="3"/>
      <c r="LI834" s="3"/>
      <c r="LJ834" s="3"/>
      <c r="LK834" s="3"/>
      <c r="LL834" s="3"/>
      <c r="LM834" s="3"/>
      <c r="LN834" s="3"/>
      <c r="LO834" s="3"/>
      <c r="LP834" s="3"/>
      <c r="LQ834" s="3"/>
      <c r="LR834" s="3"/>
      <c r="LS834" s="3"/>
      <c r="LT834" s="3"/>
      <c r="LU834" s="3"/>
      <c r="LV834" s="3"/>
      <c r="LW834" s="3"/>
      <c r="LX834" s="3"/>
      <c r="LY834" s="3"/>
      <c r="LZ834" s="3"/>
      <c r="MA834" s="3"/>
      <c r="MB834" s="3"/>
      <c r="MC834" s="3"/>
      <c r="MD834" s="3"/>
      <c r="ME834" s="3"/>
      <c r="MF834" s="3"/>
      <c r="MG834" s="3"/>
      <c r="MH834" s="3"/>
      <c r="MI834" s="3"/>
    </row>
    <row r="835" spans="1:347"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c r="HX835" s="3"/>
      <c r="HY835" s="3"/>
      <c r="HZ835" s="3"/>
      <c r="IA835" s="3"/>
      <c r="IB835" s="3"/>
      <c r="IC835" s="3"/>
      <c r="ID835" s="3"/>
      <c r="IE835" s="3"/>
      <c r="IF835" s="3"/>
      <c r="IG835" s="3"/>
      <c r="IH835" s="3"/>
      <c r="II835" s="3"/>
      <c r="IJ835" s="3"/>
      <c r="IK835" s="3"/>
      <c r="IL835" s="3"/>
      <c r="IM835" s="3"/>
      <c r="IN835" s="3"/>
      <c r="IO835" s="3"/>
      <c r="IP835" s="3"/>
      <c r="IQ835" s="3"/>
      <c r="IR835" s="3"/>
      <c r="IS835" s="3"/>
      <c r="IT835" s="3"/>
      <c r="IU835" s="3"/>
      <c r="IV835" s="3"/>
      <c r="IW835" s="3"/>
      <c r="IX835" s="3"/>
      <c r="IY835" s="3"/>
      <c r="IZ835" s="3"/>
      <c r="JA835" s="3"/>
      <c r="JB835" s="3"/>
      <c r="JC835" s="3"/>
      <c r="JD835" s="3"/>
      <c r="JE835" s="3"/>
      <c r="JF835" s="3"/>
      <c r="JG835" s="3"/>
      <c r="JH835" s="3"/>
      <c r="JI835" s="3"/>
      <c r="JJ835" s="3"/>
      <c r="JK835" s="3"/>
      <c r="JL835" s="3"/>
      <c r="JM835" s="3"/>
      <c r="JN835" s="3"/>
      <c r="JO835" s="3"/>
      <c r="JP835" s="3"/>
      <c r="JQ835" s="3"/>
      <c r="JR835" s="3"/>
      <c r="JS835" s="3"/>
      <c r="JT835" s="3"/>
      <c r="JU835" s="3"/>
      <c r="JV835" s="3"/>
      <c r="JW835" s="3"/>
      <c r="JX835" s="3"/>
      <c r="JY835" s="3"/>
      <c r="JZ835" s="3"/>
      <c r="KA835" s="3"/>
      <c r="KB835" s="3"/>
      <c r="KC835" s="3"/>
      <c r="KD835" s="3"/>
      <c r="KE835" s="3"/>
      <c r="KF835" s="3"/>
      <c r="KG835" s="3"/>
      <c r="KH835" s="3"/>
      <c r="KI835" s="3"/>
      <c r="KJ835" s="3"/>
      <c r="KK835" s="3"/>
      <c r="KL835" s="3"/>
      <c r="KM835" s="3"/>
      <c r="KN835" s="3"/>
      <c r="KO835" s="3"/>
      <c r="KP835" s="3"/>
      <c r="KQ835" s="3"/>
      <c r="KR835" s="3"/>
      <c r="KS835" s="3"/>
      <c r="KT835" s="3"/>
      <c r="KU835" s="3"/>
      <c r="KV835" s="3"/>
      <c r="KW835" s="3"/>
      <c r="KX835" s="3"/>
      <c r="KY835" s="3"/>
      <c r="KZ835" s="3"/>
      <c r="LA835" s="3"/>
      <c r="LB835" s="3"/>
      <c r="LC835" s="3"/>
      <c r="LD835" s="3"/>
      <c r="LE835" s="3"/>
      <c r="LF835" s="3"/>
      <c r="LG835" s="3"/>
      <c r="LH835" s="3"/>
      <c r="LI835" s="3"/>
      <c r="LJ835" s="3"/>
      <c r="LK835" s="3"/>
      <c r="LL835" s="3"/>
      <c r="LM835" s="3"/>
      <c r="LN835" s="3"/>
      <c r="LO835" s="3"/>
      <c r="LP835" s="3"/>
      <c r="LQ835" s="3"/>
      <c r="LR835" s="3"/>
      <c r="LS835" s="3"/>
      <c r="LT835" s="3"/>
      <c r="LU835" s="3"/>
      <c r="LV835" s="3"/>
      <c r="LW835" s="3"/>
      <c r="LX835" s="3"/>
      <c r="LY835" s="3"/>
      <c r="LZ835" s="3"/>
      <c r="MA835" s="3"/>
      <c r="MB835" s="3"/>
      <c r="MC835" s="3"/>
      <c r="MD835" s="3"/>
      <c r="ME835" s="3"/>
      <c r="MF835" s="3"/>
      <c r="MG835" s="3"/>
      <c r="MH835" s="3"/>
      <c r="MI835" s="3"/>
    </row>
    <row r="836" spans="1:347"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c r="HX836" s="3"/>
      <c r="HY836" s="3"/>
      <c r="HZ836" s="3"/>
      <c r="IA836" s="3"/>
      <c r="IB836" s="3"/>
      <c r="IC836" s="3"/>
      <c r="ID836" s="3"/>
      <c r="IE836" s="3"/>
      <c r="IF836" s="3"/>
      <c r="IG836" s="3"/>
      <c r="IH836" s="3"/>
      <c r="II836" s="3"/>
      <c r="IJ836" s="3"/>
      <c r="IK836" s="3"/>
      <c r="IL836" s="3"/>
      <c r="IM836" s="3"/>
      <c r="IN836" s="3"/>
      <c r="IO836" s="3"/>
      <c r="IP836" s="3"/>
      <c r="IQ836" s="3"/>
      <c r="IR836" s="3"/>
      <c r="IS836" s="3"/>
      <c r="IT836" s="3"/>
      <c r="IU836" s="3"/>
      <c r="IV836" s="3"/>
      <c r="IW836" s="3"/>
      <c r="IX836" s="3"/>
      <c r="IY836" s="3"/>
      <c r="IZ836" s="3"/>
      <c r="JA836" s="3"/>
      <c r="JB836" s="3"/>
      <c r="JC836" s="3"/>
      <c r="JD836" s="3"/>
      <c r="JE836" s="3"/>
      <c r="JF836" s="3"/>
      <c r="JG836" s="3"/>
      <c r="JH836" s="3"/>
      <c r="JI836" s="3"/>
      <c r="JJ836" s="3"/>
      <c r="JK836" s="3"/>
      <c r="JL836" s="3"/>
      <c r="JM836" s="3"/>
      <c r="JN836" s="3"/>
      <c r="JO836" s="3"/>
      <c r="JP836" s="3"/>
      <c r="JQ836" s="3"/>
      <c r="JR836" s="3"/>
      <c r="JS836" s="3"/>
      <c r="JT836" s="3"/>
      <c r="JU836" s="3"/>
      <c r="JV836" s="3"/>
      <c r="JW836" s="3"/>
      <c r="JX836" s="3"/>
      <c r="JY836" s="3"/>
      <c r="JZ836" s="3"/>
      <c r="KA836" s="3"/>
      <c r="KB836" s="3"/>
      <c r="KC836" s="3"/>
      <c r="KD836" s="3"/>
      <c r="KE836" s="3"/>
      <c r="KF836" s="3"/>
      <c r="KG836" s="3"/>
      <c r="KH836" s="3"/>
      <c r="KI836" s="3"/>
      <c r="KJ836" s="3"/>
      <c r="KK836" s="3"/>
      <c r="KL836" s="3"/>
      <c r="KM836" s="3"/>
      <c r="KN836" s="3"/>
      <c r="KO836" s="3"/>
      <c r="KP836" s="3"/>
      <c r="KQ836" s="3"/>
      <c r="KR836" s="3"/>
      <c r="KS836" s="3"/>
      <c r="KT836" s="3"/>
      <c r="KU836" s="3"/>
      <c r="KV836" s="3"/>
      <c r="KW836" s="3"/>
      <c r="KX836" s="3"/>
      <c r="KY836" s="3"/>
      <c r="KZ836" s="3"/>
      <c r="LA836" s="3"/>
      <c r="LB836" s="3"/>
      <c r="LC836" s="3"/>
      <c r="LD836" s="3"/>
      <c r="LE836" s="3"/>
      <c r="LF836" s="3"/>
      <c r="LG836" s="3"/>
      <c r="LH836" s="3"/>
      <c r="LI836" s="3"/>
      <c r="LJ836" s="3"/>
      <c r="LK836" s="3"/>
      <c r="LL836" s="3"/>
      <c r="LM836" s="3"/>
      <c r="LN836" s="3"/>
      <c r="LO836" s="3"/>
      <c r="LP836" s="3"/>
      <c r="LQ836" s="3"/>
      <c r="LR836" s="3"/>
      <c r="LS836" s="3"/>
      <c r="LT836" s="3"/>
      <c r="LU836" s="3"/>
      <c r="LV836" s="3"/>
      <c r="LW836" s="3"/>
      <c r="LX836" s="3"/>
      <c r="LY836" s="3"/>
      <c r="LZ836" s="3"/>
      <c r="MA836" s="3"/>
      <c r="MB836" s="3"/>
      <c r="MC836" s="3"/>
      <c r="MD836" s="3"/>
      <c r="ME836" s="3"/>
      <c r="MF836" s="3"/>
      <c r="MG836" s="3"/>
      <c r="MH836" s="3"/>
      <c r="MI836" s="3"/>
    </row>
    <row r="837" spans="1:347"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c r="HX837" s="3"/>
      <c r="HY837" s="3"/>
      <c r="HZ837" s="3"/>
      <c r="IA837" s="3"/>
      <c r="IB837" s="3"/>
      <c r="IC837" s="3"/>
      <c r="ID837" s="3"/>
      <c r="IE837" s="3"/>
      <c r="IF837" s="3"/>
      <c r="IG837" s="3"/>
      <c r="IH837" s="3"/>
      <c r="II837" s="3"/>
      <c r="IJ837" s="3"/>
      <c r="IK837" s="3"/>
      <c r="IL837" s="3"/>
      <c r="IM837" s="3"/>
      <c r="IN837" s="3"/>
      <c r="IO837" s="3"/>
      <c r="IP837" s="3"/>
      <c r="IQ837" s="3"/>
      <c r="IR837" s="3"/>
      <c r="IS837" s="3"/>
      <c r="IT837" s="3"/>
      <c r="IU837" s="3"/>
      <c r="IV837" s="3"/>
      <c r="IW837" s="3"/>
      <c r="IX837" s="3"/>
      <c r="IY837" s="3"/>
      <c r="IZ837" s="3"/>
      <c r="JA837" s="3"/>
      <c r="JB837" s="3"/>
      <c r="JC837" s="3"/>
      <c r="JD837" s="3"/>
      <c r="JE837" s="3"/>
      <c r="JF837" s="3"/>
      <c r="JG837" s="3"/>
      <c r="JH837" s="3"/>
      <c r="JI837" s="3"/>
      <c r="JJ837" s="3"/>
      <c r="JK837" s="3"/>
      <c r="JL837" s="3"/>
      <c r="JM837" s="3"/>
      <c r="JN837" s="3"/>
      <c r="JO837" s="3"/>
      <c r="JP837" s="3"/>
      <c r="JQ837" s="3"/>
      <c r="JR837" s="3"/>
      <c r="JS837" s="3"/>
      <c r="JT837" s="3"/>
      <c r="JU837" s="3"/>
      <c r="JV837" s="3"/>
      <c r="JW837" s="3"/>
      <c r="JX837" s="3"/>
      <c r="JY837" s="3"/>
      <c r="JZ837" s="3"/>
      <c r="KA837" s="3"/>
      <c r="KB837" s="3"/>
      <c r="KC837" s="3"/>
      <c r="KD837" s="3"/>
      <c r="KE837" s="3"/>
      <c r="KF837" s="3"/>
      <c r="KG837" s="3"/>
      <c r="KH837" s="3"/>
      <c r="KI837" s="3"/>
      <c r="KJ837" s="3"/>
      <c r="KK837" s="3"/>
      <c r="KL837" s="3"/>
      <c r="KM837" s="3"/>
      <c r="KN837" s="3"/>
      <c r="KO837" s="3"/>
      <c r="KP837" s="3"/>
      <c r="KQ837" s="3"/>
      <c r="KR837" s="3"/>
      <c r="KS837" s="3"/>
      <c r="KT837" s="3"/>
      <c r="KU837" s="3"/>
      <c r="KV837" s="3"/>
      <c r="KW837" s="3"/>
      <c r="KX837" s="3"/>
      <c r="KY837" s="3"/>
      <c r="KZ837" s="3"/>
      <c r="LA837" s="3"/>
      <c r="LB837" s="3"/>
      <c r="LC837" s="3"/>
      <c r="LD837" s="3"/>
      <c r="LE837" s="3"/>
      <c r="LF837" s="3"/>
      <c r="LG837" s="3"/>
      <c r="LH837" s="3"/>
      <c r="LI837" s="3"/>
      <c r="LJ837" s="3"/>
      <c r="LK837" s="3"/>
      <c r="LL837" s="3"/>
      <c r="LM837" s="3"/>
      <c r="LN837" s="3"/>
      <c r="LO837" s="3"/>
      <c r="LP837" s="3"/>
      <c r="LQ837" s="3"/>
      <c r="LR837" s="3"/>
      <c r="LS837" s="3"/>
      <c r="LT837" s="3"/>
      <c r="LU837" s="3"/>
      <c r="LV837" s="3"/>
      <c r="LW837" s="3"/>
      <c r="LX837" s="3"/>
      <c r="LY837" s="3"/>
      <c r="LZ837" s="3"/>
      <c r="MA837" s="3"/>
      <c r="MB837" s="3"/>
      <c r="MC837" s="3"/>
      <c r="MD837" s="3"/>
      <c r="ME837" s="3"/>
      <c r="MF837" s="3"/>
      <c r="MG837" s="3"/>
      <c r="MH837" s="3"/>
      <c r="MI837" s="3"/>
    </row>
    <row r="838" spans="1:347"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c r="HX838" s="3"/>
      <c r="HY838" s="3"/>
      <c r="HZ838" s="3"/>
      <c r="IA838" s="3"/>
      <c r="IB838" s="3"/>
      <c r="IC838" s="3"/>
      <c r="ID838" s="3"/>
      <c r="IE838" s="3"/>
      <c r="IF838" s="3"/>
      <c r="IG838" s="3"/>
      <c r="IH838" s="3"/>
      <c r="II838" s="3"/>
      <c r="IJ838" s="3"/>
      <c r="IK838" s="3"/>
      <c r="IL838" s="3"/>
      <c r="IM838" s="3"/>
      <c r="IN838" s="3"/>
      <c r="IO838" s="3"/>
      <c r="IP838" s="3"/>
      <c r="IQ838" s="3"/>
      <c r="IR838" s="3"/>
      <c r="IS838" s="3"/>
      <c r="IT838" s="3"/>
      <c r="IU838" s="3"/>
      <c r="IV838" s="3"/>
      <c r="IW838" s="3"/>
      <c r="IX838" s="3"/>
      <c r="IY838" s="3"/>
      <c r="IZ838" s="3"/>
      <c r="JA838" s="3"/>
      <c r="JB838" s="3"/>
      <c r="JC838" s="3"/>
      <c r="JD838" s="3"/>
      <c r="JE838" s="3"/>
      <c r="JF838" s="3"/>
      <c r="JG838" s="3"/>
      <c r="JH838" s="3"/>
      <c r="JI838" s="3"/>
      <c r="JJ838" s="3"/>
      <c r="JK838" s="3"/>
      <c r="JL838" s="3"/>
      <c r="JM838" s="3"/>
      <c r="JN838" s="3"/>
      <c r="JO838" s="3"/>
      <c r="JP838" s="3"/>
      <c r="JQ838" s="3"/>
      <c r="JR838" s="3"/>
      <c r="JS838" s="3"/>
      <c r="JT838" s="3"/>
      <c r="JU838" s="3"/>
      <c r="JV838" s="3"/>
      <c r="JW838" s="3"/>
      <c r="JX838" s="3"/>
      <c r="JY838" s="3"/>
      <c r="JZ838" s="3"/>
      <c r="KA838" s="3"/>
      <c r="KB838" s="3"/>
      <c r="KC838" s="3"/>
      <c r="KD838" s="3"/>
      <c r="KE838" s="3"/>
      <c r="KF838" s="3"/>
      <c r="KG838" s="3"/>
      <c r="KH838" s="3"/>
      <c r="KI838" s="3"/>
      <c r="KJ838" s="3"/>
      <c r="KK838" s="3"/>
      <c r="KL838" s="3"/>
      <c r="KM838" s="3"/>
      <c r="KN838" s="3"/>
      <c r="KO838" s="3"/>
      <c r="KP838" s="3"/>
      <c r="KQ838" s="3"/>
      <c r="KR838" s="3"/>
      <c r="KS838" s="3"/>
      <c r="KT838" s="3"/>
      <c r="KU838" s="3"/>
      <c r="KV838" s="3"/>
      <c r="KW838" s="3"/>
      <c r="KX838" s="3"/>
      <c r="KY838" s="3"/>
      <c r="KZ838" s="3"/>
      <c r="LA838" s="3"/>
      <c r="LB838" s="3"/>
      <c r="LC838" s="3"/>
      <c r="LD838" s="3"/>
      <c r="LE838" s="3"/>
      <c r="LF838" s="3"/>
      <c r="LG838" s="3"/>
      <c r="LH838" s="3"/>
      <c r="LI838" s="3"/>
      <c r="LJ838" s="3"/>
      <c r="LK838" s="3"/>
      <c r="LL838" s="3"/>
      <c r="LM838" s="3"/>
      <c r="LN838" s="3"/>
      <c r="LO838" s="3"/>
      <c r="LP838" s="3"/>
      <c r="LQ838" s="3"/>
      <c r="LR838" s="3"/>
      <c r="LS838" s="3"/>
      <c r="LT838" s="3"/>
      <c r="LU838" s="3"/>
      <c r="LV838" s="3"/>
      <c r="LW838" s="3"/>
      <c r="LX838" s="3"/>
      <c r="LY838" s="3"/>
      <c r="LZ838" s="3"/>
      <c r="MA838" s="3"/>
      <c r="MB838" s="3"/>
      <c r="MC838" s="3"/>
      <c r="MD838" s="3"/>
      <c r="ME838" s="3"/>
      <c r="MF838" s="3"/>
      <c r="MG838" s="3"/>
      <c r="MH838" s="3"/>
      <c r="MI838" s="3"/>
    </row>
    <row r="839" spans="1:347"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c r="HX839" s="3"/>
      <c r="HY839" s="3"/>
      <c r="HZ839" s="3"/>
      <c r="IA839" s="3"/>
      <c r="IB839" s="3"/>
      <c r="IC839" s="3"/>
      <c r="ID839" s="3"/>
      <c r="IE839" s="3"/>
      <c r="IF839" s="3"/>
      <c r="IG839" s="3"/>
      <c r="IH839" s="3"/>
      <c r="II839" s="3"/>
      <c r="IJ839" s="3"/>
      <c r="IK839" s="3"/>
      <c r="IL839" s="3"/>
      <c r="IM839" s="3"/>
      <c r="IN839" s="3"/>
      <c r="IO839" s="3"/>
      <c r="IP839" s="3"/>
      <c r="IQ839" s="3"/>
      <c r="IR839" s="3"/>
      <c r="IS839" s="3"/>
      <c r="IT839" s="3"/>
      <c r="IU839" s="3"/>
      <c r="IV839" s="3"/>
      <c r="IW839" s="3"/>
      <c r="IX839" s="3"/>
      <c r="IY839" s="3"/>
      <c r="IZ839" s="3"/>
      <c r="JA839" s="3"/>
      <c r="JB839" s="3"/>
      <c r="JC839" s="3"/>
      <c r="JD839" s="3"/>
      <c r="JE839" s="3"/>
      <c r="JF839" s="3"/>
      <c r="JG839" s="3"/>
      <c r="JH839" s="3"/>
      <c r="JI839" s="3"/>
      <c r="JJ839" s="3"/>
      <c r="JK839" s="3"/>
      <c r="JL839" s="3"/>
      <c r="JM839" s="3"/>
      <c r="JN839" s="3"/>
      <c r="JO839" s="3"/>
      <c r="JP839" s="3"/>
      <c r="JQ839" s="3"/>
      <c r="JR839" s="3"/>
      <c r="JS839" s="3"/>
      <c r="JT839" s="3"/>
      <c r="JU839" s="3"/>
      <c r="JV839" s="3"/>
      <c r="JW839" s="3"/>
      <c r="JX839" s="3"/>
      <c r="JY839" s="3"/>
      <c r="JZ839" s="3"/>
      <c r="KA839" s="3"/>
      <c r="KB839" s="3"/>
      <c r="KC839" s="3"/>
      <c r="KD839" s="3"/>
      <c r="KE839" s="3"/>
      <c r="KF839" s="3"/>
      <c r="KG839" s="3"/>
      <c r="KH839" s="3"/>
      <c r="KI839" s="3"/>
      <c r="KJ839" s="3"/>
      <c r="KK839" s="3"/>
      <c r="KL839" s="3"/>
      <c r="KM839" s="3"/>
      <c r="KN839" s="3"/>
      <c r="KO839" s="3"/>
      <c r="KP839" s="3"/>
      <c r="KQ839" s="3"/>
      <c r="KR839" s="3"/>
      <c r="KS839" s="3"/>
      <c r="KT839" s="3"/>
      <c r="KU839" s="3"/>
      <c r="KV839" s="3"/>
      <c r="KW839" s="3"/>
      <c r="KX839" s="3"/>
      <c r="KY839" s="3"/>
      <c r="KZ839" s="3"/>
      <c r="LA839" s="3"/>
      <c r="LB839" s="3"/>
      <c r="LC839" s="3"/>
      <c r="LD839" s="3"/>
      <c r="LE839" s="3"/>
      <c r="LF839" s="3"/>
      <c r="LG839" s="3"/>
      <c r="LH839" s="3"/>
      <c r="LI839" s="3"/>
      <c r="LJ839" s="3"/>
      <c r="LK839" s="3"/>
      <c r="LL839" s="3"/>
      <c r="LM839" s="3"/>
      <c r="LN839" s="3"/>
      <c r="LO839" s="3"/>
      <c r="LP839" s="3"/>
      <c r="LQ839" s="3"/>
      <c r="LR839" s="3"/>
      <c r="LS839" s="3"/>
      <c r="LT839" s="3"/>
      <c r="LU839" s="3"/>
      <c r="LV839" s="3"/>
      <c r="LW839" s="3"/>
      <c r="LX839" s="3"/>
      <c r="LY839" s="3"/>
      <c r="LZ839" s="3"/>
      <c r="MA839" s="3"/>
      <c r="MB839" s="3"/>
      <c r="MC839" s="3"/>
      <c r="MD839" s="3"/>
      <c r="ME839" s="3"/>
      <c r="MF839" s="3"/>
      <c r="MG839" s="3"/>
      <c r="MH839" s="3"/>
      <c r="MI839" s="3"/>
    </row>
    <row r="840" spans="1:347"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c r="HX840" s="3"/>
      <c r="HY840" s="3"/>
      <c r="HZ840" s="3"/>
      <c r="IA840" s="3"/>
      <c r="IB840" s="3"/>
      <c r="IC840" s="3"/>
      <c r="ID840" s="3"/>
      <c r="IE840" s="3"/>
      <c r="IF840" s="3"/>
      <c r="IG840" s="3"/>
      <c r="IH840" s="3"/>
      <c r="II840" s="3"/>
      <c r="IJ840" s="3"/>
      <c r="IK840" s="3"/>
      <c r="IL840" s="3"/>
      <c r="IM840" s="3"/>
      <c r="IN840" s="3"/>
      <c r="IO840" s="3"/>
      <c r="IP840" s="3"/>
      <c r="IQ840" s="3"/>
      <c r="IR840" s="3"/>
      <c r="IS840" s="3"/>
      <c r="IT840" s="3"/>
      <c r="IU840" s="3"/>
      <c r="IV840" s="3"/>
      <c r="IW840" s="3"/>
      <c r="IX840" s="3"/>
      <c r="IY840" s="3"/>
      <c r="IZ840" s="3"/>
      <c r="JA840" s="3"/>
      <c r="JB840" s="3"/>
      <c r="JC840" s="3"/>
      <c r="JD840" s="3"/>
      <c r="JE840" s="3"/>
      <c r="JF840" s="3"/>
      <c r="JG840" s="3"/>
      <c r="JH840" s="3"/>
      <c r="JI840" s="3"/>
      <c r="JJ840" s="3"/>
      <c r="JK840" s="3"/>
      <c r="JL840" s="3"/>
      <c r="JM840" s="3"/>
      <c r="JN840" s="3"/>
      <c r="JO840" s="3"/>
      <c r="JP840" s="3"/>
      <c r="JQ840" s="3"/>
      <c r="JR840" s="3"/>
      <c r="JS840" s="3"/>
      <c r="JT840" s="3"/>
      <c r="JU840" s="3"/>
      <c r="JV840" s="3"/>
      <c r="JW840" s="3"/>
      <c r="JX840" s="3"/>
      <c r="JY840" s="3"/>
      <c r="JZ840" s="3"/>
      <c r="KA840" s="3"/>
      <c r="KB840" s="3"/>
      <c r="KC840" s="3"/>
      <c r="KD840" s="3"/>
      <c r="KE840" s="3"/>
      <c r="KF840" s="3"/>
      <c r="KG840" s="3"/>
      <c r="KH840" s="3"/>
      <c r="KI840" s="3"/>
      <c r="KJ840" s="3"/>
      <c r="KK840" s="3"/>
      <c r="KL840" s="3"/>
      <c r="KM840" s="3"/>
      <c r="KN840" s="3"/>
      <c r="KO840" s="3"/>
      <c r="KP840" s="3"/>
      <c r="KQ840" s="3"/>
      <c r="KR840" s="3"/>
      <c r="KS840" s="3"/>
      <c r="KT840" s="3"/>
      <c r="KU840" s="3"/>
      <c r="KV840" s="3"/>
      <c r="KW840" s="3"/>
      <c r="KX840" s="3"/>
      <c r="KY840" s="3"/>
      <c r="KZ840" s="3"/>
      <c r="LA840" s="3"/>
      <c r="LB840" s="3"/>
      <c r="LC840" s="3"/>
      <c r="LD840" s="3"/>
      <c r="LE840" s="3"/>
      <c r="LF840" s="3"/>
      <c r="LG840" s="3"/>
      <c r="LH840" s="3"/>
      <c r="LI840" s="3"/>
      <c r="LJ840" s="3"/>
      <c r="LK840" s="3"/>
      <c r="LL840" s="3"/>
      <c r="LM840" s="3"/>
      <c r="LN840" s="3"/>
      <c r="LO840" s="3"/>
      <c r="LP840" s="3"/>
      <c r="LQ840" s="3"/>
      <c r="LR840" s="3"/>
      <c r="LS840" s="3"/>
      <c r="LT840" s="3"/>
      <c r="LU840" s="3"/>
      <c r="LV840" s="3"/>
      <c r="LW840" s="3"/>
      <c r="LX840" s="3"/>
      <c r="LY840" s="3"/>
      <c r="LZ840" s="3"/>
      <c r="MA840" s="3"/>
      <c r="MB840" s="3"/>
      <c r="MC840" s="3"/>
      <c r="MD840" s="3"/>
      <c r="ME840" s="3"/>
      <c r="MF840" s="3"/>
      <c r="MG840" s="3"/>
      <c r="MH840" s="3"/>
      <c r="MI840" s="3"/>
    </row>
    <row r="841" spans="1:347"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c r="HX841" s="3"/>
      <c r="HY841" s="3"/>
      <c r="HZ841" s="3"/>
      <c r="IA841" s="3"/>
      <c r="IB841" s="3"/>
      <c r="IC841" s="3"/>
      <c r="ID841" s="3"/>
      <c r="IE841" s="3"/>
      <c r="IF841" s="3"/>
      <c r="IG841" s="3"/>
      <c r="IH841" s="3"/>
      <c r="II841" s="3"/>
      <c r="IJ841" s="3"/>
      <c r="IK841" s="3"/>
      <c r="IL841" s="3"/>
      <c r="IM841" s="3"/>
      <c r="IN841" s="3"/>
      <c r="IO841" s="3"/>
      <c r="IP841" s="3"/>
      <c r="IQ841" s="3"/>
      <c r="IR841" s="3"/>
      <c r="IS841" s="3"/>
      <c r="IT841" s="3"/>
      <c r="IU841" s="3"/>
      <c r="IV841" s="3"/>
      <c r="IW841" s="3"/>
      <c r="IX841" s="3"/>
      <c r="IY841" s="3"/>
      <c r="IZ841" s="3"/>
      <c r="JA841" s="3"/>
      <c r="JB841" s="3"/>
      <c r="JC841" s="3"/>
      <c r="JD841" s="3"/>
      <c r="JE841" s="3"/>
      <c r="JF841" s="3"/>
      <c r="JG841" s="3"/>
      <c r="JH841" s="3"/>
      <c r="JI841" s="3"/>
      <c r="JJ841" s="3"/>
      <c r="JK841" s="3"/>
      <c r="JL841" s="3"/>
      <c r="JM841" s="3"/>
      <c r="JN841" s="3"/>
      <c r="JO841" s="3"/>
      <c r="JP841" s="3"/>
      <c r="JQ841" s="3"/>
      <c r="JR841" s="3"/>
      <c r="JS841" s="3"/>
      <c r="JT841" s="3"/>
      <c r="JU841" s="3"/>
      <c r="JV841" s="3"/>
      <c r="JW841" s="3"/>
      <c r="JX841" s="3"/>
      <c r="JY841" s="3"/>
      <c r="JZ841" s="3"/>
      <c r="KA841" s="3"/>
      <c r="KB841" s="3"/>
      <c r="KC841" s="3"/>
      <c r="KD841" s="3"/>
      <c r="KE841" s="3"/>
      <c r="KF841" s="3"/>
      <c r="KG841" s="3"/>
      <c r="KH841" s="3"/>
      <c r="KI841" s="3"/>
      <c r="KJ841" s="3"/>
      <c r="KK841" s="3"/>
      <c r="KL841" s="3"/>
      <c r="KM841" s="3"/>
      <c r="KN841" s="3"/>
      <c r="KO841" s="3"/>
      <c r="KP841" s="3"/>
      <c r="KQ841" s="3"/>
      <c r="KR841" s="3"/>
      <c r="KS841" s="3"/>
      <c r="KT841" s="3"/>
      <c r="KU841" s="3"/>
      <c r="KV841" s="3"/>
      <c r="KW841" s="3"/>
      <c r="KX841" s="3"/>
      <c r="KY841" s="3"/>
      <c r="KZ841" s="3"/>
      <c r="LA841" s="3"/>
      <c r="LB841" s="3"/>
      <c r="LC841" s="3"/>
      <c r="LD841" s="3"/>
      <c r="LE841" s="3"/>
      <c r="LF841" s="3"/>
      <c r="LG841" s="3"/>
      <c r="LH841" s="3"/>
      <c r="LI841" s="3"/>
      <c r="LJ841" s="3"/>
      <c r="LK841" s="3"/>
      <c r="LL841" s="3"/>
      <c r="LM841" s="3"/>
      <c r="LN841" s="3"/>
      <c r="LO841" s="3"/>
      <c r="LP841" s="3"/>
      <c r="LQ841" s="3"/>
      <c r="LR841" s="3"/>
      <c r="LS841" s="3"/>
      <c r="LT841" s="3"/>
      <c r="LU841" s="3"/>
      <c r="LV841" s="3"/>
      <c r="LW841" s="3"/>
      <c r="LX841" s="3"/>
      <c r="LY841" s="3"/>
      <c r="LZ841" s="3"/>
      <c r="MA841" s="3"/>
      <c r="MB841" s="3"/>
      <c r="MC841" s="3"/>
      <c r="MD841" s="3"/>
      <c r="ME841" s="3"/>
      <c r="MF841" s="3"/>
      <c r="MG841" s="3"/>
      <c r="MH841" s="3"/>
      <c r="MI841" s="3"/>
    </row>
    <row r="842" spans="1:347"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c r="HX842" s="3"/>
      <c r="HY842" s="3"/>
      <c r="HZ842" s="3"/>
      <c r="IA842" s="3"/>
      <c r="IB842" s="3"/>
      <c r="IC842" s="3"/>
      <c r="ID842" s="3"/>
      <c r="IE842" s="3"/>
      <c r="IF842" s="3"/>
      <c r="IG842" s="3"/>
      <c r="IH842" s="3"/>
      <c r="II842" s="3"/>
      <c r="IJ842" s="3"/>
      <c r="IK842" s="3"/>
      <c r="IL842" s="3"/>
      <c r="IM842" s="3"/>
      <c r="IN842" s="3"/>
      <c r="IO842" s="3"/>
      <c r="IP842" s="3"/>
      <c r="IQ842" s="3"/>
      <c r="IR842" s="3"/>
      <c r="IS842" s="3"/>
      <c r="IT842" s="3"/>
      <c r="IU842" s="3"/>
      <c r="IV842" s="3"/>
      <c r="IW842" s="3"/>
      <c r="IX842" s="3"/>
      <c r="IY842" s="3"/>
      <c r="IZ842" s="3"/>
      <c r="JA842" s="3"/>
      <c r="JB842" s="3"/>
      <c r="JC842" s="3"/>
      <c r="JD842" s="3"/>
      <c r="JE842" s="3"/>
      <c r="JF842" s="3"/>
      <c r="JG842" s="3"/>
      <c r="JH842" s="3"/>
      <c r="JI842" s="3"/>
      <c r="JJ842" s="3"/>
      <c r="JK842" s="3"/>
      <c r="JL842" s="3"/>
      <c r="JM842" s="3"/>
      <c r="JN842" s="3"/>
      <c r="JO842" s="3"/>
      <c r="JP842" s="3"/>
      <c r="JQ842" s="3"/>
      <c r="JR842" s="3"/>
      <c r="JS842" s="3"/>
      <c r="JT842" s="3"/>
      <c r="JU842" s="3"/>
      <c r="JV842" s="3"/>
      <c r="JW842" s="3"/>
      <c r="JX842" s="3"/>
      <c r="JY842" s="3"/>
      <c r="JZ842" s="3"/>
      <c r="KA842" s="3"/>
      <c r="KB842" s="3"/>
      <c r="KC842" s="3"/>
      <c r="KD842" s="3"/>
      <c r="KE842" s="3"/>
      <c r="KF842" s="3"/>
      <c r="KG842" s="3"/>
      <c r="KH842" s="3"/>
      <c r="KI842" s="3"/>
      <c r="KJ842" s="3"/>
      <c r="KK842" s="3"/>
      <c r="KL842" s="3"/>
      <c r="KM842" s="3"/>
      <c r="KN842" s="3"/>
      <c r="KO842" s="3"/>
      <c r="KP842" s="3"/>
      <c r="KQ842" s="3"/>
      <c r="KR842" s="3"/>
      <c r="KS842" s="3"/>
      <c r="KT842" s="3"/>
      <c r="KU842" s="3"/>
      <c r="KV842" s="3"/>
      <c r="KW842" s="3"/>
      <c r="KX842" s="3"/>
      <c r="KY842" s="3"/>
      <c r="KZ842" s="3"/>
      <c r="LA842" s="3"/>
      <c r="LB842" s="3"/>
      <c r="LC842" s="3"/>
      <c r="LD842" s="3"/>
      <c r="LE842" s="3"/>
      <c r="LF842" s="3"/>
      <c r="LG842" s="3"/>
      <c r="LH842" s="3"/>
      <c r="LI842" s="3"/>
      <c r="LJ842" s="3"/>
      <c r="LK842" s="3"/>
      <c r="LL842" s="3"/>
      <c r="LM842" s="3"/>
      <c r="LN842" s="3"/>
      <c r="LO842" s="3"/>
      <c r="LP842" s="3"/>
      <c r="LQ842" s="3"/>
      <c r="LR842" s="3"/>
      <c r="LS842" s="3"/>
      <c r="LT842" s="3"/>
      <c r="LU842" s="3"/>
      <c r="LV842" s="3"/>
      <c r="LW842" s="3"/>
      <c r="LX842" s="3"/>
      <c r="LY842" s="3"/>
      <c r="LZ842" s="3"/>
      <c r="MA842" s="3"/>
      <c r="MB842" s="3"/>
      <c r="MC842" s="3"/>
      <c r="MD842" s="3"/>
      <c r="ME842" s="3"/>
      <c r="MF842" s="3"/>
      <c r="MG842" s="3"/>
      <c r="MH842" s="3"/>
      <c r="MI842" s="3"/>
    </row>
    <row r="843" spans="1:347"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c r="HX843" s="3"/>
      <c r="HY843" s="3"/>
      <c r="HZ843" s="3"/>
      <c r="IA843" s="3"/>
      <c r="IB843" s="3"/>
      <c r="IC843" s="3"/>
      <c r="ID843" s="3"/>
      <c r="IE843" s="3"/>
      <c r="IF843" s="3"/>
      <c r="IG843" s="3"/>
      <c r="IH843" s="3"/>
      <c r="II843" s="3"/>
      <c r="IJ843" s="3"/>
      <c r="IK843" s="3"/>
      <c r="IL843" s="3"/>
      <c r="IM843" s="3"/>
      <c r="IN843" s="3"/>
      <c r="IO843" s="3"/>
      <c r="IP843" s="3"/>
      <c r="IQ843" s="3"/>
      <c r="IR843" s="3"/>
      <c r="IS843" s="3"/>
      <c r="IT843" s="3"/>
      <c r="IU843" s="3"/>
      <c r="IV843" s="3"/>
      <c r="IW843" s="3"/>
      <c r="IX843" s="3"/>
      <c r="IY843" s="3"/>
      <c r="IZ843" s="3"/>
      <c r="JA843" s="3"/>
      <c r="JB843" s="3"/>
      <c r="JC843" s="3"/>
      <c r="JD843" s="3"/>
      <c r="JE843" s="3"/>
      <c r="JF843" s="3"/>
      <c r="JG843" s="3"/>
      <c r="JH843" s="3"/>
      <c r="JI843" s="3"/>
      <c r="JJ843" s="3"/>
      <c r="JK843" s="3"/>
      <c r="JL843" s="3"/>
      <c r="JM843" s="3"/>
      <c r="JN843" s="3"/>
      <c r="JO843" s="3"/>
      <c r="JP843" s="3"/>
      <c r="JQ843" s="3"/>
      <c r="JR843" s="3"/>
      <c r="JS843" s="3"/>
      <c r="JT843" s="3"/>
      <c r="JU843" s="3"/>
      <c r="JV843" s="3"/>
      <c r="JW843" s="3"/>
      <c r="JX843" s="3"/>
      <c r="JY843" s="3"/>
      <c r="JZ843" s="3"/>
      <c r="KA843" s="3"/>
      <c r="KB843" s="3"/>
      <c r="KC843" s="3"/>
      <c r="KD843" s="3"/>
      <c r="KE843" s="3"/>
      <c r="KF843" s="3"/>
      <c r="KG843" s="3"/>
      <c r="KH843" s="3"/>
      <c r="KI843" s="3"/>
      <c r="KJ843" s="3"/>
      <c r="KK843" s="3"/>
      <c r="KL843" s="3"/>
      <c r="KM843" s="3"/>
      <c r="KN843" s="3"/>
      <c r="KO843" s="3"/>
      <c r="KP843" s="3"/>
      <c r="KQ843" s="3"/>
      <c r="KR843" s="3"/>
      <c r="KS843" s="3"/>
      <c r="KT843" s="3"/>
      <c r="KU843" s="3"/>
      <c r="KV843" s="3"/>
      <c r="KW843" s="3"/>
      <c r="KX843" s="3"/>
      <c r="KY843" s="3"/>
      <c r="KZ843" s="3"/>
      <c r="LA843" s="3"/>
      <c r="LB843" s="3"/>
      <c r="LC843" s="3"/>
      <c r="LD843" s="3"/>
      <c r="LE843" s="3"/>
      <c r="LF843" s="3"/>
      <c r="LG843" s="3"/>
      <c r="LH843" s="3"/>
      <c r="LI843" s="3"/>
      <c r="LJ843" s="3"/>
      <c r="LK843" s="3"/>
      <c r="LL843" s="3"/>
      <c r="LM843" s="3"/>
      <c r="LN843" s="3"/>
      <c r="LO843" s="3"/>
      <c r="LP843" s="3"/>
      <c r="LQ843" s="3"/>
      <c r="LR843" s="3"/>
      <c r="LS843" s="3"/>
      <c r="LT843" s="3"/>
      <c r="LU843" s="3"/>
      <c r="LV843" s="3"/>
      <c r="LW843" s="3"/>
      <c r="LX843" s="3"/>
      <c r="LY843" s="3"/>
      <c r="LZ843" s="3"/>
      <c r="MA843" s="3"/>
      <c r="MB843" s="3"/>
      <c r="MC843" s="3"/>
      <c r="MD843" s="3"/>
      <c r="ME843" s="3"/>
      <c r="MF843" s="3"/>
      <c r="MG843" s="3"/>
      <c r="MH843" s="3"/>
      <c r="MI843" s="3"/>
    </row>
    <row r="844" spans="1:347"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c r="HX844" s="3"/>
      <c r="HY844" s="3"/>
      <c r="HZ844" s="3"/>
      <c r="IA844" s="3"/>
      <c r="IB844" s="3"/>
      <c r="IC844" s="3"/>
      <c r="ID844" s="3"/>
      <c r="IE844" s="3"/>
      <c r="IF844" s="3"/>
      <c r="IG844" s="3"/>
      <c r="IH844" s="3"/>
      <c r="II844" s="3"/>
      <c r="IJ844" s="3"/>
      <c r="IK844" s="3"/>
      <c r="IL844" s="3"/>
      <c r="IM844" s="3"/>
      <c r="IN844" s="3"/>
      <c r="IO844" s="3"/>
      <c r="IP844" s="3"/>
      <c r="IQ844" s="3"/>
      <c r="IR844" s="3"/>
      <c r="IS844" s="3"/>
      <c r="IT844" s="3"/>
      <c r="IU844" s="3"/>
      <c r="IV844" s="3"/>
      <c r="IW844" s="3"/>
      <c r="IX844" s="3"/>
      <c r="IY844" s="3"/>
      <c r="IZ844" s="3"/>
      <c r="JA844" s="3"/>
      <c r="JB844" s="3"/>
      <c r="JC844" s="3"/>
      <c r="JD844" s="3"/>
      <c r="JE844" s="3"/>
      <c r="JF844" s="3"/>
      <c r="JG844" s="3"/>
      <c r="JH844" s="3"/>
      <c r="JI844" s="3"/>
      <c r="JJ844" s="3"/>
      <c r="JK844" s="3"/>
      <c r="JL844" s="3"/>
      <c r="JM844" s="3"/>
      <c r="JN844" s="3"/>
      <c r="JO844" s="3"/>
      <c r="JP844" s="3"/>
      <c r="JQ844" s="3"/>
      <c r="JR844" s="3"/>
      <c r="JS844" s="3"/>
      <c r="JT844" s="3"/>
      <c r="JU844" s="3"/>
      <c r="JV844" s="3"/>
      <c r="JW844" s="3"/>
      <c r="JX844" s="3"/>
      <c r="JY844" s="3"/>
      <c r="JZ844" s="3"/>
      <c r="KA844" s="3"/>
      <c r="KB844" s="3"/>
      <c r="KC844" s="3"/>
      <c r="KD844" s="3"/>
      <c r="KE844" s="3"/>
      <c r="KF844" s="3"/>
      <c r="KG844" s="3"/>
      <c r="KH844" s="3"/>
      <c r="KI844" s="3"/>
      <c r="KJ844" s="3"/>
      <c r="KK844" s="3"/>
      <c r="KL844" s="3"/>
      <c r="KM844" s="3"/>
      <c r="KN844" s="3"/>
      <c r="KO844" s="3"/>
      <c r="KP844" s="3"/>
      <c r="KQ844" s="3"/>
      <c r="KR844" s="3"/>
      <c r="KS844" s="3"/>
      <c r="KT844" s="3"/>
      <c r="KU844" s="3"/>
      <c r="KV844" s="3"/>
      <c r="KW844" s="3"/>
      <c r="KX844" s="3"/>
      <c r="KY844" s="3"/>
      <c r="KZ844" s="3"/>
      <c r="LA844" s="3"/>
      <c r="LB844" s="3"/>
      <c r="LC844" s="3"/>
      <c r="LD844" s="3"/>
      <c r="LE844" s="3"/>
      <c r="LF844" s="3"/>
      <c r="LG844" s="3"/>
      <c r="LH844" s="3"/>
      <c r="LI844" s="3"/>
      <c r="LJ844" s="3"/>
      <c r="LK844" s="3"/>
      <c r="LL844" s="3"/>
      <c r="LM844" s="3"/>
      <c r="LN844" s="3"/>
      <c r="LO844" s="3"/>
      <c r="LP844" s="3"/>
      <c r="LQ844" s="3"/>
      <c r="LR844" s="3"/>
      <c r="LS844" s="3"/>
      <c r="LT844" s="3"/>
      <c r="LU844" s="3"/>
      <c r="LV844" s="3"/>
      <c r="LW844" s="3"/>
      <c r="LX844" s="3"/>
      <c r="LY844" s="3"/>
      <c r="LZ844" s="3"/>
      <c r="MA844" s="3"/>
      <c r="MB844" s="3"/>
      <c r="MC844" s="3"/>
      <c r="MD844" s="3"/>
      <c r="ME844" s="3"/>
      <c r="MF844" s="3"/>
      <c r="MG844" s="3"/>
      <c r="MH844" s="3"/>
      <c r="MI844" s="3"/>
    </row>
    <row r="845" spans="1:347"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c r="HX845" s="3"/>
      <c r="HY845" s="3"/>
      <c r="HZ845" s="3"/>
      <c r="IA845" s="3"/>
      <c r="IB845" s="3"/>
      <c r="IC845" s="3"/>
      <c r="ID845" s="3"/>
      <c r="IE845" s="3"/>
      <c r="IF845" s="3"/>
      <c r="IG845" s="3"/>
      <c r="IH845" s="3"/>
      <c r="II845" s="3"/>
      <c r="IJ845" s="3"/>
      <c r="IK845" s="3"/>
      <c r="IL845" s="3"/>
      <c r="IM845" s="3"/>
      <c r="IN845" s="3"/>
      <c r="IO845" s="3"/>
      <c r="IP845" s="3"/>
      <c r="IQ845" s="3"/>
      <c r="IR845" s="3"/>
      <c r="IS845" s="3"/>
      <c r="IT845" s="3"/>
      <c r="IU845" s="3"/>
      <c r="IV845" s="3"/>
      <c r="IW845" s="3"/>
      <c r="IX845" s="3"/>
      <c r="IY845" s="3"/>
      <c r="IZ845" s="3"/>
      <c r="JA845" s="3"/>
      <c r="JB845" s="3"/>
      <c r="JC845" s="3"/>
      <c r="JD845" s="3"/>
      <c r="JE845" s="3"/>
      <c r="JF845" s="3"/>
      <c r="JG845" s="3"/>
      <c r="JH845" s="3"/>
      <c r="JI845" s="3"/>
      <c r="JJ845" s="3"/>
      <c r="JK845" s="3"/>
      <c r="JL845" s="3"/>
      <c r="JM845" s="3"/>
      <c r="JN845" s="3"/>
      <c r="JO845" s="3"/>
      <c r="JP845" s="3"/>
      <c r="JQ845" s="3"/>
      <c r="JR845" s="3"/>
      <c r="JS845" s="3"/>
      <c r="JT845" s="3"/>
      <c r="JU845" s="3"/>
      <c r="JV845" s="3"/>
      <c r="JW845" s="3"/>
      <c r="JX845" s="3"/>
      <c r="JY845" s="3"/>
      <c r="JZ845" s="3"/>
      <c r="KA845" s="3"/>
      <c r="KB845" s="3"/>
      <c r="KC845" s="3"/>
      <c r="KD845" s="3"/>
      <c r="KE845" s="3"/>
      <c r="KF845" s="3"/>
      <c r="KG845" s="3"/>
      <c r="KH845" s="3"/>
      <c r="KI845" s="3"/>
      <c r="KJ845" s="3"/>
      <c r="KK845" s="3"/>
      <c r="KL845" s="3"/>
      <c r="KM845" s="3"/>
      <c r="KN845" s="3"/>
      <c r="KO845" s="3"/>
      <c r="KP845" s="3"/>
      <c r="KQ845" s="3"/>
      <c r="KR845" s="3"/>
      <c r="KS845" s="3"/>
      <c r="KT845" s="3"/>
      <c r="KU845" s="3"/>
      <c r="KV845" s="3"/>
      <c r="KW845" s="3"/>
      <c r="KX845" s="3"/>
      <c r="KY845" s="3"/>
      <c r="KZ845" s="3"/>
      <c r="LA845" s="3"/>
      <c r="LB845" s="3"/>
      <c r="LC845" s="3"/>
      <c r="LD845" s="3"/>
      <c r="LE845" s="3"/>
      <c r="LF845" s="3"/>
      <c r="LG845" s="3"/>
      <c r="LH845" s="3"/>
      <c r="LI845" s="3"/>
      <c r="LJ845" s="3"/>
      <c r="LK845" s="3"/>
      <c r="LL845" s="3"/>
      <c r="LM845" s="3"/>
      <c r="LN845" s="3"/>
      <c r="LO845" s="3"/>
      <c r="LP845" s="3"/>
      <c r="LQ845" s="3"/>
      <c r="LR845" s="3"/>
      <c r="LS845" s="3"/>
      <c r="LT845" s="3"/>
      <c r="LU845" s="3"/>
      <c r="LV845" s="3"/>
      <c r="LW845" s="3"/>
      <c r="LX845" s="3"/>
      <c r="LY845" s="3"/>
      <c r="LZ845" s="3"/>
      <c r="MA845" s="3"/>
      <c r="MB845" s="3"/>
      <c r="MC845" s="3"/>
      <c r="MD845" s="3"/>
      <c r="ME845" s="3"/>
      <c r="MF845" s="3"/>
      <c r="MG845" s="3"/>
      <c r="MH845" s="3"/>
      <c r="MI845" s="3"/>
    </row>
    <row r="846" spans="1:347"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c r="HX846" s="3"/>
      <c r="HY846" s="3"/>
      <c r="HZ846" s="3"/>
      <c r="IA846" s="3"/>
      <c r="IB846" s="3"/>
      <c r="IC846" s="3"/>
      <c r="ID846" s="3"/>
      <c r="IE846" s="3"/>
      <c r="IF846" s="3"/>
      <c r="IG846" s="3"/>
      <c r="IH846" s="3"/>
      <c r="II846" s="3"/>
      <c r="IJ846" s="3"/>
      <c r="IK846" s="3"/>
      <c r="IL846" s="3"/>
      <c r="IM846" s="3"/>
      <c r="IN846" s="3"/>
      <c r="IO846" s="3"/>
      <c r="IP846" s="3"/>
      <c r="IQ846" s="3"/>
      <c r="IR846" s="3"/>
      <c r="IS846" s="3"/>
      <c r="IT846" s="3"/>
      <c r="IU846" s="3"/>
      <c r="IV846" s="3"/>
      <c r="IW846" s="3"/>
      <c r="IX846" s="3"/>
      <c r="IY846" s="3"/>
      <c r="IZ846" s="3"/>
      <c r="JA846" s="3"/>
      <c r="JB846" s="3"/>
      <c r="JC846" s="3"/>
      <c r="JD846" s="3"/>
      <c r="JE846" s="3"/>
      <c r="JF846" s="3"/>
      <c r="JG846" s="3"/>
      <c r="JH846" s="3"/>
      <c r="JI846" s="3"/>
      <c r="JJ846" s="3"/>
      <c r="JK846" s="3"/>
      <c r="JL846" s="3"/>
      <c r="JM846" s="3"/>
      <c r="JN846" s="3"/>
      <c r="JO846" s="3"/>
      <c r="JP846" s="3"/>
      <c r="JQ846" s="3"/>
      <c r="JR846" s="3"/>
      <c r="JS846" s="3"/>
      <c r="JT846" s="3"/>
      <c r="JU846" s="3"/>
      <c r="JV846" s="3"/>
      <c r="JW846" s="3"/>
      <c r="JX846" s="3"/>
      <c r="JY846" s="3"/>
      <c r="JZ846" s="3"/>
      <c r="KA846" s="3"/>
      <c r="KB846" s="3"/>
      <c r="KC846" s="3"/>
      <c r="KD846" s="3"/>
      <c r="KE846" s="3"/>
      <c r="KF846" s="3"/>
      <c r="KG846" s="3"/>
      <c r="KH846" s="3"/>
      <c r="KI846" s="3"/>
      <c r="KJ846" s="3"/>
      <c r="KK846" s="3"/>
      <c r="KL846" s="3"/>
      <c r="KM846" s="3"/>
      <c r="KN846" s="3"/>
      <c r="KO846" s="3"/>
      <c r="KP846" s="3"/>
      <c r="KQ846" s="3"/>
      <c r="KR846" s="3"/>
      <c r="KS846" s="3"/>
      <c r="KT846" s="3"/>
      <c r="KU846" s="3"/>
      <c r="KV846" s="3"/>
      <c r="KW846" s="3"/>
      <c r="KX846" s="3"/>
      <c r="KY846" s="3"/>
      <c r="KZ846" s="3"/>
      <c r="LA846" s="3"/>
      <c r="LB846" s="3"/>
      <c r="LC846" s="3"/>
      <c r="LD846" s="3"/>
      <c r="LE846" s="3"/>
      <c r="LF846" s="3"/>
      <c r="LG846" s="3"/>
      <c r="LH846" s="3"/>
      <c r="LI846" s="3"/>
      <c r="LJ846" s="3"/>
      <c r="LK846" s="3"/>
      <c r="LL846" s="3"/>
      <c r="LM846" s="3"/>
      <c r="LN846" s="3"/>
      <c r="LO846" s="3"/>
      <c r="LP846" s="3"/>
      <c r="LQ846" s="3"/>
      <c r="LR846" s="3"/>
      <c r="LS846" s="3"/>
      <c r="LT846" s="3"/>
      <c r="LU846" s="3"/>
      <c r="LV846" s="3"/>
      <c r="LW846" s="3"/>
      <c r="LX846" s="3"/>
      <c r="LY846" s="3"/>
      <c r="LZ846" s="3"/>
      <c r="MA846" s="3"/>
      <c r="MB846" s="3"/>
      <c r="MC846" s="3"/>
      <c r="MD846" s="3"/>
      <c r="ME846" s="3"/>
      <c r="MF846" s="3"/>
      <c r="MG846" s="3"/>
      <c r="MH846" s="3"/>
      <c r="MI846" s="3"/>
    </row>
    <row r="847" spans="1:347"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c r="HX847" s="3"/>
      <c r="HY847" s="3"/>
      <c r="HZ847" s="3"/>
      <c r="IA847" s="3"/>
      <c r="IB847" s="3"/>
      <c r="IC847" s="3"/>
      <c r="ID847" s="3"/>
      <c r="IE847" s="3"/>
      <c r="IF847" s="3"/>
      <c r="IG847" s="3"/>
      <c r="IH847" s="3"/>
      <c r="II847" s="3"/>
      <c r="IJ847" s="3"/>
      <c r="IK847" s="3"/>
      <c r="IL847" s="3"/>
      <c r="IM847" s="3"/>
      <c r="IN847" s="3"/>
      <c r="IO847" s="3"/>
      <c r="IP847" s="3"/>
      <c r="IQ847" s="3"/>
      <c r="IR847" s="3"/>
      <c r="IS847" s="3"/>
      <c r="IT847" s="3"/>
      <c r="IU847" s="3"/>
      <c r="IV847" s="3"/>
      <c r="IW847" s="3"/>
      <c r="IX847" s="3"/>
      <c r="IY847" s="3"/>
      <c r="IZ847" s="3"/>
      <c r="JA847" s="3"/>
      <c r="JB847" s="3"/>
      <c r="JC847" s="3"/>
      <c r="JD847" s="3"/>
      <c r="JE847" s="3"/>
      <c r="JF847" s="3"/>
      <c r="JG847" s="3"/>
      <c r="JH847" s="3"/>
      <c r="JI847" s="3"/>
      <c r="JJ847" s="3"/>
      <c r="JK847" s="3"/>
      <c r="JL847" s="3"/>
      <c r="JM847" s="3"/>
      <c r="JN847" s="3"/>
      <c r="JO847" s="3"/>
      <c r="JP847" s="3"/>
      <c r="JQ847" s="3"/>
      <c r="JR847" s="3"/>
      <c r="JS847" s="3"/>
      <c r="JT847" s="3"/>
      <c r="JU847" s="3"/>
      <c r="JV847" s="3"/>
      <c r="JW847" s="3"/>
      <c r="JX847" s="3"/>
      <c r="JY847" s="3"/>
      <c r="JZ847" s="3"/>
      <c r="KA847" s="3"/>
      <c r="KB847" s="3"/>
      <c r="KC847" s="3"/>
      <c r="KD847" s="3"/>
      <c r="KE847" s="3"/>
      <c r="KF847" s="3"/>
      <c r="KG847" s="3"/>
      <c r="KH847" s="3"/>
      <c r="KI847" s="3"/>
      <c r="KJ847" s="3"/>
      <c r="KK847" s="3"/>
      <c r="KL847" s="3"/>
      <c r="KM847" s="3"/>
      <c r="KN847" s="3"/>
      <c r="KO847" s="3"/>
      <c r="KP847" s="3"/>
      <c r="KQ847" s="3"/>
      <c r="KR847" s="3"/>
      <c r="KS847" s="3"/>
      <c r="KT847" s="3"/>
      <c r="KU847" s="3"/>
      <c r="KV847" s="3"/>
      <c r="KW847" s="3"/>
      <c r="KX847" s="3"/>
      <c r="KY847" s="3"/>
      <c r="KZ847" s="3"/>
      <c r="LA847" s="3"/>
      <c r="LB847" s="3"/>
      <c r="LC847" s="3"/>
      <c r="LD847" s="3"/>
      <c r="LE847" s="3"/>
      <c r="LF847" s="3"/>
      <c r="LG847" s="3"/>
      <c r="LH847" s="3"/>
      <c r="LI847" s="3"/>
      <c r="LJ847" s="3"/>
      <c r="LK847" s="3"/>
      <c r="LL847" s="3"/>
      <c r="LM847" s="3"/>
      <c r="LN847" s="3"/>
      <c r="LO847" s="3"/>
      <c r="LP847" s="3"/>
      <c r="LQ847" s="3"/>
      <c r="LR847" s="3"/>
      <c r="LS847" s="3"/>
      <c r="LT847" s="3"/>
      <c r="LU847" s="3"/>
      <c r="LV847" s="3"/>
      <c r="LW847" s="3"/>
      <c r="LX847" s="3"/>
      <c r="LY847" s="3"/>
      <c r="LZ847" s="3"/>
      <c r="MA847" s="3"/>
      <c r="MB847" s="3"/>
      <c r="MC847" s="3"/>
      <c r="MD847" s="3"/>
      <c r="ME847" s="3"/>
      <c r="MF847" s="3"/>
      <c r="MG847" s="3"/>
      <c r="MH847" s="3"/>
      <c r="MI847" s="3"/>
    </row>
    <row r="848" spans="1:347"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c r="HX848" s="3"/>
      <c r="HY848" s="3"/>
      <c r="HZ848" s="3"/>
      <c r="IA848" s="3"/>
      <c r="IB848" s="3"/>
      <c r="IC848" s="3"/>
      <c r="ID848" s="3"/>
      <c r="IE848" s="3"/>
      <c r="IF848" s="3"/>
      <c r="IG848" s="3"/>
      <c r="IH848" s="3"/>
      <c r="II848" s="3"/>
      <c r="IJ848" s="3"/>
      <c r="IK848" s="3"/>
      <c r="IL848" s="3"/>
      <c r="IM848" s="3"/>
      <c r="IN848" s="3"/>
      <c r="IO848" s="3"/>
      <c r="IP848" s="3"/>
      <c r="IQ848" s="3"/>
      <c r="IR848" s="3"/>
      <c r="IS848" s="3"/>
      <c r="IT848" s="3"/>
      <c r="IU848" s="3"/>
      <c r="IV848" s="3"/>
      <c r="IW848" s="3"/>
      <c r="IX848" s="3"/>
      <c r="IY848" s="3"/>
      <c r="IZ848" s="3"/>
      <c r="JA848" s="3"/>
      <c r="JB848" s="3"/>
      <c r="JC848" s="3"/>
      <c r="JD848" s="3"/>
      <c r="JE848" s="3"/>
      <c r="JF848" s="3"/>
      <c r="JG848" s="3"/>
      <c r="JH848" s="3"/>
      <c r="JI848" s="3"/>
      <c r="JJ848" s="3"/>
      <c r="JK848" s="3"/>
      <c r="JL848" s="3"/>
      <c r="JM848" s="3"/>
      <c r="JN848" s="3"/>
      <c r="JO848" s="3"/>
      <c r="JP848" s="3"/>
      <c r="JQ848" s="3"/>
      <c r="JR848" s="3"/>
      <c r="JS848" s="3"/>
      <c r="JT848" s="3"/>
      <c r="JU848" s="3"/>
      <c r="JV848" s="3"/>
      <c r="JW848" s="3"/>
      <c r="JX848" s="3"/>
      <c r="JY848" s="3"/>
      <c r="JZ848" s="3"/>
      <c r="KA848" s="3"/>
      <c r="KB848" s="3"/>
      <c r="KC848" s="3"/>
      <c r="KD848" s="3"/>
      <c r="KE848" s="3"/>
      <c r="KF848" s="3"/>
      <c r="KG848" s="3"/>
      <c r="KH848" s="3"/>
      <c r="KI848" s="3"/>
      <c r="KJ848" s="3"/>
      <c r="KK848" s="3"/>
      <c r="KL848" s="3"/>
      <c r="KM848" s="3"/>
      <c r="KN848" s="3"/>
      <c r="KO848" s="3"/>
      <c r="KP848" s="3"/>
      <c r="KQ848" s="3"/>
      <c r="KR848" s="3"/>
      <c r="KS848" s="3"/>
      <c r="KT848" s="3"/>
      <c r="KU848" s="3"/>
      <c r="KV848" s="3"/>
      <c r="KW848" s="3"/>
      <c r="KX848" s="3"/>
      <c r="KY848" s="3"/>
      <c r="KZ848" s="3"/>
      <c r="LA848" s="3"/>
      <c r="LB848" s="3"/>
      <c r="LC848" s="3"/>
      <c r="LD848" s="3"/>
      <c r="LE848" s="3"/>
      <c r="LF848" s="3"/>
      <c r="LG848" s="3"/>
      <c r="LH848" s="3"/>
      <c r="LI848" s="3"/>
      <c r="LJ848" s="3"/>
      <c r="LK848" s="3"/>
      <c r="LL848" s="3"/>
      <c r="LM848" s="3"/>
      <c r="LN848" s="3"/>
      <c r="LO848" s="3"/>
      <c r="LP848" s="3"/>
      <c r="LQ848" s="3"/>
      <c r="LR848" s="3"/>
      <c r="LS848" s="3"/>
      <c r="LT848" s="3"/>
      <c r="LU848" s="3"/>
      <c r="LV848" s="3"/>
      <c r="LW848" s="3"/>
      <c r="LX848" s="3"/>
      <c r="LY848" s="3"/>
      <c r="LZ848" s="3"/>
      <c r="MA848" s="3"/>
      <c r="MB848" s="3"/>
      <c r="MC848" s="3"/>
      <c r="MD848" s="3"/>
      <c r="ME848" s="3"/>
      <c r="MF848" s="3"/>
      <c r="MG848" s="3"/>
      <c r="MH848" s="3"/>
      <c r="MI848" s="3"/>
    </row>
    <row r="849" spans="1:347"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c r="HX849" s="3"/>
      <c r="HY849" s="3"/>
      <c r="HZ849" s="3"/>
      <c r="IA849" s="3"/>
      <c r="IB849" s="3"/>
      <c r="IC849" s="3"/>
      <c r="ID849" s="3"/>
      <c r="IE849" s="3"/>
      <c r="IF849" s="3"/>
      <c r="IG849" s="3"/>
      <c r="IH849" s="3"/>
      <c r="II849" s="3"/>
      <c r="IJ849" s="3"/>
      <c r="IK849" s="3"/>
      <c r="IL849" s="3"/>
      <c r="IM849" s="3"/>
      <c r="IN849" s="3"/>
      <c r="IO849" s="3"/>
      <c r="IP849" s="3"/>
      <c r="IQ849" s="3"/>
      <c r="IR849" s="3"/>
      <c r="IS849" s="3"/>
      <c r="IT849" s="3"/>
      <c r="IU849" s="3"/>
      <c r="IV849" s="3"/>
      <c r="IW849" s="3"/>
      <c r="IX849" s="3"/>
      <c r="IY849" s="3"/>
      <c r="IZ849" s="3"/>
      <c r="JA849" s="3"/>
      <c r="JB849" s="3"/>
      <c r="JC849" s="3"/>
      <c r="JD849" s="3"/>
      <c r="JE849" s="3"/>
      <c r="JF849" s="3"/>
      <c r="JG849" s="3"/>
      <c r="JH849" s="3"/>
      <c r="JI849" s="3"/>
      <c r="JJ849" s="3"/>
      <c r="JK849" s="3"/>
      <c r="JL849" s="3"/>
      <c r="JM849" s="3"/>
      <c r="JN849" s="3"/>
      <c r="JO849" s="3"/>
      <c r="JP849" s="3"/>
      <c r="JQ849" s="3"/>
      <c r="JR849" s="3"/>
      <c r="JS849" s="3"/>
      <c r="JT849" s="3"/>
      <c r="JU849" s="3"/>
      <c r="JV849" s="3"/>
      <c r="JW849" s="3"/>
      <c r="JX849" s="3"/>
      <c r="JY849" s="3"/>
      <c r="JZ849" s="3"/>
      <c r="KA849" s="3"/>
      <c r="KB849" s="3"/>
      <c r="KC849" s="3"/>
      <c r="KD849" s="3"/>
      <c r="KE849" s="3"/>
      <c r="KF849" s="3"/>
      <c r="KG849" s="3"/>
      <c r="KH849" s="3"/>
      <c r="KI849" s="3"/>
      <c r="KJ849" s="3"/>
      <c r="KK849" s="3"/>
      <c r="KL849" s="3"/>
      <c r="KM849" s="3"/>
      <c r="KN849" s="3"/>
      <c r="KO849" s="3"/>
      <c r="KP849" s="3"/>
      <c r="KQ849" s="3"/>
      <c r="KR849" s="3"/>
      <c r="KS849" s="3"/>
      <c r="KT849" s="3"/>
      <c r="KU849" s="3"/>
      <c r="KV849" s="3"/>
      <c r="KW849" s="3"/>
      <c r="KX849" s="3"/>
      <c r="KY849" s="3"/>
      <c r="KZ849" s="3"/>
      <c r="LA849" s="3"/>
      <c r="LB849" s="3"/>
      <c r="LC849" s="3"/>
      <c r="LD849" s="3"/>
      <c r="LE849" s="3"/>
      <c r="LF849" s="3"/>
      <c r="LG849" s="3"/>
      <c r="LH849" s="3"/>
      <c r="LI849" s="3"/>
      <c r="LJ849" s="3"/>
      <c r="LK849" s="3"/>
      <c r="LL849" s="3"/>
      <c r="LM849" s="3"/>
      <c r="LN849" s="3"/>
      <c r="LO849" s="3"/>
      <c r="LP849" s="3"/>
      <c r="LQ849" s="3"/>
      <c r="LR849" s="3"/>
      <c r="LS849" s="3"/>
      <c r="LT849" s="3"/>
      <c r="LU849" s="3"/>
      <c r="LV849" s="3"/>
      <c r="LW849" s="3"/>
      <c r="LX849" s="3"/>
      <c r="LY849" s="3"/>
      <c r="LZ849" s="3"/>
      <c r="MA849" s="3"/>
      <c r="MB849" s="3"/>
      <c r="MC849" s="3"/>
      <c r="MD849" s="3"/>
      <c r="ME849" s="3"/>
      <c r="MF849" s="3"/>
      <c r="MG849" s="3"/>
      <c r="MH849" s="3"/>
      <c r="MI849" s="3"/>
    </row>
    <row r="850" spans="1:347"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c r="HX850" s="3"/>
      <c r="HY850" s="3"/>
      <c r="HZ850" s="3"/>
      <c r="IA850" s="3"/>
      <c r="IB850" s="3"/>
      <c r="IC850" s="3"/>
      <c r="ID850" s="3"/>
      <c r="IE850" s="3"/>
      <c r="IF850" s="3"/>
      <c r="IG850" s="3"/>
      <c r="IH850" s="3"/>
      <c r="II850" s="3"/>
      <c r="IJ850" s="3"/>
      <c r="IK850" s="3"/>
      <c r="IL850" s="3"/>
      <c r="IM850" s="3"/>
      <c r="IN850" s="3"/>
      <c r="IO850" s="3"/>
      <c r="IP850" s="3"/>
      <c r="IQ850" s="3"/>
      <c r="IR850" s="3"/>
      <c r="IS850" s="3"/>
      <c r="IT850" s="3"/>
      <c r="IU850" s="3"/>
      <c r="IV850" s="3"/>
      <c r="IW850" s="3"/>
      <c r="IX850" s="3"/>
      <c r="IY850" s="3"/>
      <c r="IZ850" s="3"/>
      <c r="JA850" s="3"/>
      <c r="JB850" s="3"/>
      <c r="JC850" s="3"/>
      <c r="JD850" s="3"/>
      <c r="JE850" s="3"/>
      <c r="JF850" s="3"/>
      <c r="JG850" s="3"/>
      <c r="JH850" s="3"/>
      <c r="JI850" s="3"/>
      <c r="JJ850" s="3"/>
      <c r="JK850" s="3"/>
      <c r="JL850" s="3"/>
      <c r="JM850" s="3"/>
      <c r="JN850" s="3"/>
      <c r="JO850" s="3"/>
      <c r="JP850" s="3"/>
      <c r="JQ850" s="3"/>
      <c r="JR850" s="3"/>
      <c r="JS850" s="3"/>
      <c r="JT850" s="3"/>
      <c r="JU850" s="3"/>
      <c r="JV850" s="3"/>
      <c r="JW850" s="3"/>
      <c r="JX850" s="3"/>
      <c r="JY850" s="3"/>
      <c r="JZ850" s="3"/>
      <c r="KA850" s="3"/>
      <c r="KB850" s="3"/>
      <c r="KC850" s="3"/>
      <c r="KD850" s="3"/>
      <c r="KE850" s="3"/>
      <c r="KF850" s="3"/>
      <c r="KG850" s="3"/>
      <c r="KH850" s="3"/>
      <c r="KI850" s="3"/>
      <c r="KJ850" s="3"/>
      <c r="KK850" s="3"/>
      <c r="KL850" s="3"/>
      <c r="KM850" s="3"/>
      <c r="KN850" s="3"/>
      <c r="KO850" s="3"/>
      <c r="KP850" s="3"/>
      <c r="KQ850" s="3"/>
      <c r="KR850" s="3"/>
      <c r="KS850" s="3"/>
      <c r="KT850" s="3"/>
      <c r="KU850" s="3"/>
      <c r="KV850" s="3"/>
      <c r="KW850" s="3"/>
      <c r="KX850" s="3"/>
      <c r="KY850" s="3"/>
      <c r="KZ850" s="3"/>
      <c r="LA850" s="3"/>
      <c r="LB850" s="3"/>
      <c r="LC850" s="3"/>
      <c r="LD850" s="3"/>
      <c r="LE850" s="3"/>
      <c r="LF850" s="3"/>
      <c r="LG850" s="3"/>
      <c r="LH850" s="3"/>
      <c r="LI850" s="3"/>
      <c r="LJ850" s="3"/>
      <c r="LK850" s="3"/>
      <c r="LL850" s="3"/>
      <c r="LM850" s="3"/>
      <c r="LN850" s="3"/>
      <c r="LO850" s="3"/>
      <c r="LP850" s="3"/>
      <c r="LQ850" s="3"/>
      <c r="LR850" s="3"/>
      <c r="LS850" s="3"/>
      <c r="LT850" s="3"/>
      <c r="LU850" s="3"/>
      <c r="LV850" s="3"/>
      <c r="LW850" s="3"/>
      <c r="LX850" s="3"/>
      <c r="LY850" s="3"/>
      <c r="LZ850" s="3"/>
      <c r="MA850" s="3"/>
      <c r="MB850" s="3"/>
      <c r="MC850" s="3"/>
      <c r="MD850" s="3"/>
      <c r="ME850" s="3"/>
      <c r="MF850" s="3"/>
      <c r="MG850" s="3"/>
      <c r="MH850" s="3"/>
      <c r="MI850" s="3"/>
    </row>
    <row r="851" spans="1:347"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c r="HX851" s="3"/>
      <c r="HY851" s="3"/>
      <c r="HZ851" s="3"/>
      <c r="IA851" s="3"/>
      <c r="IB851" s="3"/>
      <c r="IC851" s="3"/>
      <c r="ID851" s="3"/>
      <c r="IE851" s="3"/>
      <c r="IF851" s="3"/>
      <c r="IG851" s="3"/>
      <c r="IH851" s="3"/>
      <c r="II851" s="3"/>
      <c r="IJ851" s="3"/>
      <c r="IK851" s="3"/>
      <c r="IL851" s="3"/>
      <c r="IM851" s="3"/>
      <c r="IN851" s="3"/>
      <c r="IO851" s="3"/>
      <c r="IP851" s="3"/>
      <c r="IQ851" s="3"/>
      <c r="IR851" s="3"/>
      <c r="IS851" s="3"/>
      <c r="IT851" s="3"/>
      <c r="IU851" s="3"/>
      <c r="IV851" s="3"/>
      <c r="IW851" s="3"/>
      <c r="IX851" s="3"/>
      <c r="IY851" s="3"/>
      <c r="IZ851" s="3"/>
      <c r="JA851" s="3"/>
      <c r="JB851" s="3"/>
      <c r="JC851" s="3"/>
      <c r="JD851" s="3"/>
      <c r="JE851" s="3"/>
      <c r="JF851" s="3"/>
      <c r="JG851" s="3"/>
      <c r="JH851" s="3"/>
      <c r="JI851" s="3"/>
      <c r="JJ851" s="3"/>
      <c r="JK851" s="3"/>
      <c r="JL851" s="3"/>
      <c r="JM851" s="3"/>
      <c r="JN851" s="3"/>
      <c r="JO851" s="3"/>
      <c r="JP851" s="3"/>
      <c r="JQ851" s="3"/>
      <c r="JR851" s="3"/>
      <c r="JS851" s="3"/>
      <c r="JT851" s="3"/>
      <c r="JU851" s="3"/>
      <c r="JV851" s="3"/>
      <c r="JW851" s="3"/>
      <c r="JX851" s="3"/>
      <c r="JY851" s="3"/>
      <c r="JZ851" s="3"/>
      <c r="KA851" s="3"/>
      <c r="KB851" s="3"/>
      <c r="KC851" s="3"/>
      <c r="KD851" s="3"/>
      <c r="KE851" s="3"/>
      <c r="KF851" s="3"/>
      <c r="KG851" s="3"/>
      <c r="KH851" s="3"/>
      <c r="KI851" s="3"/>
      <c r="KJ851" s="3"/>
      <c r="KK851" s="3"/>
      <c r="KL851" s="3"/>
      <c r="KM851" s="3"/>
      <c r="KN851" s="3"/>
      <c r="KO851" s="3"/>
      <c r="KP851" s="3"/>
      <c r="KQ851" s="3"/>
      <c r="KR851" s="3"/>
      <c r="KS851" s="3"/>
      <c r="KT851" s="3"/>
      <c r="KU851" s="3"/>
      <c r="KV851" s="3"/>
      <c r="KW851" s="3"/>
      <c r="KX851" s="3"/>
      <c r="KY851" s="3"/>
      <c r="KZ851" s="3"/>
      <c r="LA851" s="3"/>
      <c r="LB851" s="3"/>
      <c r="LC851" s="3"/>
      <c r="LD851" s="3"/>
      <c r="LE851" s="3"/>
      <c r="LF851" s="3"/>
      <c r="LG851" s="3"/>
      <c r="LH851" s="3"/>
      <c r="LI851" s="3"/>
      <c r="LJ851" s="3"/>
      <c r="LK851" s="3"/>
      <c r="LL851" s="3"/>
      <c r="LM851" s="3"/>
      <c r="LN851" s="3"/>
      <c r="LO851" s="3"/>
      <c r="LP851" s="3"/>
      <c r="LQ851" s="3"/>
      <c r="LR851" s="3"/>
      <c r="LS851" s="3"/>
      <c r="LT851" s="3"/>
      <c r="LU851" s="3"/>
      <c r="LV851" s="3"/>
      <c r="LW851" s="3"/>
      <c r="LX851" s="3"/>
      <c r="LY851" s="3"/>
      <c r="LZ851" s="3"/>
      <c r="MA851" s="3"/>
      <c r="MB851" s="3"/>
      <c r="MC851" s="3"/>
      <c r="MD851" s="3"/>
      <c r="ME851" s="3"/>
      <c r="MF851" s="3"/>
      <c r="MG851" s="3"/>
      <c r="MH851" s="3"/>
      <c r="MI851" s="3"/>
    </row>
    <row r="852" spans="1:347"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c r="HX852" s="3"/>
      <c r="HY852" s="3"/>
      <c r="HZ852" s="3"/>
      <c r="IA852" s="3"/>
      <c r="IB852" s="3"/>
      <c r="IC852" s="3"/>
      <c r="ID852" s="3"/>
      <c r="IE852" s="3"/>
      <c r="IF852" s="3"/>
      <c r="IG852" s="3"/>
      <c r="IH852" s="3"/>
      <c r="II852" s="3"/>
      <c r="IJ852" s="3"/>
      <c r="IK852" s="3"/>
      <c r="IL852" s="3"/>
      <c r="IM852" s="3"/>
      <c r="IN852" s="3"/>
      <c r="IO852" s="3"/>
      <c r="IP852" s="3"/>
      <c r="IQ852" s="3"/>
      <c r="IR852" s="3"/>
      <c r="IS852" s="3"/>
      <c r="IT852" s="3"/>
      <c r="IU852" s="3"/>
      <c r="IV852" s="3"/>
      <c r="IW852" s="3"/>
      <c r="IX852" s="3"/>
      <c r="IY852" s="3"/>
      <c r="IZ852" s="3"/>
      <c r="JA852" s="3"/>
      <c r="JB852" s="3"/>
      <c r="JC852" s="3"/>
      <c r="JD852" s="3"/>
      <c r="JE852" s="3"/>
      <c r="JF852" s="3"/>
      <c r="JG852" s="3"/>
      <c r="JH852" s="3"/>
      <c r="JI852" s="3"/>
      <c r="JJ852" s="3"/>
      <c r="JK852" s="3"/>
      <c r="JL852" s="3"/>
      <c r="JM852" s="3"/>
      <c r="JN852" s="3"/>
      <c r="JO852" s="3"/>
      <c r="JP852" s="3"/>
      <c r="JQ852" s="3"/>
      <c r="JR852" s="3"/>
      <c r="JS852" s="3"/>
      <c r="JT852" s="3"/>
      <c r="JU852" s="3"/>
      <c r="JV852" s="3"/>
      <c r="JW852" s="3"/>
      <c r="JX852" s="3"/>
      <c r="JY852" s="3"/>
      <c r="JZ852" s="3"/>
      <c r="KA852" s="3"/>
      <c r="KB852" s="3"/>
      <c r="KC852" s="3"/>
      <c r="KD852" s="3"/>
      <c r="KE852" s="3"/>
      <c r="KF852" s="3"/>
      <c r="KG852" s="3"/>
      <c r="KH852" s="3"/>
      <c r="KI852" s="3"/>
      <c r="KJ852" s="3"/>
      <c r="KK852" s="3"/>
      <c r="KL852" s="3"/>
      <c r="KM852" s="3"/>
      <c r="KN852" s="3"/>
      <c r="KO852" s="3"/>
      <c r="KP852" s="3"/>
      <c r="KQ852" s="3"/>
      <c r="KR852" s="3"/>
      <c r="KS852" s="3"/>
      <c r="KT852" s="3"/>
      <c r="KU852" s="3"/>
      <c r="KV852" s="3"/>
      <c r="KW852" s="3"/>
      <c r="KX852" s="3"/>
      <c r="KY852" s="3"/>
      <c r="KZ852" s="3"/>
      <c r="LA852" s="3"/>
      <c r="LB852" s="3"/>
      <c r="LC852" s="3"/>
      <c r="LD852" s="3"/>
      <c r="LE852" s="3"/>
      <c r="LF852" s="3"/>
      <c r="LG852" s="3"/>
      <c r="LH852" s="3"/>
      <c r="LI852" s="3"/>
      <c r="LJ852" s="3"/>
      <c r="LK852" s="3"/>
      <c r="LL852" s="3"/>
      <c r="LM852" s="3"/>
      <c r="LN852" s="3"/>
      <c r="LO852" s="3"/>
      <c r="LP852" s="3"/>
      <c r="LQ852" s="3"/>
      <c r="LR852" s="3"/>
      <c r="LS852" s="3"/>
      <c r="LT852" s="3"/>
      <c r="LU852" s="3"/>
      <c r="LV852" s="3"/>
      <c r="LW852" s="3"/>
      <c r="LX852" s="3"/>
      <c r="LY852" s="3"/>
      <c r="LZ852" s="3"/>
      <c r="MA852" s="3"/>
      <c r="MB852" s="3"/>
      <c r="MC852" s="3"/>
      <c r="MD852" s="3"/>
      <c r="ME852" s="3"/>
      <c r="MF852" s="3"/>
      <c r="MG852" s="3"/>
      <c r="MH852" s="3"/>
      <c r="MI852" s="3"/>
    </row>
    <row r="853" spans="1:347"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c r="HX853" s="3"/>
      <c r="HY853" s="3"/>
      <c r="HZ853" s="3"/>
      <c r="IA853" s="3"/>
      <c r="IB853" s="3"/>
      <c r="IC853" s="3"/>
      <c r="ID853" s="3"/>
      <c r="IE853" s="3"/>
      <c r="IF853" s="3"/>
      <c r="IG853" s="3"/>
      <c r="IH853" s="3"/>
      <c r="II853" s="3"/>
      <c r="IJ853" s="3"/>
      <c r="IK853" s="3"/>
      <c r="IL853" s="3"/>
      <c r="IM853" s="3"/>
      <c r="IN853" s="3"/>
      <c r="IO853" s="3"/>
      <c r="IP853" s="3"/>
      <c r="IQ853" s="3"/>
      <c r="IR853" s="3"/>
      <c r="IS853" s="3"/>
      <c r="IT853" s="3"/>
      <c r="IU853" s="3"/>
      <c r="IV853" s="3"/>
      <c r="IW853" s="3"/>
      <c r="IX853" s="3"/>
      <c r="IY853" s="3"/>
      <c r="IZ853" s="3"/>
      <c r="JA853" s="3"/>
      <c r="JB853" s="3"/>
      <c r="JC853" s="3"/>
      <c r="JD853" s="3"/>
      <c r="JE853" s="3"/>
      <c r="JF853" s="3"/>
      <c r="JG853" s="3"/>
      <c r="JH853" s="3"/>
      <c r="JI853" s="3"/>
      <c r="JJ853" s="3"/>
      <c r="JK853" s="3"/>
      <c r="JL853" s="3"/>
      <c r="JM853" s="3"/>
      <c r="JN853" s="3"/>
      <c r="JO853" s="3"/>
      <c r="JP853" s="3"/>
      <c r="JQ853" s="3"/>
      <c r="JR853" s="3"/>
      <c r="JS853" s="3"/>
      <c r="JT853" s="3"/>
      <c r="JU853" s="3"/>
      <c r="JV853" s="3"/>
      <c r="JW853" s="3"/>
      <c r="JX853" s="3"/>
      <c r="JY853" s="3"/>
      <c r="JZ853" s="3"/>
      <c r="KA853" s="3"/>
      <c r="KB853" s="3"/>
      <c r="KC853" s="3"/>
      <c r="KD853" s="3"/>
      <c r="KE853" s="3"/>
      <c r="KF853" s="3"/>
      <c r="KG853" s="3"/>
      <c r="KH853" s="3"/>
      <c r="KI853" s="3"/>
      <c r="KJ853" s="3"/>
      <c r="KK853" s="3"/>
      <c r="KL853" s="3"/>
      <c r="KM853" s="3"/>
      <c r="KN853" s="3"/>
      <c r="KO853" s="3"/>
      <c r="KP853" s="3"/>
      <c r="KQ853" s="3"/>
      <c r="KR853" s="3"/>
      <c r="KS853" s="3"/>
      <c r="KT853" s="3"/>
      <c r="KU853" s="3"/>
      <c r="KV853" s="3"/>
      <c r="KW853" s="3"/>
      <c r="KX853" s="3"/>
      <c r="KY853" s="3"/>
      <c r="KZ853" s="3"/>
      <c r="LA853" s="3"/>
      <c r="LB853" s="3"/>
      <c r="LC853" s="3"/>
      <c r="LD853" s="3"/>
      <c r="LE853" s="3"/>
      <c r="LF853" s="3"/>
      <c r="LG853" s="3"/>
      <c r="LH853" s="3"/>
      <c r="LI853" s="3"/>
      <c r="LJ853" s="3"/>
      <c r="LK853" s="3"/>
      <c r="LL853" s="3"/>
      <c r="LM853" s="3"/>
      <c r="LN853" s="3"/>
      <c r="LO853" s="3"/>
      <c r="LP853" s="3"/>
      <c r="LQ853" s="3"/>
      <c r="LR853" s="3"/>
      <c r="LS853" s="3"/>
      <c r="LT853" s="3"/>
      <c r="LU853" s="3"/>
      <c r="LV853" s="3"/>
      <c r="LW853" s="3"/>
      <c r="LX853" s="3"/>
      <c r="LY853" s="3"/>
      <c r="LZ853" s="3"/>
      <c r="MA853" s="3"/>
      <c r="MB853" s="3"/>
      <c r="MC853" s="3"/>
      <c r="MD853" s="3"/>
      <c r="ME853" s="3"/>
      <c r="MF853" s="3"/>
      <c r="MG853" s="3"/>
      <c r="MH853" s="3"/>
      <c r="MI853" s="3"/>
    </row>
    <row r="854" spans="1:347"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c r="HX854" s="3"/>
      <c r="HY854" s="3"/>
      <c r="HZ854" s="3"/>
      <c r="IA854" s="3"/>
      <c r="IB854" s="3"/>
      <c r="IC854" s="3"/>
      <c r="ID854" s="3"/>
      <c r="IE854" s="3"/>
      <c r="IF854" s="3"/>
      <c r="IG854" s="3"/>
      <c r="IH854" s="3"/>
      <c r="II854" s="3"/>
      <c r="IJ854" s="3"/>
      <c r="IK854" s="3"/>
      <c r="IL854" s="3"/>
      <c r="IM854" s="3"/>
      <c r="IN854" s="3"/>
      <c r="IO854" s="3"/>
      <c r="IP854" s="3"/>
      <c r="IQ854" s="3"/>
      <c r="IR854" s="3"/>
      <c r="IS854" s="3"/>
      <c r="IT854" s="3"/>
      <c r="IU854" s="3"/>
      <c r="IV854" s="3"/>
      <c r="IW854" s="3"/>
      <c r="IX854" s="3"/>
      <c r="IY854" s="3"/>
      <c r="IZ854" s="3"/>
      <c r="JA854" s="3"/>
      <c r="JB854" s="3"/>
      <c r="JC854" s="3"/>
      <c r="JD854" s="3"/>
      <c r="JE854" s="3"/>
      <c r="JF854" s="3"/>
      <c r="JG854" s="3"/>
      <c r="JH854" s="3"/>
      <c r="JI854" s="3"/>
      <c r="JJ854" s="3"/>
      <c r="JK854" s="3"/>
      <c r="JL854" s="3"/>
      <c r="JM854" s="3"/>
      <c r="JN854" s="3"/>
      <c r="JO854" s="3"/>
      <c r="JP854" s="3"/>
      <c r="JQ854" s="3"/>
      <c r="JR854" s="3"/>
      <c r="JS854" s="3"/>
      <c r="JT854" s="3"/>
      <c r="JU854" s="3"/>
      <c r="JV854" s="3"/>
      <c r="JW854" s="3"/>
      <c r="JX854" s="3"/>
      <c r="JY854" s="3"/>
      <c r="JZ854" s="3"/>
      <c r="KA854" s="3"/>
      <c r="KB854" s="3"/>
      <c r="KC854" s="3"/>
      <c r="KD854" s="3"/>
      <c r="KE854" s="3"/>
      <c r="KF854" s="3"/>
      <c r="KG854" s="3"/>
      <c r="KH854" s="3"/>
      <c r="KI854" s="3"/>
      <c r="KJ854" s="3"/>
      <c r="KK854" s="3"/>
      <c r="KL854" s="3"/>
      <c r="KM854" s="3"/>
      <c r="KN854" s="3"/>
      <c r="KO854" s="3"/>
      <c r="KP854" s="3"/>
      <c r="KQ854" s="3"/>
      <c r="KR854" s="3"/>
      <c r="KS854" s="3"/>
      <c r="KT854" s="3"/>
      <c r="KU854" s="3"/>
      <c r="KV854" s="3"/>
      <c r="KW854" s="3"/>
      <c r="KX854" s="3"/>
      <c r="KY854" s="3"/>
      <c r="KZ854" s="3"/>
      <c r="LA854" s="3"/>
      <c r="LB854" s="3"/>
      <c r="LC854" s="3"/>
      <c r="LD854" s="3"/>
      <c r="LE854" s="3"/>
      <c r="LF854" s="3"/>
      <c r="LG854" s="3"/>
      <c r="LH854" s="3"/>
      <c r="LI854" s="3"/>
      <c r="LJ854" s="3"/>
      <c r="LK854" s="3"/>
      <c r="LL854" s="3"/>
      <c r="LM854" s="3"/>
      <c r="LN854" s="3"/>
      <c r="LO854" s="3"/>
      <c r="LP854" s="3"/>
      <c r="LQ854" s="3"/>
      <c r="LR854" s="3"/>
      <c r="LS854" s="3"/>
      <c r="LT854" s="3"/>
      <c r="LU854" s="3"/>
      <c r="LV854" s="3"/>
      <c r="LW854" s="3"/>
      <c r="LX854" s="3"/>
      <c r="LY854" s="3"/>
      <c r="LZ854" s="3"/>
      <c r="MA854" s="3"/>
      <c r="MB854" s="3"/>
      <c r="MC854" s="3"/>
      <c r="MD854" s="3"/>
      <c r="ME854" s="3"/>
      <c r="MF854" s="3"/>
      <c r="MG854" s="3"/>
      <c r="MH854" s="3"/>
      <c r="MI854" s="3"/>
    </row>
    <row r="855" spans="1:347"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c r="HX855" s="3"/>
      <c r="HY855" s="3"/>
      <c r="HZ855" s="3"/>
      <c r="IA855" s="3"/>
      <c r="IB855" s="3"/>
      <c r="IC855" s="3"/>
      <c r="ID855" s="3"/>
      <c r="IE855" s="3"/>
      <c r="IF855" s="3"/>
      <c r="IG855" s="3"/>
      <c r="IH855" s="3"/>
      <c r="II855" s="3"/>
      <c r="IJ855" s="3"/>
      <c r="IK855" s="3"/>
      <c r="IL855" s="3"/>
      <c r="IM855" s="3"/>
      <c r="IN855" s="3"/>
      <c r="IO855" s="3"/>
      <c r="IP855" s="3"/>
      <c r="IQ855" s="3"/>
      <c r="IR855" s="3"/>
      <c r="IS855" s="3"/>
      <c r="IT855" s="3"/>
      <c r="IU855" s="3"/>
      <c r="IV855" s="3"/>
      <c r="IW855" s="3"/>
      <c r="IX855" s="3"/>
      <c r="IY855" s="3"/>
      <c r="IZ855" s="3"/>
      <c r="JA855" s="3"/>
      <c r="JB855" s="3"/>
      <c r="JC855" s="3"/>
      <c r="JD855" s="3"/>
      <c r="JE855" s="3"/>
      <c r="JF855" s="3"/>
      <c r="JG855" s="3"/>
      <c r="JH855" s="3"/>
      <c r="JI855" s="3"/>
      <c r="JJ855" s="3"/>
      <c r="JK855" s="3"/>
      <c r="JL855" s="3"/>
      <c r="JM855" s="3"/>
      <c r="JN855" s="3"/>
      <c r="JO855" s="3"/>
      <c r="JP855" s="3"/>
      <c r="JQ855" s="3"/>
      <c r="JR855" s="3"/>
      <c r="JS855" s="3"/>
      <c r="JT855" s="3"/>
      <c r="JU855" s="3"/>
      <c r="JV855" s="3"/>
      <c r="JW855" s="3"/>
      <c r="JX855" s="3"/>
      <c r="JY855" s="3"/>
      <c r="JZ855" s="3"/>
      <c r="KA855" s="3"/>
      <c r="KB855" s="3"/>
      <c r="KC855" s="3"/>
      <c r="KD855" s="3"/>
      <c r="KE855" s="3"/>
      <c r="KF855" s="3"/>
      <c r="KG855" s="3"/>
      <c r="KH855" s="3"/>
      <c r="KI855" s="3"/>
      <c r="KJ855" s="3"/>
      <c r="KK855" s="3"/>
      <c r="KL855" s="3"/>
      <c r="KM855" s="3"/>
      <c r="KN855" s="3"/>
      <c r="KO855" s="3"/>
      <c r="KP855" s="3"/>
      <c r="KQ855" s="3"/>
      <c r="KR855" s="3"/>
      <c r="KS855" s="3"/>
      <c r="KT855" s="3"/>
      <c r="KU855" s="3"/>
      <c r="KV855" s="3"/>
      <c r="KW855" s="3"/>
      <c r="KX855" s="3"/>
      <c r="KY855" s="3"/>
      <c r="KZ855" s="3"/>
      <c r="LA855" s="3"/>
      <c r="LB855" s="3"/>
      <c r="LC855" s="3"/>
      <c r="LD855" s="3"/>
      <c r="LE855" s="3"/>
      <c r="LF855" s="3"/>
      <c r="LG855" s="3"/>
      <c r="LH855" s="3"/>
      <c r="LI855" s="3"/>
      <c r="LJ855" s="3"/>
      <c r="LK855" s="3"/>
      <c r="LL855" s="3"/>
      <c r="LM855" s="3"/>
      <c r="LN855" s="3"/>
      <c r="LO855" s="3"/>
      <c r="LP855" s="3"/>
      <c r="LQ855" s="3"/>
      <c r="LR855" s="3"/>
      <c r="LS855" s="3"/>
      <c r="LT855" s="3"/>
      <c r="LU855" s="3"/>
      <c r="LV855" s="3"/>
      <c r="LW855" s="3"/>
      <c r="LX855" s="3"/>
      <c r="LY855" s="3"/>
      <c r="LZ855" s="3"/>
      <c r="MA855" s="3"/>
      <c r="MB855" s="3"/>
      <c r="MC855" s="3"/>
      <c r="MD855" s="3"/>
      <c r="ME855" s="3"/>
      <c r="MF855" s="3"/>
      <c r="MG855" s="3"/>
      <c r="MH855" s="3"/>
      <c r="MI855" s="3"/>
    </row>
    <row r="856" spans="1:347"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c r="HX856" s="3"/>
      <c r="HY856" s="3"/>
      <c r="HZ856" s="3"/>
      <c r="IA856" s="3"/>
      <c r="IB856" s="3"/>
      <c r="IC856" s="3"/>
      <c r="ID856" s="3"/>
      <c r="IE856" s="3"/>
      <c r="IF856" s="3"/>
      <c r="IG856" s="3"/>
      <c r="IH856" s="3"/>
      <c r="II856" s="3"/>
      <c r="IJ856" s="3"/>
      <c r="IK856" s="3"/>
      <c r="IL856" s="3"/>
      <c r="IM856" s="3"/>
      <c r="IN856" s="3"/>
      <c r="IO856" s="3"/>
      <c r="IP856" s="3"/>
      <c r="IQ856" s="3"/>
      <c r="IR856" s="3"/>
      <c r="IS856" s="3"/>
      <c r="IT856" s="3"/>
      <c r="IU856" s="3"/>
      <c r="IV856" s="3"/>
      <c r="IW856" s="3"/>
      <c r="IX856" s="3"/>
      <c r="IY856" s="3"/>
      <c r="IZ856" s="3"/>
      <c r="JA856" s="3"/>
      <c r="JB856" s="3"/>
      <c r="JC856" s="3"/>
      <c r="JD856" s="3"/>
      <c r="JE856" s="3"/>
      <c r="JF856" s="3"/>
      <c r="JG856" s="3"/>
      <c r="JH856" s="3"/>
      <c r="JI856" s="3"/>
      <c r="JJ856" s="3"/>
      <c r="JK856" s="3"/>
      <c r="JL856" s="3"/>
      <c r="JM856" s="3"/>
      <c r="JN856" s="3"/>
      <c r="JO856" s="3"/>
      <c r="JP856" s="3"/>
      <c r="JQ856" s="3"/>
      <c r="JR856" s="3"/>
      <c r="JS856" s="3"/>
      <c r="JT856" s="3"/>
      <c r="JU856" s="3"/>
      <c r="JV856" s="3"/>
      <c r="JW856" s="3"/>
      <c r="JX856" s="3"/>
      <c r="JY856" s="3"/>
      <c r="JZ856" s="3"/>
      <c r="KA856" s="3"/>
      <c r="KB856" s="3"/>
      <c r="KC856" s="3"/>
      <c r="KD856" s="3"/>
      <c r="KE856" s="3"/>
      <c r="KF856" s="3"/>
      <c r="KG856" s="3"/>
      <c r="KH856" s="3"/>
      <c r="KI856" s="3"/>
      <c r="KJ856" s="3"/>
      <c r="KK856" s="3"/>
      <c r="KL856" s="3"/>
      <c r="KM856" s="3"/>
      <c r="KN856" s="3"/>
      <c r="KO856" s="3"/>
      <c r="KP856" s="3"/>
      <c r="KQ856" s="3"/>
      <c r="KR856" s="3"/>
      <c r="KS856" s="3"/>
      <c r="KT856" s="3"/>
      <c r="KU856" s="3"/>
      <c r="KV856" s="3"/>
      <c r="KW856" s="3"/>
      <c r="KX856" s="3"/>
      <c r="KY856" s="3"/>
      <c r="KZ856" s="3"/>
      <c r="LA856" s="3"/>
      <c r="LB856" s="3"/>
      <c r="LC856" s="3"/>
      <c r="LD856" s="3"/>
      <c r="LE856" s="3"/>
      <c r="LF856" s="3"/>
      <c r="LG856" s="3"/>
      <c r="LH856" s="3"/>
      <c r="LI856" s="3"/>
      <c r="LJ856" s="3"/>
      <c r="LK856" s="3"/>
      <c r="LL856" s="3"/>
      <c r="LM856" s="3"/>
      <c r="LN856" s="3"/>
      <c r="LO856" s="3"/>
      <c r="LP856" s="3"/>
      <c r="LQ856" s="3"/>
      <c r="LR856" s="3"/>
      <c r="LS856" s="3"/>
      <c r="LT856" s="3"/>
      <c r="LU856" s="3"/>
      <c r="LV856" s="3"/>
      <c r="LW856" s="3"/>
      <c r="LX856" s="3"/>
      <c r="LY856" s="3"/>
      <c r="LZ856" s="3"/>
      <c r="MA856" s="3"/>
      <c r="MB856" s="3"/>
      <c r="MC856" s="3"/>
      <c r="MD856" s="3"/>
      <c r="ME856" s="3"/>
      <c r="MF856" s="3"/>
      <c r="MG856" s="3"/>
      <c r="MH856" s="3"/>
      <c r="MI856" s="3"/>
    </row>
    <row r="857" spans="1:347"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c r="HX857" s="3"/>
      <c r="HY857" s="3"/>
      <c r="HZ857" s="3"/>
      <c r="IA857" s="3"/>
      <c r="IB857" s="3"/>
      <c r="IC857" s="3"/>
      <c r="ID857" s="3"/>
      <c r="IE857" s="3"/>
      <c r="IF857" s="3"/>
      <c r="IG857" s="3"/>
      <c r="IH857" s="3"/>
      <c r="II857" s="3"/>
      <c r="IJ857" s="3"/>
      <c r="IK857" s="3"/>
      <c r="IL857" s="3"/>
      <c r="IM857" s="3"/>
      <c r="IN857" s="3"/>
      <c r="IO857" s="3"/>
      <c r="IP857" s="3"/>
      <c r="IQ857" s="3"/>
      <c r="IR857" s="3"/>
      <c r="IS857" s="3"/>
      <c r="IT857" s="3"/>
      <c r="IU857" s="3"/>
      <c r="IV857" s="3"/>
      <c r="IW857" s="3"/>
      <c r="IX857" s="3"/>
      <c r="IY857" s="3"/>
      <c r="IZ857" s="3"/>
      <c r="JA857" s="3"/>
      <c r="JB857" s="3"/>
      <c r="JC857" s="3"/>
      <c r="JD857" s="3"/>
      <c r="JE857" s="3"/>
      <c r="JF857" s="3"/>
      <c r="JG857" s="3"/>
      <c r="JH857" s="3"/>
      <c r="JI857" s="3"/>
      <c r="JJ857" s="3"/>
      <c r="JK857" s="3"/>
      <c r="JL857" s="3"/>
      <c r="JM857" s="3"/>
      <c r="JN857" s="3"/>
      <c r="JO857" s="3"/>
      <c r="JP857" s="3"/>
      <c r="JQ857" s="3"/>
      <c r="JR857" s="3"/>
      <c r="JS857" s="3"/>
      <c r="JT857" s="3"/>
      <c r="JU857" s="3"/>
      <c r="JV857" s="3"/>
      <c r="JW857" s="3"/>
      <c r="JX857" s="3"/>
      <c r="JY857" s="3"/>
      <c r="JZ857" s="3"/>
      <c r="KA857" s="3"/>
      <c r="KB857" s="3"/>
      <c r="KC857" s="3"/>
      <c r="KD857" s="3"/>
      <c r="KE857" s="3"/>
      <c r="KF857" s="3"/>
      <c r="KG857" s="3"/>
      <c r="KH857" s="3"/>
      <c r="KI857" s="3"/>
      <c r="KJ857" s="3"/>
      <c r="KK857" s="3"/>
      <c r="KL857" s="3"/>
      <c r="KM857" s="3"/>
      <c r="KN857" s="3"/>
      <c r="KO857" s="3"/>
      <c r="KP857" s="3"/>
      <c r="KQ857" s="3"/>
      <c r="KR857" s="3"/>
      <c r="KS857" s="3"/>
      <c r="KT857" s="3"/>
      <c r="KU857" s="3"/>
      <c r="KV857" s="3"/>
      <c r="KW857" s="3"/>
      <c r="KX857" s="3"/>
      <c r="KY857" s="3"/>
      <c r="KZ857" s="3"/>
      <c r="LA857" s="3"/>
      <c r="LB857" s="3"/>
      <c r="LC857" s="3"/>
      <c r="LD857" s="3"/>
      <c r="LE857" s="3"/>
      <c r="LF857" s="3"/>
      <c r="LG857" s="3"/>
      <c r="LH857" s="3"/>
      <c r="LI857" s="3"/>
      <c r="LJ857" s="3"/>
      <c r="LK857" s="3"/>
      <c r="LL857" s="3"/>
      <c r="LM857" s="3"/>
      <c r="LN857" s="3"/>
      <c r="LO857" s="3"/>
      <c r="LP857" s="3"/>
      <c r="LQ857" s="3"/>
      <c r="LR857" s="3"/>
      <c r="LS857" s="3"/>
      <c r="LT857" s="3"/>
      <c r="LU857" s="3"/>
      <c r="LV857" s="3"/>
      <c r="LW857" s="3"/>
      <c r="LX857" s="3"/>
      <c r="LY857" s="3"/>
      <c r="LZ857" s="3"/>
      <c r="MA857" s="3"/>
      <c r="MB857" s="3"/>
      <c r="MC857" s="3"/>
      <c r="MD857" s="3"/>
      <c r="ME857" s="3"/>
      <c r="MF857" s="3"/>
      <c r="MG857" s="3"/>
      <c r="MH857" s="3"/>
      <c r="MI857" s="3"/>
    </row>
    <row r="858" spans="1:347"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c r="HX858" s="3"/>
      <c r="HY858" s="3"/>
      <c r="HZ858" s="3"/>
      <c r="IA858" s="3"/>
      <c r="IB858" s="3"/>
      <c r="IC858" s="3"/>
      <c r="ID858" s="3"/>
      <c r="IE858" s="3"/>
      <c r="IF858" s="3"/>
      <c r="IG858" s="3"/>
      <c r="IH858" s="3"/>
      <c r="II858" s="3"/>
      <c r="IJ858" s="3"/>
      <c r="IK858" s="3"/>
      <c r="IL858" s="3"/>
      <c r="IM858" s="3"/>
      <c r="IN858" s="3"/>
      <c r="IO858" s="3"/>
      <c r="IP858" s="3"/>
      <c r="IQ858" s="3"/>
      <c r="IR858" s="3"/>
      <c r="IS858" s="3"/>
      <c r="IT858" s="3"/>
      <c r="IU858" s="3"/>
      <c r="IV858" s="3"/>
      <c r="IW858" s="3"/>
      <c r="IX858" s="3"/>
      <c r="IY858" s="3"/>
      <c r="IZ858" s="3"/>
      <c r="JA858" s="3"/>
      <c r="JB858" s="3"/>
      <c r="JC858" s="3"/>
      <c r="JD858" s="3"/>
      <c r="JE858" s="3"/>
      <c r="JF858" s="3"/>
      <c r="JG858" s="3"/>
      <c r="JH858" s="3"/>
      <c r="JI858" s="3"/>
      <c r="JJ858" s="3"/>
      <c r="JK858" s="3"/>
      <c r="JL858" s="3"/>
      <c r="JM858" s="3"/>
      <c r="JN858" s="3"/>
      <c r="JO858" s="3"/>
      <c r="JP858" s="3"/>
      <c r="JQ858" s="3"/>
      <c r="JR858" s="3"/>
      <c r="JS858" s="3"/>
      <c r="JT858" s="3"/>
      <c r="JU858" s="3"/>
      <c r="JV858" s="3"/>
      <c r="JW858" s="3"/>
      <c r="JX858" s="3"/>
      <c r="JY858" s="3"/>
      <c r="JZ858" s="3"/>
      <c r="KA858" s="3"/>
      <c r="KB858" s="3"/>
      <c r="KC858" s="3"/>
      <c r="KD858" s="3"/>
      <c r="KE858" s="3"/>
      <c r="KF858" s="3"/>
      <c r="KG858" s="3"/>
      <c r="KH858" s="3"/>
      <c r="KI858" s="3"/>
      <c r="KJ858" s="3"/>
      <c r="KK858" s="3"/>
      <c r="KL858" s="3"/>
      <c r="KM858" s="3"/>
      <c r="KN858" s="3"/>
      <c r="KO858" s="3"/>
      <c r="KP858" s="3"/>
      <c r="KQ858" s="3"/>
      <c r="KR858" s="3"/>
      <c r="KS858" s="3"/>
      <c r="KT858" s="3"/>
      <c r="KU858" s="3"/>
      <c r="KV858" s="3"/>
      <c r="KW858" s="3"/>
      <c r="KX858" s="3"/>
      <c r="KY858" s="3"/>
      <c r="KZ858" s="3"/>
      <c r="LA858" s="3"/>
      <c r="LB858" s="3"/>
      <c r="LC858" s="3"/>
      <c r="LD858" s="3"/>
      <c r="LE858" s="3"/>
      <c r="LF858" s="3"/>
      <c r="LG858" s="3"/>
      <c r="LH858" s="3"/>
      <c r="LI858" s="3"/>
      <c r="LJ858" s="3"/>
      <c r="LK858" s="3"/>
      <c r="LL858" s="3"/>
      <c r="LM858" s="3"/>
      <c r="LN858" s="3"/>
      <c r="LO858" s="3"/>
      <c r="LP858" s="3"/>
      <c r="LQ858" s="3"/>
      <c r="LR858" s="3"/>
      <c r="LS858" s="3"/>
      <c r="LT858" s="3"/>
      <c r="LU858" s="3"/>
      <c r="LV858" s="3"/>
      <c r="LW858" s="3"/>
      <c r="LX858" s="3"/>
      <c r="LY858" s="3"/>
      <c r="LZ858" s="3"/>
      <c r="MA858" s="3"/>
      <c r="MB858" s="3"/>
      <c r="MC858" s="3"/>
      <c r="MD858" s="3"/>
      <c r="ME858" s="3"/>
      <c r="MF858" s="3"/>
      <c r="MG858" s="3"/>
      <c r="MH858" s="3"/>
      <c r="MI858" s="3"/>
    </row>
    <row r="859" spans="1:347"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c r="HX859" s="3"/>
      <c r="HY859" s="3"/>
      <c r="HZ859" s="3"/>
      <c r="IA859" s="3"/>
      <c r="IB859" s="3"/>
      <c r="IC859" s="3"/>
      <c r="ID859" s="3"/>
      <c r="IE859" s="3"/>
      <c r="IF859" s="3"/>
      <c r="IG859" s="3"/>
      <c r="IH859" s="3"/>
      <c r="II859" s="3"/>
      <c r="IJ859" s="3"/>
      <c r="IK859" s="3"/>
      <c r="IL859" s="3"/>
      <c r="IM859" s="3"/>
      <c r="IN859" s="3"/>
      <c r="IO859" s="3"/>
      <c r="IP859" s="3"/>
      <c r="IQ859" s="3"/>
      <c r="IR859" s="3"/>
      <c r="IS859" s="3"/>
      <c r="IT859" s="3"/>
      <c r="IU859" s="3"/>
      <c r="IV859" s="3"/>
      <c r="IW859" s="3"/>
      <c r="IX859" s="3"/>
      <c r="IY859" s="3"/>
      <c r="IZ859" s="3"/>
      <c r="JA859" s="3"/>
      <c r="JB859" s="3"/>
      <c r="JC859" s="3"/>
      <c r="JD859" s="3"/>
      <c r="JE859" s="3"/>
      <c r="JF859" s="3"/>
      <c r="JG859" s="3"/>
      <c r="JH859" s="3"/>
      <c r="JI859" s="3"/>
      <c r="JJ859" s="3"/>
      <c r="JK859" s="3"/>
      <c r="JL859" s="3"/>
      <c r="JM859" s="3"/>
      <c r="JN859" s="3"/>
      <c r="JO859" s="3"/>
      <c r="JP859" s="3"/>
      <c r="JQ859" s="3"/>
      <c r="JR859" s="3"/>
      <c r="JS859" s="3"/>
      <c r="JT859" s="3"/>
      <c r="JU859" s="3"/>
      <c r="JV859" s="3"/>
      <c r="JW859" s="3"/>
      <c r="JX859" s="3"/>
      <c r="JY859" s="3"/>
      <c r="JZ859" s="3"/>
      <c r="KA859" s="3"/>
      <c r="KB859" s="3"/>
      <c r="KC859" s="3"/>
      <c r="KD859" s="3"/>
      <c r="KE859" s="3"/>
      <c r="KF859" s="3"/>
      <c r="KG859" s="3"/>
      <c r="KH859" s="3"/>
      <c r="KI859" s="3"/>
      <c r="KJ859" s="3"/>
      <c r="KK859" s="3"/>
      <c r="KL859" s="3"/>
      <c r="KM859" s="3"/>
      <c r="KN859" s="3"/>
      <c r="KO859" s="3"/>
      <c r="KP859" s="3"/>
      <c r="KQ859" s="3"/>
      <c r="KR859" s="3"/>
      <c r="KS859" s="3"/>
      <c r="KT859" s="3"/>
      <c r="KU859" s="3"/>
      <c r="KV859" s="3"/>
      <c r="KW859" s="3"/>
      <c r="KX859" s="3"/>
      <c r="KY859" s="3"/>
      <c r="KZ859" s="3"/>
      <c r="LA859" s="3"/>
      <c r="LB859" s="3"/>
      <c r="LC859" s="3"/>
      <c r="LD859" s="3"/>
      <c r="LE859" s="3"/>
      <c r="LF859" s="3"/>
      <c r="LG859" s="3"/>
      <c r="LH859" s="3"/>
      <c r="LI859" s="3"/>
      <c r="LJ859" s="3"/>
      <c r="LK859" s="3"/>
      <c r="LL859" s="3"/>
      <c r="LM859" s="3"/>
      <c r="LN859" s="3"/>
      <c r="LO859" s="3"/>
      <c r="LP859" s="3"/>
      <c r="LQ859" s="3"/>
      <c r="LR859" s="3"/>
      <c r="LS859" s="3"/>
      <c r="LT859" s="3"/>
      <c r="LU859" s="3"/>
      <c r="LV859" s="3"/>
      <c r="LW859" s="3"/>
      <c r="LX859" s="3"/>
      <c r="LY859" s="3"/>
      <c r="LZ859" s="3"/>
      <c r="MA859" s="3"/>
      <c r="MB859" s="3"/>
      <c r="MC859" s="3"/>
      <c r="MD859" s="3"/>
      <c r="ME859" s="3"/>
      <c r="MF859" s="3"/>
      <c r="MG859" s="3"/>
      <c r="MH859" s="3"/>
      <c r="MI859" s="3"/>
    </row>
    <row r="860" spans="1:347"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c r="HX860" s="3"/>
      <c r="HY860" s="3"/>
      <c r="HZ860" s="3"/>
      <c r="IA860" s="3"/>
      <c r="IB860" s="3"/>
      <c r="IC860" s="3"/>
      <c r="ID860" s="3"/>
      <c r="IE860" s="3"/>
      <c r="IF860" s="3"/>
      <c r="IG860" s="3"/>
      <c r="IH860" s="3"/>
      <c r="II860" s="3"/>
      <c r="IJ860" s="3"/>
      <c r="IK860" s="3"/>
      <c r="IL860" s="3"/>
      <c r="IM860" s="3"/>
      <c r="IN860" s="3"/>
      <c r="IO860" s="3"/>
      <c r="IP860" s="3"/>
      <c r="IQ860" s="3"/>
      <c r="IR860" s="3"/>
      <c r="IS860" s="3"/>
      <c r="IT860" s="3"/>
      <c r="IU860" s="3"/>
      <c r="IV860" s="3"/>
      <c r="IW860" s="3"/>
      <c r="IX860" s="3"/>
      <c r="IY860" s="3"/>
      <c r="IZ860" s="3"/>
      <c r="JA860" s="3"/>
      <c r="JB860" s="3"/>
      <c r="JC860" s="3"/>
      <c r="JD860" s="3"/>
      <c r="JE860" s="3"/>
      <c r="JF860" s="3"/>
      <c r="JG860" s="3"/>
      <c r="JH860" s="3"/>
      <c r="JI860" s="3"/>
      <c r="JJ860" s="3"/>
      <c r="JK860" s="3"/>
      <c r="JL860" s="3"/>
      <c r="JM860" s="3"/>
      <c r="JN860" s="3"/>
      <c r="JO860" s="3"/>
      <c r="JP860" s="3"/>
      <c r="JQ860" s="3"/>
      <c r="JR860" s="3"/>
      <c r="JS860" s="3"/>
      <c r="JT860" s="3"/>
      <c r="JU860" s="3"/>
      <c r="JV860" s="3"/>
      <c r="JW860" s="3"/>
      <c r="JX860" s="3"/>
      <c r="JY860" s="3"/>
      <c r="JZ860" s="3"/>
      <c r="KA860" s="3"/>
      <c r="KB860" s="3"/>
      <c r="KC860" s="3"/>
      <c r="KD860" s="3"/>
      <c r="KE860" s="3"/>
      <c r="KF860" s="3"/>
      <c r="KG860" s="3"/>
      <c r="KH860" s="3"/>
      <c r="KI860" s="3"/>
      <c r="KJ860" s="3"/>
      <c r="KK860" s="3"/>
      <c r="KL860" s="3"/>
      <c r="KM860" s="3"/>
      <c r="KN860" s="3"/>
      <c r="KO860" s="3"/>
      <c r="KP860" s="3"/>
      <c r="KQ860" s="3"/>
      <c r="KR860" s="3"/>
      <c r="KS860" s="3"/>
      <c r="KT860" s="3"/>
      <c r="KU860" s="3"/>
      <c r="KV860" s="3"/>
      <c r="KW860" s="3"/>
      <c r="KX860" s="3"/>
      <c r="KY860" s="3"/>
      <c r="KZ860" s="3"/>
      <c r="LA860" s="3"/>
      <c r="LB860" s="3"/>
      <c r="LC860" s="3"/>
      <c r="LD860" s="3"/>
      <c r="LE860" s="3"/>
      <c r="LF860" s="3"/>
      <c r="LG860" s="3"/>
      <c r="LH860" s="3"/>
      <c r="LI860" s="3"/>
      <c r="LJ860" s="3"/>
      <c r="LK860" s="3"/>
      <c r="LL860" s="3"/>
      <c r="LM860" s="3"/>
      <c r="LN860" s="3"/>
      <c r="LO860" s="3"/>
      <c r="LP860" s="3"/>
      <c r="LQ860" s="3"/>
      <c r="LR860" s="3"/>
      <c r="LS860" s="3"/>
      <c r="LT860" s="3"/>
      <c r="LU860" s="3"/>
      <c r="LV860" s="3"/>
      <c r="LW860" s="3"/>
      <c r="LX860" s="3"/>
      <c r="LY860" s="3"/>
      <c r="LZ860" s="3"/>
      <c r="MA860" s="3"/>
      <c r="MB860" s="3"/>
      <c r="MC860" s="3"/>
      <c r="MD860" s="3"/>
      <c r="ME860" s="3"/>
      <c r="MF860" s="3"/>
      <c r="MG860" s="3"/>
      <c r="MH860" s="3"/>
      <c r="MI860" s="3"/>
    </row>
    <row r="861" spans="1:347"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c r="HX861" s="3"/>
      <c r="HY861" s="3"/>
      <c r="HZ861" s="3"/>
      <c r="IA861" s="3"/>
      <c r="IB861" s="3"/>
      <c r="IC861" s="3"/>
      <c r="ID861" s="3"/>
      <c r="IE861" s="3"/>
      <c r="IF861" s="3"/>
      <c r="IG861" s="3"/>
      <c r="IH861" s="3"/>
      <c r="II861" s="3"/>
      <c r="IJ861" s="3"/>
      <c r="IK861" s="3"/>
      <c r="IL861" s="3"/>
      <c r="IM861" s="3"/>
      <c r="IN861" s="3"/>
      <c r="IO861" s="3"/>
      <c r="IP861" s="3"/>
      <c r="IQ861" s="3"/>
      <c r="IR861" s="3"/>
      <c r="IS861" s="3"/>
      <c r="IT861" s="3"/>
      <c r="IU861" s="3"/>
      <c r="IV861" s="3"/>
      <c r="IW861" s="3"/>
      <c r="IX861" s="3"/>
      <c r="IY861" s="3"/>
      <c r="IZ861" s="3"/>
      <c r="JA861" s="3"/>
      <c r="JB861" s="3"/>
      <c r="JC861" s="3"/>
      <c r="JD861" s="3"/>
      <c r="JE861" s="3"/>
      <c r="JF861" s="3"/>
      <c r="JG861" s="3"/>
      <c r="JH861" s="3"/>
      <c r="JI861" s="3"/>
      <c r="JJ861" s="3"/>
      <c r="JK861" s="3"/>
      <c r="JL861" s="3"/>
      <c r="JM861" s="3"/>
      <c r="JN861" s="3"/>
      <c r="JO861" s="3"/>
      <c r="JP861" s="3"/>
      <c r="JQ861" s="3"/>
      <c r="JR861" s="3"/>
      <c r="JS861" s="3"/>
      <c r="JT861" s="3"/>
      <c r="JU861" s="3"/>
      <c r="JV861" s="3"/>
      <c r="JW861" s="3"/>
      <c r="JX861" s="3"/>
      <c r="JY861" s="3"/>
      <c r="JZ861" s="3"/>
      <c r="KA861" s="3"/>
      <c r="KB861" s="3"/>
      <c r="KC861" s="3"/>
      <c r="KD861" s="3"/>
      <c r="KE861" s="3"/>
      <c r="KF861" s="3"/>
      <c r="KG861" s="3"/>
      <c r="KH861" s="3"/>
      <c r="KI861" s="3"/>
      <c r="KJ861" s="3"/>
      <c r="KK861" s="3"/>
      <c r="KL861" s="3"/>
      <c r="KM861" s="3"/>
      <c r="KN861" s="3"/>
      <c r="KO861" s="3"/>
      <c r="KP861" s="3"/>
      <c r="KQ861" s="3"/>
      <c r="KR861" s="3"/>
      <c r="KS861" s="3"/>
      <c r="KT861" s="3"/>
      <c r="KU861" s="3"/>
      <c r="KV861" s="3"/>
      <c r="KW861" s="3"/>
      <c r="KX861" s="3"/>
      <c r="KY861" s="3"/>
      <c r="KZ861" s="3"/>
      <c r="LA861" s="3"/>
      <c r="LB861" s="3"/>
      <c r="LC861" s="3"/>
      <c r="LD861" s="3"/>
      <c r="LE861" s="3"/>
      <c r="LF861" s="3"/>
      <c r="LG861" s="3"/>
      <c r="LH861" s="3"/>
      <c r="LI861" s="3"/>
      <c r="LJ861" s="3"/>
      <c r="LK861" s="3"/>
      <c r="LL861" s="3"/>
      <c r="LM861" s="3"/>
      <c r="LN861" s="3"/>
      <c r="LO861" s="3"/>
      <c r="LP861" s="3"/>
      <c r="LQ861" s="3"/>
      <c r="LR861" s="3"/>
      <c r="LS861" s="3"/>
      <c r="LT861" s="3"/>
      <c r="LU861" s="3"/>
      <c r="LV861" s="3"/>
      <c r="LW861" s="3"/>
      <c r="LX861" s="3"/>
      <c r="LY861" s="3"/>
      <c r="LZ861" s="3"/>
      <c r="MA861" s="3"/>
      <c r="MB861" s="3"/>
      <c r="MC861" s="3"/>
      <c r="MD861" s="3"/>
      <c r="ME861" s="3"/>
      <c r="MF861" s="3"/>
      <c r="MG861" s="3"/>
      <c r="MH861" s="3"/>
      <c r="MI861" s="3"/>
    </row>
    <row r="862" spans="1:347"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c r="HX862" s="3"/>
      <c r="HY862" s="3"/>
      <c r="HZ862" s="3"/>
      <c r="IA862" s="3"/>
      <c r="IB862" s="3"/>
      <c r="IC862" s="3"/>
      <c r="ID862" s="3"/>
      <c r="IE862" s="3"/>
      <c r="IF862" s="3"/>
      <c r="IG862" s="3"/>
      <c r="IH862" s="3"/>
      <c r="II862" s="3"/>
      <c r="IJ862" s="3"/>
      <c r="IK862" s="3"/>
      <c r="IL862" s="3"/>
      <c r="IM862" s="3"/>
      <c r="IN862" s="3"/>
      <c r="IO862" s="3"/>
      <c r="IP862" s="3"/>
      <c r="IQ862" s="3"/>
      <c r="IR862" s="3"/>
      <c r="IS862" s="3"/>
      <c r="IT862" s="3"/>
      <c r="IU862" s="3"/>
      <c r="IV862" s="3"/>
      <c r="IW862" s="3"/>
      <c r="IX862" s="3"/>
      <c r="IY862" s="3"/>
      <c r="IZ862" s="3"/>
      <c r="JA862" s="3"/>
      <c r="JB862" s="3"/>
      <c r="JC862" s="3"/>
      <c r="JD862" s="3"/>
      <c r="JE862" s="3"/>
      <c r="JF862" s="3"/>
      <c r="JG862" s="3"/>
      <c r="JH862" s="3"/>
      <c r="JI862" s="3"/>
      <c r="JJ862" s="3"/>
      <c r="JK862" s="3"/>
      <c r="JL862" s="3"/>
      <c r="JM862" s="3"/>
      <c r="JN862" s="3"/>
      <c r="JO862" s="3"/>
      <c r="JP862" s="3"/>
      <c r="JQ862" s="3"/>
      <c r="JR862" s="3"/>
      <c r="JS862" s="3"/>
      <c r="JT862" s="3"/>
      <c r="JU862" s="3"/>
      <c r="JV862" s="3"/>
      <c r="JW862" s="3"/>
      <c r="JX862" s="3"/>
      <c r="JY862" s="3"/>
      <c r="JZ862" s="3"/>
      <c r="KA862" s="3"/>
      <c r="KB862" s="3"/>
      <c r="KC862" s="3"/>
      <c r="KD862" s="3"/>
      <c r="KE862" s="3"/>
      <c r="KF862" s="3"/>
      <c r="KG862" s="3"/>
      <c r="KH862" s="3"/>
      <c r="KI862" s="3"/>
      <c r="KJ862" s="3"/>
      <c r="KK862" s="3"/>
      <c r="KL862" s="3"/>
      <c r="KM862" s="3"/>
      <c r="KN862" s="3"/>
      <c r="KO862" s="3"/>
      <c r="KP862" s="3"/>
      <c r="KQ862" s="3"/>
      <c r="KR862" s="3"/>
      <c r="KS862" s="3"/>
      <c r="KT862" s="3"/>
      <c r="KU862" s="3"/>
      <c r="KV862" s="3"/>
      <c r="KW862" s="3"/>
      <c r="KX862" s="3"/>
      <c r="KY862" s="3"/>
      <c r="KZ862" s="3"/>
      <c r="LA862" s="3"/>
      <c r="LB862" s="3"/>
      <c r="LC862" s="3"/>
      <c r="LD862" s="3"/>
      <c r="LE862" s="3"/>
      <c r="LF862" s="3"/>
      <c r="LG862" s="3"/>
      <c r="LH862" s="3"/>
      <c r="LI862" s="3"/>
      <c r="LJ862" s="3"/>
      <c r="LK862" s="3"/>
      <c r="LL862" s="3"/>
      <c r="LM862" s="3"/>
      <c r="LN862" s="3"/>
      <c r="LO862" s="3"/>
      <c r="LP862" s="3"/>
      <c r="LQ862" s="3"/>
      <c r="LR862" s="3"/>
      <c r="LS862" s="3"/>
      <c r="LT862" s="3"/>
      <c r="LU862" s="3"/>
      <c r="LV862" s="3"/>
      <c r="LW862" s="3"/>
      <c r="LX862" s="3"/>
      <c r="LY862" s="3"/>
      <c r="LZ862" s="3"/>
      <c r="MA862" s="3"/>
      <c r="MB862" s="3"/>
      <c r="MC862" s="3"/>
      <c r="MD862" s="3"/>
      <c r="ME862" s="3"/>
      <c r="MF862" s="3"/>
      <c r="MG862" s="3"/>
      <c r="MH862" s="3"/>
      <c r="MI862" s="3"/>
    </row>
    <row r="863" spans="1:347"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c r="HX863" s="3"/>
      <c r="HY863" s="3"/>
      <c r="HZ863" s="3"/>
      <c r="IA863" s="3"/>
      <c r="IB863" s="3"/>
      <c r="IC863" s="3"/>
      <c r="ID863" s="3"/>
      <c r="IE863" s="3"/>
      <c r="IF863" s="3"/>
      <c r="IG863" s="3"/>
      <c r="IH863" s="3"/>
      <c r="II863" s="3"/>
      <c r="IJ863" s="3"/>
      <c r="IK863" s="3"/>
      <c r="IL863" s="3"/>
      <c r="IM863" s="3"/>
      <c r="IN863" s="3"/>
      <c r="IO863" s="3"/>
      <c r="IP863" s="3"/>
      <c r="IQ863" s="3"/>
      <c r="IR863" s="3"/>
      <c r="IS863" s="3"/>
      <c r="IT863" s="3"/>
      <c r="IU863" s="3"/>
      <c r="IV863" s="3"/>
      <c r="IW863" s="3"/>
      <c r="IX863" s="3"/>
      <c r="IY863" s="3"/>
      <c r="IZ863" s="3"/>
      <c r="JA863" s="3"/>
      <c r="JB863" s="3"/>
      <c r="JC863" s="3"/>
      <c r="JD863" s="3"/>
      <c r="JE863" s="3"/>
      <c r="JF863" s="3"/>
      <c r="JG863" s="3"/>
      <c r="JH863" s="3"/>
      <c r="JI863" s="3"/>
      <c r="JJ863" s="3"/>
      <c r="JK863" s="3"/>
      <c r="JL863" s="3"/>
      <c r="JM863" s="3"/>
      <c r="JN863" s="3"/>
      <c r="JO863" s="3"/>
      <c r="JP863" s="3"/>
      <c r="JQ863" s="3"/>
      <c r="JR863" s="3"/>
      <c r="JS863" s="3"/>
      <c r="JT863" s="3"/>
      <c r="JU863" s="3"/>
      <c r="JV863" s="3"/>
      <c r="JW863" s="3"/>
      <c r="JX863" s="3"/>
      <c r="JY863" s="3"/>
      <c r="JZ863" s="3"/>
      <c r="KA863" s="3"/>
      <c r="KB863" s="3"/>
      <c r="KC863" s="3"/>
      <c r="KD863" s="3"/>
      <c r="KE863" s="3"/>
      <c r="KF863" s="3"/>
      <c r="KG863" s="3"/>
      <c r="KH863" s="3"/>
      <c r="KI863" s="3"/>
      <c r="KJ863" s="3"/>
      <c r="KK863" s="3"/>
      <c r="KL863" s="3"/>
      <c r="KM863" s="3"/>
      <c r="KN863" s="3"/>
      <c r="KO863" s="3"/>
      <c r="KP863" s="3"/>
      <c r="KQ863" s="3"/>
      <c r="KR863" s="3"/>
      <c r="KS863" s="3"/>
      <c r="KT863" s="3"/>
      <c r="KU863" s="3"/>
      <c r="KV863" s="3"/>
      <c r="KW863" s="3"/>
      <c r="KX863" s="3"/>
      <c r="KY863" s="3"/>
      <c r="KZ863" s="3"/>
      <c r="LA863" s="3"/>
      <c r="LB863" s="3"/>
      <c r="LC863" s="3"/>
      <c r="LD863" s="3"/>
      <c r="LE863" s="3"/>
      <c r="LF863" s="3"/>
      <c r="LG863" s="3"/>
      <c r="LH863" s="3"/>
      <c r="LI863" s="3"/>
      <c r="LJ863" s="3"/>
      <c r="LK863" s="3"/>
      <c r="LL863" s="3"/>
      <c r="LM863" s="3"/>
      <c r="LN863" s="3"/>
      <c r="LO863" s="3"/>
      <c r="LP863" s="3"/>
      <c r="LQ863" s="3"/>
      <c r="LR863" s="3"/>
      <c r="LS863" s="3"/>
      <c r="LT863" s="3"/>
      <c r="LU863" s="3"/>
      <c r="LV863" s="3"/>
      <c r="LW863" s="3"/>
      <c r="LX863" s="3"/>
      <c r="LY863" s="3"/>
      <c r="LZ863" s="3"/>
      <c r="MA863" s="3"/>
      <c r="MB863" s="3"/>
      <c r="MC863" s="3"/>
      <c r="MD863" s="3"/>
      <c r="ME863" s="3"/>
      <c r="MF863" s="3"/>
      <c r="MG863" s="3"/>
      <c r="MH863" s="3"/>
      <c r="MI863" s="3"/>
    </row>
    <row r="864" spans="1:347"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c r="HX864" s="3"/>
      <c r="HY864" s="3"/>
      <c r="HZ864" s="3"/>
      <c r="IA864" s="3"/>
      <c r="IB864" s="3"/>
      <c r="IC864" s="3"/>
      <c r="ID864" s="3"/>
      <c r="IE864" s="3"/>
      <c r="IF864" s="3"/>
      <c r="IG864" s="3"/>
      <c r="IH864" s="3"/>
      <c r="II864" s="3"/>
      <c r="IJ864" s="3"/>
      <c r="IK864" s="3"/>
      <c r="IL864" s="3"/>
      <c r="IM864" s="3"/>
      <c r="IN864" s="3"/>
      <c r="IO864" s="3"/>
      <c r="IP864" s="3"/>
      <c r="IQ864" s="3"/>
      <c r="IR864" s="3"/>
      <c r="IS864" s="3"/>
      <c r="IT864" s="3"/>
      <c r="IU864" s="3"/>
      <c r="IV864" s="3"/>
      <c r="IW864" s="3"/>
      <c r="IX864" s="3"/>
      <c r="IY864" s="3"/>
      <c r="IZ864" s="3"/>
      <c r="JA864" s="3"/>
      <c r="JB864" s="3"/>
      <c r="JC864" s="3"/>
      <c r="JD864" s="3"/>
      <c r="JE864" s="3"/>
      <c r="JF864" s="3"/>
      <c r="JG864" s="3"/>
      <c r="JH864" s="3"/>
      <c r="JI864" s="3"/>
      <c r="JJ864" s="3"/>
      <c r="JK864" s="3"/>
      <c r="JL864" s="3"/>
      <c r="JM864" s="3"/>
      <c r="JN864" s="3"/>
      <c r="JO864" s="3"/>
      <c r="JP864" s="3"/>
      <c r="JQ864" s="3"/>
      <c r="JR864" s="3"/>
      <c r="JS864" s="3"/>
      <c r="JT864" s="3"/>
      <c r="JU864" s="3"/>
      <c r="JV864" s="3"/>
      <c r="JW864" s="3"/>
      <c r="JX864" s="3"/>
      <c r="JY864" s="3"/>
      <c r="JZ864" s="3"/>
      <c r="KA864" s="3"/>
      <c r="KB864" s="3"/>
      <c r="KC864" s="3"/>
      <c r="KD864" s="3"/>
      <c r="KE864" s="3"/>
      <c r="KF864" s="3"/>
      <c r="KG864" s="3"/>
      <c r="KH864" s="3"/>
      <c r="KI864" s="3"/>
      <c r="KJ864" s="3"/>
      <c r="KK864" s="3"/>
      <c r="KL864" s="3"/>
      <c r="KM864" s="3"/>
      <c r="KN864" s="3"/>
      <c r="KO864" s="3"/>
      <c r="KP864" s="3"/>
      <c r="KQ864" s="3"/>
      <c r="KR864" s="3"/>
      <c r="KS864" s="3"/>
      <c r="KT864" s="3"/>
      <c r="KU864" s="3"/>
      <c r="KV864" s="3"/>
      <c r="KW864" s="3"/>
      <c r="KX864" s="3"/>
      <c r="KY864" s="3"/>
      <c r="KZ864" s="3"/>
      <c r="LA864" s="3"/>
      <c r="LB864" s="3"/>
      <c r="LC864" s="3"/>
      <c r="LD864" s="3"/>
      <c r="LE864" s="3"/>
      <c r="LF864" s="3"/>
      <c r="LG864" s="3"/>
      <c r="LH864" s="3"/>
      <c r="LI864" s="3"/>
      <c r="LJ864" s="3"/>
      <c r="LK864" s="3"/>
      <c r="LL864" s="3"/>
      <c r="LM864" s="3"/>
      <c r="LN864" s="3"/>
      <c r="LO864" s="3"/>
      <c r="LP864" s="3"/>
      <c r="LQ864" s="3"/>
      <c r="LR864" s="3"/>
      <c r="LS864" s="3"/>
      <c r="LT864" s="3"/>
      <c r="LU864" s="3"/>
      <c r="LV864" s="3"/>
      <c r="LW864" s="3"/>
      <c r="LX864" s="3"/>
      <c r="LY864" s="3"/>
      <c r="LZ864" s="3"/>
      <c r="MA864" s="3"/>
      <c r="MB864" s="3"/>
      <c r="MC864" s="3"/>
      <c r="MD864" s="3"/>
      <c r="ME864" s="3"/>
      <c r="MF864" s="3"/>
      <c r="MG864" s="3"/>
      <c r="MH864" s="3"/>
      <c r="MI864" s="3"/>
    </row>
    <row r="865" spans="1:347"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c r="HX865" s="3"/>
      <c r="HY865" s="3"/>
      <c r="HZ865" s="3"/>
      <c r="IA865" s="3"/>
      <c r="IB865" s="3"/>
      <c r="IC865" s="3"/>
      <c r="ID865" s="3"/>
      <c r="IE865" s="3"/>
      <c r="IF865" s="3"/>
      <c r="IG865" s="3"/>
      <c r="IH865" s="3"/>
      <c r="II865" s="3"/>
      <c r="IJ865" s="3"/>
      <c r="IK865" s="3"/>
      <c r="IL865" s="3"/>
      <c r="IM865" s="3"/>
      <c r="IN865" s="3"/>
      <c r="IO865" s="3"/>
      <c r="IP865" s="3"/>
      <c r="IQ865" s="3"/>
      <c r="IR865" s="3"/>
      <c r="IS865" s="3"/>
      <c r="IT865" s="3"/>
      <c r="IU865" s="3"/>
      <c r="IV865" s="3"/>
      <c r="IW865" s="3"/>
      <c r="IX865" s="3"/>
      <c r="IY865" s="3"/>
      <c r="IZ865" s="3"/>
      <c r="JA865" s="3"/>
      <c r="JB865" s="3"/>
      <c r="JC865" s="3"/>
      <c r="JD865" s="3"/>
      <c r="JE865" s="3"/>
      <c r="JF865" s="3"/>
      <c r="JG865" s="3"/>
      <c r="JH865" s="3"/>
      <c r="JI865" s="3"/>
      <c r="JJ865" s="3"/>
      <c r="JK865" s="3"/>
      <c r="JL865" s="3"/>
      <c r="JM865" s="3"/>
      <c r="JN865" s="3"/>
      <c r="JO865" s="3"/>
      <c r="JP865" s="3"/>
      <c r="JQ865" s="3"/>
      <c r="JR865" s="3"/>
      <c r="JS865" s="3"/>
      <c r="JT865" s="3"/>
      <c r="JU865" s="3"/>
      <c r="JV865" s="3"/>
      <c r="JW865" s="3"/>
      <c r="JX865" s="3"/>
      <c r="JY865" s="3"/>
      <c r="JZ865" s="3"/>
      <c r="KA865" s="3"/>
      <c r="KB865" s="3"/>
      <c r="KC865" s="3"/>
      <c r="KD865" s="3"/>
      <c r="KE865" s="3"/>
      <c r="KF865" s="3"/>
      <c r="KG865" s="3"/>
      <c r="KH865" s="3"/>
      <c r="KI865" s="3"/>
      <c r="KJ865" s="3"/>
      <c r="KK865" s="3"/>
      <c r="KL865" s="3"/>
      <c r="KM865" s="3"/>
      <c r="KN865" s="3"/>
      <c r="KO865" s="3"/>
      <c r="KP865" s="3"/>
      <c r="KQ865" s="3"/>
      <c r="KR865" s="3"/>
      <c r="KS865" s="3"/>
      <c r="KT865" s="3"/>
      <c r="KU865" s="3"/>
      <c r="KV865" s="3"/>
      <c r="KW865" s="3"/>
      <c r="KX865" s="3"/>
      <c r="KY865" s="3"/>
      <c r="KZ865" s="3"/>
      <c r="LA865" s="3"/>
      <c r="LB865" s="3"/>
      <c r="LC865" s="3"/>
      <c r="LD865" s="3"/>
      <c r="LE865" s="3"/>
      <c r="LF865" s="3"/>
      <c r="LG865" s="3"/>
      <c r="LH865" s="3"/>
      <c r="LI865" s="3"/>
      <c r="LJ865" s="3"/>
      <c r="LK865" s="3"/>
      <c r="LL865" s="3"/>
      <c r="LM865" s="3"/>
      <c r="LN865" s="3"/>
      <c r="LO865" s="3"/>
      <c r="LP865" s="3"/>
      <c r="LQ865" s="3"/>
      <c r="LR865" s="3"/>
      <c r="LS865" s="3"/>
      <c r="LT865" s="3"/>
      <c r="LU865" s="3"/>
      <c r="LV865" s="3"/>
      <c r="LW865" s="3"/>
      <c r="LX865" s="3"/>
      <c r="LY865" s="3"/>
      <c r="LZ865" s="3"/>
      <c r="MA865" s="3"/>
      <c r="MB865" s="3"/>
      <c r="MC865" s="3"/>
      <c r="MD865" s="3"/>
      <c r="ME865" s="3"/>
      <c r="MF865" s="3"/>
      <c r="MG865" s="3"/>
      <c r="MH865" s="3"/>
      <c r="MI865" s="3"/>
    </row>
    <row r="866" spans="1:347"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c r="HX866" s="3"/>
      <c r="HY866" s="3"/>
      <c r="HZ866" s="3"/>
      <c r="IA866" s="3"/>
      <c r="IB866" s="3"/>
      <c r="IC866" s="3"/>
      <c r="ID866" s="3"/>
      <c r="IE866" s="3"/>
      <c r="IF866" s="3"/>
      <c r="IG866" s="3"/>
      <c r="IH866" s="3"/>
      <c r="II866" s="3"/>
      <c r="IJ866" s="3"/>
      <c r="IK866" s="3"/>
      <c r="IL866" s="3"/>
      <c r="IM866" s="3"/>
      <c r="IN866" s="3"/>
      <c r="IO866" s="3"/>
      <c r="IP866" s="3"/>
      <c r="IQ866" s="3"/>
      <c r="IR866" s="3"/>
      <c r="IS866" s="3"/>
      <c r="IT866" s="3"/>
      <c r="IU866" s="3"/>
      <c r="IV866" s="3"/>
      <c r="IW866" s="3"/>
      <c r="IX866" s="3"/>
      <c r="IY866" s="3"/>
      <c r="IZ866" s="3"/>
      <c r="JA866" s="3"/>
      <c r="JB866" s="3"/>
      <c r="JC866" s="3"/>
      <c r="JD866" s="3"/>
      <c r="JE866" s="3"/>
      <c r="JF866" s="3"/>
      <c r="JG866" s="3"/>
      <c r="JH866" s="3"/>
      <c r="JI866" s="3"/>
      <c r="JJ866" s="3"/>
      <c r="JK866" s="3"/>
      <c r="JL866" s="3"/>
      <c r="JM866" s="3"/>
      <c r="JN866" s="3"/>
      <c r="JO866" s="3"/>
      <c r="JP866" s="3"/>
      <c r="JQ866" s="3"/>
      <c r="JR866" s="3"/>
      <c r="JS866" s="3"/>
      <c r="JT866" s="3"/>
      <c r="JU866" s="3"/>
      <c r="JV866" s="3"/>
      <c r="JW866" s="3"/>
      <c r="JX866" s="3"/>
      <c r="JY866" s="3"/>
      <c r="JZ866" s="3"/>
      <c r="KA866" s="3"/>
      <c r="KB866" s="3"/>
      <c r="KC866" s="3"/>
      <c r="KD866" s="3"/>
      <c r="KE866" s="3"/>
      <c r="KF866" s="3"/>
      <c r="KG866" s="3"/>
      <c r="KH866" s="3"/>
      <c r="KI866" s="3"/>
      <c r="KJ866" s="3"/>
      <c r="KK866" s="3"/>
      <c r="KL866" s="3"/>
      <c r="KM866" s="3"/>
      <c r="KN866" s="3"/>
      <c r="KO866" s="3"/>
      <c r="KP866" s="3"/>
      <c r="KQ866" s="3"/>
      <c r="KR866" s="3"/>
      <c r="KS866" s="3"/>
      <c r="KT866" s="3"/>
      <c r="KU866" s="3"/>
      <c r="KV866" s="3"/>
      <c r="KW866" s="3"/>
      <c r="KX866" s="3"/>
      <c r="KY866" s="3"/>
      <c r="KZ866" s="3"/>
      <c r="LA866" s="3"/>
      <c r="LB866" s="3"/>
      <c r="LC866" s="3"/>
      <c r="LD866" s="3"/>
      <c r="LE866" s="3"/>
      <c r="LF866" s="3"/>
      <c r="LG866" s="3"/>
      <c r="LH866" s="3"/>
      <c r="LI866" s="3"/>
      <c r="LJ866" s="3"/>
      <c r="LK866" s="3"/>
      <c r="LL866" s="3"/>
      <c r="LM866" s="3"/>
      <c r="LN866" s="3"/>
      <c r="LO866" s="3"/>
      <c r="LP866" s="3"/>
      <c r="LQ866" s="3"/>
      <c r="LR866" s="3"/>
      <c r="LS866" s="3"/>
      <c r="LT866" s="3"/>
      <c r="LU866" s="3"/>
      <c r="LV866" s="3"/>
      <c r="LW866" s="3"/>
      <c r="LX866" s="3"/>
      <c r="LY866" s="3"/>
      <c r="LZ866" s="3"/>
      <c r="MA866" s="3"/>
      <c r="MB866" s="3"/>
      <c r="MC866" s="3"/>
      <c r="MD866" s="3"/>
      <c r="ME866" s="3"/>
      <c r="MF866" s="3"/>
      <c r="MG866" s="3"/>
      <c r="MH866" s="3"/>
      <c r="MI866" s="3"/>
    </row>
    <row r="867" spans="1:347"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c r="HX867" s="3"/>
      <c r="HY867" s="3"/>
      <c r="HZ867" s="3"/>
      <c r="IA867" s="3"/>
      <c r="IB867" s="3"/>
      <c r="IC867" s="3"/>
      <c r="ID867" s="3"/>
      <c r="IE867" s="3"/>
      <c r="IF867" s="3"/>
      <c r="IG867" s="3"/>
      <c r="IH867" s="3"/>
      <c r="II867" s="3"/>
      <c r="IJ867" s="3"/>
      <c r="IK867" s="3"/>
      <c r="IL867" s="3"/>
      <c r="IM867" s="3"/>
      <c r="IN867" s="3"/>
      <c r="IO867" s="3"/>
      <c r="IP867" s="3"/>
      <c r="IQ867" s="3"/>
      <c r="IR867" s="3"/>
      <c r="IS867" s="3"/>
      <c r="IT867" s="3"/>
      <c r="IU867" s="3"/>
      <c r="IV867" s="3"/>
      <c r="IW867" s="3"/>
      <c r="IX867" s="3"/>
      <c r="IY867" s="3"/>
      <c r="IZ867" s="3"/>
      <c r="JA867" s="3"/>
      <c r="JB867" s="3"/>
      <c r="JC867" s="3"/>
      <c r="JD867" s="3"/>
      <c r="JE867" s="3"/>
      <c r="JF867" s="3"/>
      <c r="JG867" s="3"/>
      <c r="JH867" s="3"/>
      <c r="JI867" s="3"/>
      <c r="JJ867" s="3"/>
      <c r="JK867" s="3"/>
      <c r="JL867" s="3"/>
      <c r="JM867" s="3"/>
      <c r="JN867" s="3"/>
      <c r="JO867" s="3"/>
      <c r="JP867" s="3"/>
      <c r="JQ867" s="3"/>
      <c r="JR867" s="3"/>
      <c r="JS867" s="3"/>
      <c r="JT867" s="3"/>
      <c r="JU867" s="3"/>
      <c r="JV867" s="3"/>
      <c r="JW867" s="3"/>
      <c r="JX867" s="3"/>
      <c r="JY867" s="3"/>
      <c r="JZ867" s="3"/>
      <c r="KA867" s="3"/>
      <c r="KB867" s="3"/>
      <c r="KC867" s="3"/>
      <c r="KD867" s="3"/>
      <c r="KE867" s="3"/>
      <c r="KF867" s="3"/>
      <c r="KG867" s="3"/>
      <c r="KH867" s="3"/>
      <c r="KI867" s="3"/>
      <c r="KJ867" s="3"/>
      <c r="KK867" s="3"/>
      <c r="KL867" s="3"/>
      <c r="KM867" s="3"/>
      <c r="KN867" s="3"/>
      <c r="KO867" s="3"/>
      <c r="KP867" s="3"/>
      <c r="KQ867" s="3"/>
      <c r="KR867" s="3"/>
      <c r="KS867" s="3"/>
      <c r="KT867" s="3"/>
      <c r="KU867" s="3"/>
      <c r="KV867" s="3"/>
      <c r="KW867" s="3"/>
      <c r="KX867" s="3"/>
      <c r="KY867" s="3"/>
      <c r="KZ867" s="3"/>
      <c r="LA867" s="3"/>
      <c r="LB867" s="3"/>
      <c r="LC867" s="3"/>
      <c r="LD867" s="3"/>
      <c r="LE867" s="3"/>
      <c r="LF867" s="3"/>
      <c r="LG867" s="3"/>
      <c r="LH867" s="3"/>
      <c r="LI867" s="3"/>
      <c r="LJ867" s="3"/>
      <c r="LK867" s="3"/>
      <c r="LL867" s="3"/>
      <c r="LM867" s="3"/>
      <c r="LN867" s="3"/>
      <c r="LO867" s="3"/>
      <c r="LP867" s="3"/>
      <c r="LQ867" s="3"/>
      <c r="LR867" s="3"/>
      <c r="LS867" s="3"/>
      <c r="LT867" s="3"/>
      <c r="LU867" s="3"/>
      <c r="LV867" s="3"/>
      <c r="LW867" s="3"/>
      <c r="LX867" s="3"/>
      <c r="LY867" s="3"/>
      <c r="LZ867" s="3"/>
      <c r="MA867" s="3"/>
      <c r="MB867" s="3"/>
      <c r="MC867" s="3"/>
      <c r="MD867" s="3"/>
      <c r="ME867" s="3"/>
      <c r="MF867" s="3"/>
      <c r="MG867" s="3"/>
      <c r="MH867" s="3"/>
      <c r="MI867" s="3"/>
    </row>
    <row r="868" spans="1:347"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c r="HX868" s="3"/>
      <c r="HY868" s="3"/>
      <c r="HZ868" s="3"/>
      <c r="IA868" s="3"/>
      <c r="IB868" s="3"/>
      <c r="IC868" s="3"/>
      <c r="ID868" s="3"/>
      <c r="IE868" s="3"/>
      <c r="IF868" s="3"/>
      <c r="IG868" s="3"/>
      <c r="IH868" s="3"/>
      <c r="II868" s="3"/>
      <c r="IJ868" s="3"/>
      <c r="IK868" s="3"/>
      <c r="IL868" s="3"/>
      <c r="IM868" s="3"/>
      <c r="IN868" s="3"/>
      <c r="IO868" s="3"/>
      <c r="IP868" s="3"/>
      <c r="IQ868" s="3"/>
      <c r="IR868" s="3"/>
      <c r="IS868" s="3"/>
      <c r="IT868" s="3"/>
      <c r="IU868" s="3"/>
      <c r="IV868" s="3"/>
      <c r="IW868" s="3"/>
      <c r="IX868" s="3"/>
      <c r="IY868" s="3"/>
      <c r="IZ868" s="3"/>
      <c r="JA868" s="3"/>
      <c r="JB868" s="3"/>
      <c r="JC868" s="3"/>
      <c r="JD868" s="3"/>
      <c r="JE868" s="3"/>
      <c r="JF868" s="3"/>
      <c r="JG868" s="3"/>
      <c r="JH868" s="3"/>
      <c r="JI868" s="3"/>
      <c r="JJ868" s="3"/>
      <c r="JK868" s="3"/>
      <c r="JL868" s="3"/>
      <c r="JM868" s="3"/>
      <c r="JN868" s="3"/>
      <c r="JO868" s="3"/>
      <c r="JP868" s="3"/>
      <c r="JQ868" s="3"/>
      <c r="JR868" s="3"/>
      <c r="JS868" s="3"/>
      <c r="JT868" s="3"/>
      <c r="JU868" s="3"/>
      <c r="JV868" s="3"/>
      <c r="JW868" s="3"/>
      <c r="JX868" s="3"/>
      <c r="JY868" s="3"/>
      <c r="JZ868" s="3"/>
      <c r="KA868" s="3"/>
      <c r="KB868" s="3"/>
      <c r="KC868" s="3"/>
      <c r="KD868" s="3"/>
      <c r="KE868" s="3"/>
      <c r="KF868" s="3"/>
      <c r="KG868" s="3"/>
      <c r="KH868" s="3"/>
      <c r="KI868" s="3"/>
      <c r="KJ868" s="3"/>
      <c r="KK868" s="3"/>
      <c r="KL868" s="3"/>
      <c r="KM868" s="3"/>
      <c r="KN868" s="3"/>
      <c r="KO868" s="3"/>
      <c r="KP868" s="3"/>
      <c r="KQ868" s="3"/>
      <c r="KR868" s="3"/>
      <c r="KS868" s="3"/>
      <c r="KT868" s="3"/>
      <c r="KU868" s="3"/>
      <c r="KV868" s="3"/>
      <c r="KW868" s="3"/>
      <c r="KX868" s="3"/>
      <c r="KY868" s="3"/>
      <c r="KZ868" s="3"/>
      <c r="LA868" s="3"/>
      <c r="LB868" s="3"/>
      <c r="LC868" s="3"/>
      <c r="LD868" s="3"/>
      <c r="LE868" s="3"/>
      <c r="LF868" s="3"/>
      <c r="LG868" s="3"/>
      <c r="LH868" s="3"/>
      <c r="LI868" s="3"/>
      <c r="LJ868" s="3"/>
      <c r="LK868" s="3"/>
      <c r="LL868" s="3"/>
      <c r="LM868" s="3"/>
      <c r="LN868" s="3"/>
      <c r="LO868" s="3"/>
      <c r="LP868" s="3"/>
      <c r="LQ868" s="3"/>
      <c r="LR868" s="3"/>
      <c r="LS868" s="3"/>
      <c r="LT868" s="3"/>
      <c r="LU868" s="3"/>
      <c r="LV868" s="3"/>
      <c r="LW868" s="3"/>
      <c r="LX868" s="3"/>
      <c r="LY868" s="3"/>
      <c r="LZ868" s="3"/>
      <c r="MA868" s="3"/>
      <c r="MB868" s="3"/>
      <c r="MC868" s="3"/>
      <c r="MD868" s="3"/>
      <c r="ME868" s="3"/>
      <c r="MF868" s="3"/>
      <c r="MG868" s="3"/>
      <c r="MH868" s="3"/>
      <c r="MI868" s="3"/>
    </row>
    <row r="869" spans="1:347"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c r="HX869" s="3"/>
      <c r="HY869" s="3"/>
      <c r="HZ869" s="3"/>
      <c r="IA869" s="3"/>
      <c r="IB869" s="3"/>
      <c r="IC869" s="3"/>
      <c r="ID869" s="3"/>
      <c r="IE869" s="3"/>
      <c r="IF869" s="3"/>
      <c r="IG869" s="3"/>
      <c r="IH869" s="3"/>
      <c r="II869" s="3"/>
      <c r="IJ869" s="3"/>
      <c r="IK869" s="3"/>
      <c r="IL869" s="3"/>
      <c r="IM869" s="3"/>
      <c r="IN869" s="3"/>
      <c r="IO869" s="3"/>
      <c r="IP869" s="3"/>
      <c r="IQ869" s="3"/>
      <c r="IR869" s="3"/>
      <c r="IS869" s="3"/>
      <c r="IT869" s="3"/>
      <c r="IU869" s="3"/>
      <c r="IV869" s="3"/>
      <c r="IW869" s="3"/>
      <c r="IX869" s="3"/>
      <c r="IY869" s="3"/>
      <c r="IZ869" s="3"/>
      <c r="JA869" s="3"/>
      <c r="JB869" s="3"/>
      <c r="JC869" s="3"/>
      <c r="JD869" s="3"/>
      <c r="JE869" s="3"/>
      <c r="JF869" s="3"/>
      <c r="JG869" s="3"/>
      <c r="JH869" s="3"/>
      <c r="JI869" s="3"/>
      <c r="JJ869" s="3"/>
      <c r="JK869" s="3"/>
      <c r="JL869" s="3"/>
      <c r="JM869" s="3"/>
      <c r="JN869" s="3"/>
      <c r="JO869" s="3"/>
      <c r="JP869" s="3"/>
      <c r="JQ869" s="3"/>
      <c r="JR869" s="3"/>
      <c r="JS869" s="3"/>
      <c r="JT869" s="3"/>
      <c r="JU869" s="3"/>
      <c r="JV869" s="3"/>
      <c r="JW869" s="3"/>
      <c r="JX869" s="3"/>
      <c r="JY869" s="3"/>
      <c r="JZ869" s="3"/>
      <c r="KA869" s="3"/>
      <c r="KB869" s="3"/>
      <c r="KC869" s="3"/>
      <c r="KD869" s="3"/>
      <c r="KE869" s="3"/>
      <c r="KF869" s="3"/>
      <c r="KG869" s="3"/>
      <c r="KH869" s="3"/>
      <c r="KI869" s="3"/>
      <c r="KJ869" s="3"/>
      <c r="KK869" s="3"/>
      <c r="KL869" s="3"/>
      <c r="KM869" s="3"/>
      <c r="KN869" s="3"/>
      <c r="KO869" s="3"/>
      <c r="KP869" s="3"/>
      <c r="KQ869" s="3"/>
      <c r="KR869" s="3"/>
      <c r="KS869" s="3"/>
      <c r="KT869" s="3"/>
      <c r="KU869" s="3"/>
      <c r="KV869" s="3"/>
      <c r="KW869" s="3"/>
      <c r="KX869" s="3"/>
      <c r="KY869" s="3"/>
      <c r="KZ869" s="3"/>
      <c r="LA869" s="3"/>
      <c r="LB869" s="3"/>
      <c r="LC869" s="3"/>
      <c r="LD869" s="3"/>
      <c r="LE869" s="3"/>
      <c r="LF869" s="3"/>
      <c r="LG869" s="3"/>
      <c r="LH869" s="3"/>
      <c r="LI869" s="3"/>
      <c r="LJ869" s="3"/>
      <c r="LK869" s="3"/>
      <c r="LL869" s="3"/>
      <c r="LM869" s="3"/>
      <c r="LN869" s="3"/>
      <c r="LO869" s="3"/>
      <c r="LP869" s="3"/>
      <c r="LQ869" s="3"/>
      <c r="LR869" s="3"/>
      <c r="LS869" s="3"/>
      <c r="LT869" s="3"/>
      <c r="LU869" s="3"/>
      <c r="LV869" s="3"/>
      <c r="LW869" s="3"/>
      <c r="LX869" s="3"/>
      <c r="LY869" s="3"/>
      <c r="LZ869" s="3"/>
      <c r="MA869" s="3"/>
      <c r="MB869" s="3"/>
      <c r="MC869" s="3"/>
      <c r="MD869" s="3"/>
      <c r="ME869" s="3"/>
      <c r="MF869" s="3"/>
      <c r="MG869" s="3"/>
      <c r="MH869" s="3"/>
      <c r="MI869" s="3"/>
    </row>
    <row r="870" spans="1:347"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c r="HX870" s="3"/>
      <c r="HY870" s="3"/>
      <c r="HZ870" s="3"/>
      <c r="IA870" s="3"/>
      <c r="IB870" s="3"/>
      <c r="IC870" s="3"/>
      <c r="ID870" s="3"/>
      <c r="IE870" s="3"/>
      <c r="IF870" s="3"/>
      <c r="IG870" s="3"/>
      <c r="IH870" s="3"/>
      <c r="II870" s="3"/>
      <c r="IJ870" s="3"/>
      <c r="IK870" s="3"/>
      <c r="IL870" s="3"/>
      <c r="IM870" s="3"/>
      <c r="IN870" s="3"/>
      <c r="IO870" s="3"/>
      <c r="IP870" s="3"/>
      <c r="IQ870" s="3"/>
      <c r="IR870" s="3"/>
      <c r="IS870" s="3"/>
      <c r="IT870" s="3"/>
      <c r="IU870" s="3"/>
      <c r="IV870" s="3"/>
      <c r="IW870" s="3"/>
      <c r="IX870" s="3"/>
      <c r="IY870" s="3"/>
      <c r="IZ870" s="3"/>
      <c r="JA870" s="3"/>
      <c r="JB870" s="3"/>
      <c r="JC870" s="3"/>
      <c r="JD870" s="3"/>
      <c r="JE870" s="3"/>
      <c r="JF870" s="3"/>
      <c r="JG870" s="3"/>
      <c r="JH870" s="3"/>
      <c r="JI870" s="3"/>
      <c r="JJ870" s="3"/>
      <c r="JK870" s="3"/>
      <c r="JL870" s="3"/>
      <c r="JM870" s="3"/>
      <c r="JN870" s="3"/>
      <c r="JO870" s="3"/>
      <c r="JP870" s="3"/>
      <c r="JQ870" s="3"/>
      <c r="JR870" s="3"/>
      <c r="JS870" s="3"/>
      <c r="JT870" s="3"/>
      <c r="JU870" s="3"/>
      <c r="JV870" s="3"/>
      <c r="JW870" s="3"/>
      <c r="JX870" s="3"/>
      <c r="JY870" s="3"/>
      <c r="JZ870" s="3"/>
      <c r="KA870" s="3"/>
      <c r="KB870" s="3"/>
      <c r="KC870" s="3"/>
      <c r="KD870" s="3"/>
      <c r="KE870" s="3"/>
      <c r="KF870" s="3"/>
      <c r="KG870" s="3"/>
      <c r="KH870" s="3"/>
      <c r="KI870" s="3"/>
      <c r="KJ870" s="3"/>
      <c r="KK870" s="3"/>
      <c r="KL870" s="3"/>
      <c r="KM870" s="3"/>
      <c r="KN870" s="3"/>
      <c r="KO870" s="3"/>
      <c r="KP870" s="3"/>
      <c r="KQ870" s="3"/>
      <c r="KR870" s="3"/>
      <c r="KS870" s="3"/>
      <c r="KT870" s="3"/>
      <c r="KU870" s="3"/>
      <c r="KV870" s="3"/>
      <c r="KW870" s="3"/>
      <c r="KX870" s="3"/>
      <c r="KY870" s="3"/>
      <c r="KZ870" s="3"/>
      <c r="LA870" s="3"/>
      <c r="LB870" s="3"/>
      <c r="LC870" s="3"/>
      <c r="LD870" s="3"/>
      <c r="LE870" s="3"/>
      <c r="LF870" s="3"/>
      <c r="LG870" s="3"/>
      <c r="LH870" s="3"/>
      <c r="LI870" s="3"/>
      <c r="LJ870" s="3"/>
      <c r="LK870" s="3"/>
      <c r="LL870" s="3"/>
      <c r="LM870" s="3"/>
      <c r="LN870" s="3"/>
      <c r="LO870" s="3"/>
      <c r="LP870" s="3"/>
      <c r="LQ870" s="3"/>
      <c r="LR870" s="3"/>
      <c r="LS870" s="3"/>
      <c r="LT870" s="3"/>
      <c r="LU870" s="3"/>
      <c r="LV870" s="3"/>
      <c r="LW870" s="3"/>
      <c r="LX870" s="3"/>
      <c r="LY870" s="3"/>
      <c r="LZ870" s="3"/>
      <c r="MA870" s="3"/>
      <c r="MB870" s="3"/>
      <c r="MC870" s="3"/>
      <c r="MD870" s="3"/>
      <c r="ME870" s="3"/>
      <c r="MF870" s="3"/>
      <c r="MG870" s="3"/>
      <c r="MH870" s="3"/>
      <c r="MI870" s="3"/>
    </row>
    <row r="871" spans="1:347"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c r="HX871" s="3"/>
      <c r="HY871" s="3"/>
      <c r="HZ871" s="3"/>
      <c r="IA871" s="3"/>
      <c r="IB871" s="3"/>
      <c r="IC871" s="3"/>
      <c r="ID871" s="3"/>
      <c r="IE871" s="3"/>
      <c r="IF871" s="3"/>
      <c r="IG871" s="3"/>
      <c r="IH871" s="3"/>
      <c r="II871" s="3"/>
      <c r="IJ871" s="3"/>
      <c r="IK871" s="3"/>
      <c r="IL871" s="3"/>
      <c r="IM871" s="3"/>
      <c r="IN871" s="3"/>
      <c r="IO871" s="3"/>
      <c r="IP871" s="3"/>
      <c r="IQ871" s="3"/>
      <c r="IR871" s="3"/>
      <c r="IS871" s="3"/>
      <c r="IT871" s="3"/>
      <c r="IU871" s="3"/>
      <c r="IV871" s="3"/>
      <c r="IW871" s="3"/>
      <c r="IX871" s="3"/>
      <c r="IY871" s="3"/>
      <c r="IZ871" s="3"/>
      <c r="JA871" s="3"/>
      <c r="JB871" s="3"/>
      <c r="JC871" s="3"/>
      <c r="JD871" s="3"/>
      <c r="JE871" s="3"/>
      <c r="JF871" s="3"/>
      <c r="JG871" s="3"/>
      <c r="JH871" s="3"/>
      <c r="JI871" s="3"/>
      <c r="JJ871" s="3"/>
      <c r="JK871" s="3"/>
      <c r="JL871" s="3"/>
      <c r="JM871" s="3"/>
      <c r="JN871" s="3"/>
      <c r="JO871" s="3"/>
      <c r="JP871" s="3"/>
      <c r="JQ871" s="3"/>
      <c r="JR871" s="3"/>
      <c r="JS871" s="3"/>
      <c r="JT871" s="3"/>
      <c r="JU871" s="3"/>
      <c r="JV871" s="3"/>
      <c r="JW871" s="3"/>
      <c r="JX871" s="3"/>
      <c r="JY871" s="3"/>
      <c r="JZ871" s="3"/>
      <c r="KA871" s="3"/>
      <c r="KB871" s="3"/>
      <c r="KC871" s="3"/>
      <c r="KD871" s="3"/>
      <c r="KE871" s="3"/>
      <c r="KF871" s="3"/>
      <c r="KG871" s="3"/>
      <c r="KH871" s="3"/>
      <c r="KI871" s="3"/>
      <c r="KJ871" s="3"/>
      <c r="KK871" s="3"/>
      <c r="KL871" s="3"/>
      <c r="KM871" s="3"/>
      <c r="KN871" s="3"/>
      <c r="KO871" s="3"/>
      <c r="KP871" s="3"/>
      <c r="KQ871" s="3"/>
      <c r="KR871" s="3"/>
      <c r="KS871" s="3"/>
      <c r="KT871" s="3"/>
      <c r="KU871" s="3"/>
      <c r="KV871" s="3"/>
      <c r="KW871" s="3"/>
      <c r="KX871" s="3"/>
      <c r="KY871" s="3"/>
      <c r="KZ871" s="3"/>
      <c r="LA871" s="3"/>
      <c r="LB871" s="3"/>
      <c r="LC871" s="3"/>
      <c r="LD871" s="3"/>
      <c r="LE871" s="3"/>
      <c r="LF871" s="3"/>
      <c r="LG871" s="3"/>
      <c r="LH871" s="3"/>
      <c r="LI871" s="3"/>
      <c r="LJ871" s="3"/>
      <c r="LK871" s="3"/>
      <c r="LL871" s="3"/>
      <c r="LM871" s="3"/>
      <c r="LN871" s="3"/>
      <c r="LO871" s="3"/>
      <c r="LP871" s="3"/>
      <c r="LQ871" s="3"/>
      <c r="LR871" s="3"/>
      <c r="LS871" s="3"/>
      <c r="LT871" s="3"/>
      <c r="LU871" s="3"/>
      <c r="LV871" s="3"/>
      <c r="LW871" s="3"/>
      <c r="LX871" s="3"/>
      <c r="LY871" s="3"/>
      <c r="LZ871" s="3"/>
      <c r="MA871" s="3"/>
      <c r="MB871" s="3"/>
      <c r="MC871" s="3"/>
      <c r="MD871" s="3"/>
      <c r="ME871" s="3"/>
      <c r="MF871" s="3"/>
      <c r="MG871" s="3"/>
      <c r="MH871" s="3"/>
      <c r="MI871" s="3"/>
    </row>
    <row r="872" spans="1:347"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c r="HX872" s="3"/>
      <c r="HY872" s="3"/>
      <c r="HZ872" s="3"/>
      <c r="IA872" s="3"/>
      <c r="IB872" s="3"/>
      <c r="IC872" s="3"/>
      <c r="ID872" s="3"/>
      <c r="IE872" s="3"/>
      <c r="IF872" s="3"/>
      <c r="IG872" s="3"/>
      <c r="IH872" s="3"/>
      <c r="II872" s="3"/>
      <c r="IJ872" s="3"/>
      <c r="IK872" s="3"/>
      <c r="IL872" s="3"/>
      <c r="IM872" s="3"/>
      <c r="IN872" s="3"/>
      <c r="IO872" s="3"/>
      <c r="IP872" s="3"/>
      <c r="IQ872" s="3"/>
      <c r="IR872" s="3"/>
      <c r="IS872" s="3"/>
      <c r="IT872" s="3"/>
      <c r="IU872" s="3"/>
      <c r="IV872" s="3"/>
      <c r="IW872" s="3"/>
      <c r="IX872" s="3"/>
      <c r="IY872" s="3"/>
      <c r="IZ872" s="3"/>
      <c r="JA872" s="3"/>
      <c r="JB872" s="3"/>
      <c r="JC872" s="3"/>
      <c r="JD872" s="3"/>
      <c r="JE872" s="3"/>
      <c r="JF872" s="3"/>
      <c r="JG872" s="3"/>
      <c r="JH872" s="3"/>
      <c r="JI872" s="3"/>
      <c r="JJ872" s="3"/>
      <c r="JK872" s="3"/>
      <c r="JL872" s="3"/>
      <c r="JM872" s="3"/>
      <c r="JN872" s="3"/>
      <c r="JO872" s="3"/>
      <c r="JP872" s="3"/>
      <c r="JQ872" s="3"/>
      <c r="JR872" s="3"/>
      <c r="JS872" s="3"/>
      <c r="JT872" s="3"/>
      <c r="JU872" s="3"/>
      <c r="JV872" s="3"/>
      <c r="JW872" s="3"/>
      <c r="JX872" s="3"/>
      <c r="JY872" s="3"/>
      <c r="JZ872" s="3"/>
      <c r="KA872" s="3"/>
      <c r="KB872" s="3"/>
      <c r="KC872" s="3"/>
      <c r="KD872" s="3"/>
      <c r="KE872" s="3"/>
      <c r="KF872" s="3"/>
      <c r="KG872" s="3"/>
      <c r="KH872" s="3"/>
      <c r="KI872" s="3"/>
      <c r="KJ872" s="3"/>
      <c r="KK872" s="3"/>
      <c r="KL872" s="3"/>
      <c r="KM872" s="3"/>
      <c r="KN872" s="3"/>
      <c r="KO872" s="3"/>
      <c r="KP872" s="3"/>
      <c r="KQ872" s="3"/>
      <c r="KR872" s="3"/>
      <c r="KS872" s="3"/>
      <c r="KT872" s="3"/>
      <c r="KU872" s="3"/>
      <c r="KV872" s="3"/>
      <c r="KW872" s="3"/>
      <c r="KX872" s="3"/>
      <c r="KY872" s="3"/>
      <c r="KZ872" s="3"/>
      <c r="LA872" s="3"/>
      <c r="LB872" s="3"/>
      <c r="LC872" s="3"/>
      <c r="LD872" s="3"/>
      <c r="LE872" s="3"/>
      <c r="LF872" s="3"/>
      <c r="LG872" s="3"/>
      <c r="LH872" s="3"/>
      <c r="LI872" s="3"/>
      <c r="LJ872" s="3"/>
      <c r="LK872" s="3"/>
      <c r="LL872" s="3"/>
      <c r="LM872" s="3"/>
      <c r="LN872" s="3"/>
      <c r="LO872" s="3"/>
      <c r="LP872" s="3"/>
      <c r="LQ872" s="3"/>
      <c r="LR872" s="3"/>
      <c r="LS872" s="3"/>
      <c r="LT872" s="3"/>
      <c r="LU872" s="3"/>
      <c r="LV872" s="3"/>
      <c r="LW872" s="3"/>
      <c r="LX872" s="3"/>
      <c r="LY872" s="3"/>
      <c r="LZ872" s="3"/>
      <c r="MA872" s="3"/>
      <c r="MB872" s="3"/>
      <c r="MC872" s="3"/>
      <c r="MD872" s="3"/>
      <c r="ME872" s="3"/>
      <c r="MF872" s="3"/>
      <c r="MG872" s="3"/>
      <c r="MH872" s="3"/>
      <c r="MI872" s="3"/>
    </row>
    <row r="873" spans="1:347"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c r="HX873" s="3"/>
      <c r="HY873" s="3"/>
      <c r="HZ873" s="3"/>
      <c r="IA873" s="3"/>
      <c r="IB873" s="3"/>
      <c r="IC873" s="3"/>
      <c r="ID873" s="3"/>
      <c r="IE873" s="3"/>
      <c r="IF873" s="3"/>
      <c r="IG873" s="3"/>
      <c r="IH873" s="3"/>
      <c r="II873" s="3"/>
      <c r="IJ873" s="3"/>
      <c r="IK873" s="3"/>
      <c r="IL873" s="3"/>
      <c r="IM873" s="3"/>
      <c r="IN873" s="3"/>
      <c r="IO873" s="3"/>
      <c r="IP873" s="3"/>
      <c r="IQ873" s="3"/>
      <c r="IR873" s="3"/>
      <c r="IS873" s="3"/>
      <c r="IT873" s="3"/>
      <c r="IU873" s="3"/>
      <c r="IV873" s="3"/>
      <c r="IW873" s="3"/>
      <c r="IX873" s="3"/>
      <c r="IY873" s="3"/>
      <c r="IZ873" s="3"/>
      <c r="JA873" s="3"/>
      <c r="JB873" s="3"/>
      <c r="JC873" s="3"/>
      <c r="JD873" s="3"/>
      <c r="JE873" s="3"/>
      <c r="JF873" s="3"/>
      <c r="JG873" s="3"/>
      <c r="JH873" s="3"/>
      <c r="JI873" s="3"/>
      <c r="JJ873" s="3"/>
      <c r="JK873" s="3"/>
      <c r="JL873" s="3"/>
      <c r="JM873" s="3"/>
      <c r="JN873" s="3"/>
      <c r="JO873" s="3"/>
      <c r="JP873" s="3"/>
      <c r="JQ873" s="3"/>
      <c r="JR873" s="3"/>
      <c r="JS873" s="3"/>
      <c r="JT873" s="3"/>
      <c r="JU873" s="3"/>
      <c r="JV873" s="3"/>
      <c r="JW873" s="3"/>
      <c r="JX873" s="3"/>
      <c r="JY873" s="3"/>
      <c r="JZ873" s="3"/>
      <c r="KA873" s="3"/>
      <c r="KB873" s="3"/>
      <c r="KC873" s="3"/>
      <c r="KD873" s="3"/>
      <c r="KE873" s="3"/>
      <c r="KF873" s="3"/>
      <c r="KG873" s="3"/>
      <c r="KH873" s="3"/>
      <c r="KI873" s="3"/>
      <c r="KJ873" s="3"/>
      <c r="KK873" s="3"/>
      <c r="KL873" s="3"/>
      <c r="KM873" s="3"/>
      <c r="KN873" s="3"/>
      <c r="KO873" s="3"/>
      <c r="KP873" s="3"/>
      <c r="KQ873" s="3"/>
      <c r="KR873" s="3"/>
      <c r="KS873" s="3"/>
      <c r="KT873" s="3"/>
      <c r="KU873" s="3"/>
      <c r="KV873" s="3"/>
      <c r="KW873" s="3"/>
      <c r="KX873" s="3"/>
      <c r="KY873" s="3"/>
      <c r="KZ873" s="3"/>
      <c r="LA873" s="3"/>
      <c r="LB873" s="3"/>
      <c r="LC873" s="3"/>
      <c r="LD873" s="3"/>
      <c r="LE873" s="3"/>
      <c r="LF873" s="3"/>
      <c r="LG873" s="3"/>
      <c r="LH873" s="3"/>
      <c r="LI873" s="3"/>
      <c r="LJ873" s="3"/>
      <c r="LK873" s="3"/>
      <c r="LL873" s="3"/>
      <c r="LM873" s="3"/>
      <c r="LN873" s="3"/>
      <c r="LO873" s="3"/>
      <c r="LP873" s="3"/>
      <c r="LQ873" s="3"/>
      <c r="LR873" s="3"/>
      <c r="LS873" s="3"/>
      <c r="LT873" s="3"/>
      <c r="LU873" s="3"/>
      <c r="LV873" s="3"/>
      <c r="LW873" s="3"/>
      <c r="LX873" s="3"/>
      <c r="LY873" s="3"/>
      <c r="LZ873" s="3"/>
      <c r="MA873" s="3"/>
      <c r="MB873" s="3"/>
      <c r="MC873" s="3"/>
      <c r="MD873" s="3"/>
      <c r="ME873" s="3"/>
      <c r="MF873" s="3"/>
      <c r="MG873" s="3"/>
      <c r="MH873" s="3"/>
      <c r="MI873" s="3"/>
    </row>
    <row r="874" spans="1:347"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c r="HX874" s="3"/>
      <c r="HY874" s="3"/>
      <c r="HZ874" s="3"/>
      <c r="IA874" s="3"/>
      <c r="IB874" s="3"/>
      <c r="IC874" s="3"/>
      <c r="ID874" s="3"/>
      <c r="IE874" s="3"/>
      <c r="IF874" s="3"/>
      <c r="IG874" s="3"/>
      <c r="IH874" s="3"/>
      <c r="II874" s="3"/>
      <c r="IJ874" s="3"/>
      <c r="IK874" s="3"/>
      <c r="IL874" s="3"/>
      <c r="IM874" s="3"/>
      <c r="IN874" s="3"/>
      <c r="IO874" s="3"/>
      <c r="IP874" s="3"/>
      <c r="IQ874" s="3"/>
      <c r="IR874" s="3"/>
      <c r="IS874" s="3"/>
      <c r="IT874" s="3"/>
      <c r="IU874" s="3"/>
      <c r="IV874" s="3"/>
      <c r="IW874" s="3"/>
      <c r="IX874" s="3"/>
      <c r="IY874" s="3"/>
      <c r="IZ874" s="3"/>
      <c r="JA874" s="3"/>
      <c r="JB874" s="3"/>
      <c r="JC874" s="3"/>
      <c r="JD874" s="3"/>
      <c r="JE874" s="3"/>
      <c r="JF874" s="3"/>
      <c r="JG874" s="3"/>
      <c r="JH874" s="3"/>
      <c r="JI874" s="3"/>
      <c r="JJ874" s="3"/>
      <c r="JK874" s="3"/>
      <c r="JL874" s="3"/>
      <c r="JM874" s="3"/>
      <c r="JN874" s="3"/>
      <c r="JO874" s="3"/>
      <c r="JP874" s="3"/>
      <c r="JQ874" s="3"/>
      <c r="JR874" s="3"/>
      <c r="JS874" s="3"/>
      <c r="JT874" s="3"/>
      <c r="JU874" s="3"/>
      <c r="JV874" s="3"/>
      <c r="JW874" s="3"/>
      <c r="JX874" s="3"/>
      <c r="JY874" s="3"/>
      <c r="JZ874" s="3"/>
      <c r="KA874" s="3"/>
      <c r="KB874" s="3"/>
      <c r="KC874" s="3"/>
      <c r="KD874" s="3"/>
      <c r="KE874" s="3"/>
      <c r="KF874" s="3"/>
      <c r="KG874" s="3"/>
      <c r="KH874" s="3"/>
      <c r="KI874" s="3"/>
      <c r="KJ874" s="3"/>
      <c r="KK874" s="3"/>
      <c r="KL874" s="3"/>
      <c r="KM874" s="3"/>
      <c r="KN874" s="3"/>
      <c r="KO874" s="3"/>
      <c r="KP874" s="3"/>
      <c r="KQ874" s="3"/>
      <c r="KR874" s="3"/>
      <c r="KS874" s="3"/>
      <c r="KT874" s="3"/>
      <c r="KU874" s="3"/>
      <c r="KV874" s="3"/>
      <c r="KW874" s="3"/>
      <c r="KX874" s="3"/>
      <c r="KY874" s="3"/>
      <c r="KZ874" s="3"/>
      <c r="LA874" s="3"/>
      <c r="LB874" s="3"/>
      <c r="LC874" s="3"/>
      <c r="LD874" s="3"/>
      <c r="LE874" s="3"/>
      <c r="LF874" s="3"/>
      <c r="LG874" s="3"/>
      <c r="LH874" s="3"/>
      <c r="LI874" s="3"/>
      <c r="LJ874" s="3"/>
      <c r="LK874" s="3"/>
      <c r="LL874" s="3"/>
      <c r="LM874" s="3"/>
      <c r="LN874" s="3"/>
      <c r="LO874" s="3"/>
      <c r="LP874" s="3"/>
      <c r="LQ874" s="3"/>
      <c r="LR874" s="3"/>
      <c r="LS874" s="3"/>
      <c r="LT874" s="3"/>
      <c r="LU874" s="3"/>
      <c r="LV874" s="3"/>
      <c r="LW874" s="3"/>
      <c r="LX874" s="3"/>
      <c r="LY874" s="3"/>
      <c r="LZ874" s="3"/>
      <c r="MA874" s="3"/>
      <c r="MB874" s="3"/>
      <c r="MC874" s="3"/>
      <c r="MD874" s="3"/>
      <c r="ME874" s="3"/>
      <c r="MF874" s="3"/>
      <c r="MG874" s="3"/>
      <c r="MH874" s="3"/>
      <c r="MI874" s="3"/>
    </row>
    <row r="875" spans="1:347"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c r="HX875" s="3"/>
      <c r="HY875" s="3"/>
      <c r="HZ875" s="3"/>
      <c r="IA875" s="3"/>
      <c r="IB875" s="3"/>
      <c r="IC875" s="3"/>
      <c r="ID875" s="3"/>
      <c r="IE875" s="3"/>
      <c r="IF875" s="3"/>
      <c r="IG875" s="3"/>
      <c r="IH875" s="3"/>
      <c r="II875" s="3"/>
      <c r="IJ875" s="3"/>
      <c r="IK875" s="3"/>
      <c r="IL875" s="3"/>
      <c r="IM875" s="3"/>
      <c r="IN875" s="3"/>
      <c r="IO875" s="3"/>
      <c r="IP875" s="3"/>
      <c r="IQ875" s="3"/>
      <c r="IR875" s="3"/>
      <c r="IS875" s="3"/>
      <c r="IT875" s="3"/>
      <c r="IU875" s="3"/>
      <c r="IV875" s="3"/>
      <c r="IW875" s="3"/>
      <c r="IX875" s="3"/>
      <c r="IY875" s="3"/>
      <c r="IZ875" s="3"/>
      <c r="JA875" s="3"/>
      <c r="JB875" s="3"/>
      <c r="JC875" s="3"/>
      <c r="JD875" s="3"/>
      <c r="JE875" s="3"/>
      <c r="JF875" s="3"/>
      <c r="JG875" s="3"/>
      <c r="JH875" s="3"/>
      <c r="JI875" s="3"/>
      <c r="JJ875" s="3"/>
      <c r="JK875" s="3"/>
      <c r="JL875" s="3"/>
      <c r="JM875" s="3"/>
      <c r="JN875" s="3"/>
      <c r="JO875" s="3"/>
      <c r="JP875" s="3"/>
      <c r="JQ875" s="3"/>
      <c r="JR875" s="3"/>
      <c r="JS875" s="3"/>
      <c r="JT875" s="3"/>
      <c r="JU875" s="3"/>
      <c r="JV875" s="3"/>
      <c r="JW875" s="3"/>
      <c r="JX875" s="3"/>
      <c r="JY875" s="3"/>
      <c r="JZ875" s="3"/>
      <c r="KA875" s="3"/>
      <c r="KB875" s="3"/>
      <c r="KC875" s="3"/>
      <c r="KD875" s="3"/>
      <c r="KE875" s="3"/>
      <c r="KF875" s="3"/>
      <c r="KG875" s="3"/>
      <c r="KH875" s="3"/>
      <c r="KI875" s="3"/>
      <c r="KJ875" s="3"/>
      <c r="KK875" s="3"/>
      <c r="KL875" s="3"/>
      <c r="KM875" s="3"/>
      <c r="KN875" s="3"/>
      <c r="KO875" s="3"/>
      <c r="KP875" s="3"/>
      <c r="KQ875" s="3"/>
      <c r="KR875" s="3"/>
      <c r="KS875" s="3"/>
      <c r="KT875" s="3"/>
      <c r="KU875" s="3"/>
      <c r="KV875" s="3"/>
      <c r="KW875" s="3"/>
      <c r="KX875" s="3"/>
      <c r="KY875" s="3"/>
      <c r="KZ875" s="3"/>
      <c r="LA875" s="3"/>
      <c r="LB875" s="3"/>
      <c r="LC875" s="3"/>
      <c r="LD875" s="3"/>
      <c r="LE875" s="3"/>
      <c r="LF875" s="3"/>
      <c r="LG875" s="3"/>
      <c r="LH875" s="3"/>
      <c r="LI875" s="3"/>
      <c r="LJ875" s="3"/>
      <c r="LK875" s="3"/>
      <c r="LL875" s="3"/>
      <c r="LM875" s="3"/>
      <c r="LN875" s="3"/>
      <c r="LO875" s="3"/>
      <c r="LP875" s="3"/>
      <c r="LQ875" s="3"/>
      <c r="LR875" s="3"/>
      <c r="LS875" s="3"/>
      <c r="LT875" s="3"/>
      <c r="LU875" s="3"/>
      <c r="LV875" s="3"/>
      <c r="LW875" s="3"/>
      <c r="LX875" s="3"/>
      <c r="LY875" s="3"/>
      <c r="LZ875" s="3"/>
      <c r="MA875" s="3"/>
      <c r="MB875" s="3"/>
      <c r="MC875" s="3"/>
      <c r="MD875" s="3"/>
      <c r="ME875" s="3"/>
      <c r="MF875" s="3"/>
      <c r="MG875" s="3"/>
      <c r="MH875" s="3"/>
      <c r="MI875" s="3"/>
    </row>
    <row r="876" spans="1:347"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c r="HX876" s="3"/>
      <c r="HY876" s="3"/>
      <c r="HZ876" s="3"/>
      <c r="IA876" s="3"/>
      <c r="IB876" s="3"/>
      <c r="IC876" s="3"/>
      <c r="ID876" s="3"/>
      <c r="IE876" s="3"/>
      <c r="IF876" s="3"/>
      <c r="IG876" s="3"/>
      <c r="IH876" s="3"/>
      <c r="II876" s="3"/>
      <c r="IJ876" s="3"/>
      <c r="IK876" s="3"/>
      <c r="IL876" s="3"/>
      <c r="IM876" s="3"/>
      <c r="IN876" s="3"/>
      <c r="IO876" s="3"/>
      <c r="IP876" s="3"/>
      <c r="IQ876" s="3"/>
      <c r="IR876" s="3"/>
      <c r="IS876" s="3"/>
      <c r="IT876" s="3"/>
      <c r="IU876" s="3"/>
      <c r="IV876" s="3"/>
      <c r="IW876" s="3"/>
      <c r="IX876" s="3"/>
      <c r="IY876" s="3"/>
      <c r="IZ876" s="3"/>
      <c r="JA876" s="3"/>
      <c r="JB876" s="3"/>
      <c r="JC876" s="3"/>
      <c r="JD876" s="3"/>
      <c r="JE876" s="3"/>
      <c r="JF876" s="3"/>
      <c r="JG876" s="3"/>
      <c r="JH876" s="3"/>
      <c r="JI876" s="3"/>
      <c r="JJ876" s="3"/>
      <c r="JK876" s="3"/>
      <c r="JL876" s="3"/>
      <c r="JM876" s="3"/>
      <c r="JN876" s="3"/>
      <c r="JO876" s="3"/>
      <c r="JP876" s="3"/>
      <c r="JQ876" s="3"/>
      <c r="JR876" s="3"/>
      <c r="JS876" s="3"/>
      <c r="JT876" s="3"/>
      <c r="JU876" s="3"/>
      <c r="JV876" s="3"/>
      <c r="JW876" s="3"/>
      <c r="JX876" s="3"/>
      <c r="JY876" s="3"/>
      <c r="JZ876" s="3"/>
      <c r="KA876" s="3"/>
      <c r="KB876" s="3"/>
      <c r="KC876" s="3"/>
      <c r="KD876" s="3"/>
      <c r="KE876" s="3"/>
      <c r="KF876" s="3"/>
      <c r="KG876" s="3"/>
      <c r="KH876" s="3"/>
      <c r="KI876" s="3"/>
      <c r="KJ876" s="3"/>
      <c r="KK876" s="3"/>
      <c r="KL876" s="3"/>
      <c r="KM876" s="3"/>
      <c r="KN876" s="3"/>
      <c r="KO876" s="3"/>
      <c r="KP876" s="3"/>
      <c r="KQ876" s="3"/>
      <c r="KR876" s="3"/>
      <c r="KS876" s="3"/>
      <c r="KT876" s="3"/>
      <c r="KU876" s="3"/>
      <c r="KV876" s="3"/>
      <c r="KW876" s="3"/>
      <c r="KX876" s="3"/>
      <c r="KY876" s="3"/>
      <c r="KZ876" s="3"/>
      <c r="LA876" s="3"/>
      <c r="LB876" s="3"/>
      <c r="LC876" s="3"/>
      <c r="LD876" s="3"/>
      <c r="LE876" s="3"/>
      <c r="LF876" s="3"/>
      <c r="LG876" s="3"/>
      <c r="LH876" s="3"/>
      <c r="LI876" s="3"/>
      <c r="LJ876" s="3"/>
      <c r="LK876" s="3"/>
      <c r="LL876" s="3"/>
      <c r="LM876" s="3"/>
      <c r="LN876" s="3"/>
      <c r="LO876" s="3"/>
      <c r="LP876" s="3"/>
      <c r="LQ876" s="3"/>
      <c r="LR876" s="3"/>
      <c r="LS876" s="3"/>
      <c r="LT876" s="3"/>
      <c r="LU876" s="3"/>
      <c r="LV876" s="3"/>
      <c r="LW876" s="3"/>
      <c r="LX876" s="3"/>
      <c r="LY876" s="3"/>
      <c r="LZ876" s="3"/>
      <c r="MA876" s="3"/>
      <c r="MB876" s="3"/>
      <c r="MC876" s="3"/>
      <c r="MD876" s="3"/>
      <c r="ME876" s="3"/>
      <c r="MF876" s="3"/>
      <c r="MG876" s="3"/>
      <c r="MH876" s="3"/>
      <c r="MI876" s="3"/>
    </row>
    <row r="877" spans="1:347"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c r="HX877" s="3"/>
      <c r="HY877" s="3"/>
      <c r="HZ877" s="3"/>
      <c r="IA877" s="3"/>
      <c r="IB877" s="3"/>
      <c r="IC877" s="3"/>
      <c r="ID877" s="3"/>
      <c r="IE877" s="3"/>
      <c r="IF877" s="3"/>
      <c r="IG877" s="3"/>
      <c r="IH877" s="3"/>
      <c r="II877" s="3"/>
      <c r="IJ877" s="3"/>
      <c r="IK877" s="3"/>
      <c r="IL877" s="3"/>
      <c r="IM877" s="3"/>
      <c r="IN877" s="3"/>
      <c r="IO877" s="3"/>
      <c r="IP877" s="3"/>
      <c r="IQ877" s="3"/>
      <c r="IR877" s="3"/>
      <c r="IS877" s="3"/>
      <c r="IT877" s="3"/>
      <c r="IU877" s="3"/>
      <c r="IV877" s="3"/>
      <c r="IW877" s="3"/>
      <c r="IX877" s="3"/>
      <c r="IY877" s="3"/>
      <c r="IZ877" s="3"/>
      <c r="JA877" s="3"/>
      <c r="JB877" s="3"/>
      <c r="JC877" s="3"/>
      <c r="JD877" s="3"/>
      <c r="JE877" s="3"/>
      <c r="JF877" s="3"/>
      <c r="JG877" s="3"/>
      <c r="JH877" s="3"/>
      <c r="JI877" s="3"/>
      <c r="JJ877" s="3"/>
      <c r="JK877" s="3"/>
      <c r="JL877" s="3"/>
      <c r="JM877" s="3"/>
      <c r="JN877" s="3"/>
      <c r="JO877" s="3"/>
      <c r="JP877" s="3"/>
      <c r="JQ877" s="3"/>
      <c r="JR877" s="3"/>
      <c r="JS877" s="3"/>
      <c r="JT877" s="3"/>
      <c r="JU877" s="3"/>
      <c r="JV877" s="3"/>
      <c r="JW877" s="3"/>
      <c r="JX877" s="3"/>
      <c r="JY877" s="3"/>
      <c r="JZ877" s="3"/>
      <c r="KA877" s="3"/>
      <c r="KB877" s="3"/>
      <c r="KC877" s="3"/>
      <c r="KD877" s="3"/>
      <c r="KE877" s="3"/>
      <c r="KF877" s="3"/>
      <c r="KG877" s="3"/>
      <c r="KH877" s="3"/>
      <c r="KI877" s="3"/>
      <c r="KJ877" s="3"/>
      <c r="KK877" s="3"/>
      <c r="KL877" s="3"/>
      <c r="KM877" s="3"/>
      <c r="KN877" s="3"/>
      <c r="KO877" s="3"/>
      <c r="KP877" s="3"/>
      <c r="KQ877" s="3"/>
      <c r="KR877" s="3"/>
      <c r="KS877" s="3"/>
      <c r="KT877" s="3"/>
      <c r="KU877" s="3"/>
      <c r="KV877" s="3"/>
      <c r="KW877" s="3"/>
      <c r="KX877" s="3"/>
      <c r="KY877" s="3"/>
      <c r="KZ877" s="3"/>
      <c r="LA877" s="3"/>
      <c r="LB877" s="3"/>
      <c r="LC877" s="3"/>
      <c r="LD877" s="3"/>
      <c r="LE877" s="3"/>
      <c r="LF877" s="3"/>
      <c r="LG877" s="3"/>
      <c r="LH877" s="3"/>
      <c r="LI877" s="3"/>
      <c r="LJ877" s="3"/>
      <c r="LK877" s="3"/>
      <c r="LL877" s="3"/>
      <c r="LM877" s="3"/>
      <c r="LN877" s="3"/>
      <c r="LO877" s="3"/>
      <c r="LP877" s="3"/>
      <c r="LQ877" s="3"/>
      <c r="LR877" s="3"/>
      <c r="LS877" s="3"/>
      <c r="LT877" s="3"/>
      <c r="LU877" s="3"/>
      <c r="LV877" s="3"/>
      <c r="LW877" s="3"/>
      <c r="LX877" s="3"/>
      <c r="LY877" s="3"/>
      <c r="LZ877" s="3"/>
      <c r="MA877" s="3"/>
      <c r="MB877" s="3"/>
      <c r="MC877" s="3"/>
      <c r="MD877" s="3"/>
      <c r="ME877" s="3"/>
      <c r="MF877" s="3"/>
      <c r="MG877" s="3"/>
      <c r="MH877" s="3"/>
      <c r="MI877" s="3"/>
    </row>
    <row r="878" spans="1:347"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c r="HX878" s="3"/>
      <c r="HY878" s="3"/>
      <c r="HZ878" s="3"/>
      <c r="IA878" s="3"/>
      <c r="IB878" s="3"/>
      <c r="IC878" s="3"/>
      <c r="ID878" s="3"/>
      <c r="IE878" s="3"/>
      <c r="IF878" s="3"/>
      <c r="IG878" s="3"/>
      <c r="IH878" s="3"/>
      <c r="II878" s="3"/>
      <c r="IJ878" s="3"/>
      <c r="IK878" s="3"/>
      <c r="IL878" s="3"/>
      <c r="IM878" s="3"/>
      <c r="IN878" s="3"/>
      <c r="IO878" s="3"/>
      <c r="IP878" s="3"/>
      <c r="IQ878" s="3"/>
      <c r="IR878" s="3"/>
      <c r="IS878" s="3"/>
      <c r="IT878" s="3"/>
      <c r="IU878" s="3"/>
      <c r="IV878" s="3"/>
      <c r="IW878" s="3"/>
      <c r="IX878" s="3"/>
      <c r="IY878" s="3"/>
      <c r="IZ878" s="3"/>
      <c r="JA878" s="3"/>
      <c r="JB878" s="3"/>
      <c r="JC878" s="3"/>
      <c r="JD878" s="3"/>
      <c r="JE878" s="3"/>
      <c r="JF878" s="3"/>
      <c r="JG878" s="3"/>
      <c r="JH878" s="3"/>
      <c r="JI878" s="3"/>
      <c r="JJ878" s="3"/>
      <c r="JK878" s="3"/>
      <c r="JL878" s="3"/>
      <c r="JM878" s="3"/>
      <c r="JN878" s="3"/>
      <c r="JO878" s="3"/>
      <c r="JP878" s="3"/>
      <c r="JQ878" s="3"/>
      <c r="JR878" s="3"/>
      <c r="JS878" s="3"/>
      <c r="JT878" s="3"/>
      <c r="JU878" s="3"/>
      <c r="JV878" s="3"/>
      <c r="JW878" s="3"/>
      <c r="JX878" s="3"/>
      <c r="JY878" s="3"/>
      <c r="JZ878" s="3"/>
      <c r="KA878" s="3"/>
      <c r="KB878" s="3"/>
      <c r="KC878" s="3"/>
      <c r="KD878" s="3"/>
      <c r="KE878" s="3"/>
      <c r="KF878" s="3"/>
      <c r="KG878" s="3"/>
      <c r="KH878" s="3"/>
      <c r="KI878" s="3"/>
      <c r="KJ878" s="3"/>
      <c r="KK878" s="3"/>
      <c r="KL878" s="3"/>
      <c r="KM878" s="3"/>
      <c r="KN878" s="3"/>
      <c r="KO878" s="3"/>
      <c r="KP878" s="3"/>
      <c r="KQ878" s="3"/>
      <c r="KR878" s="3"/>
      <c r="KS878" s="3"/>
      <c r="KT878" s="3"/>
      <c r="KU878" s="3"/>
      <c r="KV878" s="3"/>
      <c r="KW878" s="3"/>
      <c r="KX878" s="3"/>
      <c r="KY878" s="3"/>
      <c r="KZ878" s="3"/>
      <c r="LA878" s="3"/>
      <c r="LB878" s="3"/>
      <c r="LC878" s="3"/>
      <c r="LD878" s="3"/>
      <c r="LE878" s="3"/>
      <c r="LF878" s="3"/>
      <c r="LG878" s="3"/>
      <c r="LH878" s="3"/>
      <c r="LI878" s="3"/>
      <c r="LJ878" s="3"/>
      <c r="LK878" s="3"/>
      <c r="LL878" s="3"/>
      <c r="LM878" s="3"/>
      <c r="LN878" s="3"/>
      <c r="LO878" s="3"/>
      <c r="LP878" s="3"/>
      <c r="LQ878" s="3"/>
      <c r="LR878" s="3"/>
      <c r="LS878" s="3"/>
      <c r="LT878" s="3"/>
      <c r="LU878" s="3"/>
      <c r="LV878" s="3"/>
      <c r="LW878" s="3"/>
      <c r="LX878" s="3"/>
      <c r="LY878" s="3"/>
      <c r="LZ878" s="3"/>
      <c r="MA878" s="3"/>
      <c r="MB878" s="3"/>
      <c r="MC878" s="3"/>
      <c r="MD878" s="3"/>
      <c r="ME878" s="3"/>
      <c r="MF878" s="3"/>
      <c r="MG878" s="3"/>
      <c r="MH878" s="3"/>
      <c r="MI878" s="3"/>
    </row>
    <row r="879" spans="1:347"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c r="HX879" s="3"/>
      <c r="HY879" s="3"/>
      <c r="HZ879" s="3"/>
      <c r="IA879" s="3"/>
      <c r="IB879" s="3"/>
      <c r="IC879" s="3"/>
      <c r="ID879" s="3"/>
      <c r="IE879" s="3"/>
      <c r="IF879" s="3"/>
      <c r="IG879" s="3"/>
      <c r="IH879" s="3"/>
      <c r="II879" s="3"/>
      <c r="IJ879" s="3"/>
      <c r="IK879" s="3"/>
      <c r="IL879" s="3"/>
      <c r="IM879" s="3"/>
      <c r="IN879" s="3"/>
      <c r="IO879" s="3"/>
      <c r="IP879" s="3"/>
      <c r="IQ879" s="3"/>
      <c r="IR879" s="3"/>
      <c r="IS879" s="3"/>
      <c r="IT879" s="3"/>
      <c r="IU879" s="3"/>
      <c r="IV879" s="3"/>
      <c r="IW879" s="3"/>
      <c r="IX879" s="3"/>
      <c r="IY879" s="3"/>
      <c r="IZ879" s="3"/>
      <c r="JA879" s="3"/>
      <c r="JB879" s="3"/>
      <c r="JC879" s="3"/>
      <c r="JD879" s="3"/>
      <c r="JE879" s="3"/>
      <c r="JF879" s="3"/>
      <c r="JG879" s="3"/>
      <c r="JH879" s="3"/>
      <c r="JI879" s="3"/>
      <c r="JJ879" s="3"/>
      <c r="JK879" s="3"/>
      <c r="JL879" s="3"/>
      <c r="JM879" s="3"/>
      <c r="JN879" s="3"/>
      <c r="JO879" s="3"/>
      <c r="JP879" s="3"/>
      <c r="JQ879" s="3"/>
      <c r="JR879" s="3"/>
      <c r="JS879" s="3"/>
      <c r="JT879" s="3"/>
      <c r="JU879" s="3"/>
      <c r="JV879" s="3"/>
      <c r="JW879" s="3"/>
      <c r="JX879" s="3"/>
      <c r="JY879" s="3"/>
      <c r="JZ879" s="3"/>
      <c r="KA879" s="3"/>
      <c r="KB879" s="3"/>
      <c r="KC879" s="3"/>
      <c r="KD879" s="3"/>
      <c r="KE879" s="3"/>
      <c r="KF879" s="3"/>
      <c r="KG879" s="3"/>
      <c r="KH879" s="3"/>
      <c r="KI879" s="3"/>
      <c r="KJ879" s="3"/>
      <c r="KK879" s="3"/>
      <c r="KL879" s="3"/>
      <c r="KM879" s="3"/>
      <c r="KN879" s="3"/>
      <c r="KO879" s="3"/>
      <c r="KP879" s="3"/>
      <c r="KQ879" s="3"/>
      <c r="KR879" s="3"/>
      <c r="KS879" s="3"/>
      <c r="KT879" s="3"/>
      <c r="KU879" s="3"/>
      <c r="KV879" s="3"/>
      <c r="KW879" s="3"/>
      <c r="KX879" s="3"/>
      <c r="KY879" s="3"/>
      <c r="KZ879" s="3"/>
      <c r="LA879" s="3"/>
      <c r="LB879" s="3"/>
      <c r="LC879" s="3"/>
      <c r="LD879" s="3"/>
      <c r="LE879" s="3"/>
      <c r="LF879" s="3"/>
      <c r="LG879" s="3"/>
      <c r="LH879" s="3"/>
      <c r="LI879" s="3"/>
      <c r="LJ879" s="3"/>
      <c r="LK879" s="3"/>
      <c r="LL879" s="3"/>
      <c r="LM879" s="3"/>
      <c r="LN879" s="3"/>
      <c r="LO879" s="3"/>
      <c r="LP879" s="3"/>
      <c r="LQ879" s="3"/>
      <c r="LR879" s="3"/>
      <c r="LS879" s="3"/>
      <c r="LT879" s="3"/>
      <c r="LU879" s="3"/>
      <c r="LV879" s="3"/>
      <c r="LW879" s="3"/>
      <c r="LX879" s="3"/>
      <c r="LY879" s="3"/>
      <c r="LZ879" s="3"/>
      <c r="MA879" s="3"/>
      <c r="MB879" s="3"/>
      <c r="MC879" s="3"/>
      <c r="MD879" s="3"/>
      <c r="ME879" s="3"/>
      <c r="MF879" s="3"/>
      <c r="MG879" s="3"/>
      <c r="MH879" s="3"/>
      <c r="MI879" s="3"/>
    </row>
    <row r="880" spans="1:347"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c r="HX880" s="3"/>
      <c r="HY880" s="3"/>
      <c r="HZ880" s="3"/>
      <c r="IA880" s="3"/>
      <c r="IB880" s="3"/>
      <c r="IC880" s="3"/>
      <c r="ID880" s="3"/>
      <c r="IE880" s="3"/>
      <c r="IF880" s="3"/>
      <c r="IG880" s="3"/>
      <c r="IH880" s="3"/>
      <c r="II880" s="3"/>
      <c r="IJ880" s="3"/>
      <c r="IK880" s="3"/>
      <c r="IL880" s="3"/>
      <c r="IM880" s="3"/>
      <c r="IN880" s="3"/>
      <c r="IO880" s="3"/>
      <c r="IP880" s="3"/>
      <c r="IQ880" s="3"/>
      <c r="IR880" s="3"/>
      <c r="IS880" s="3"/>
      <c r="IT880" s="3"/>
      <c r="IU880" s="3"/>
      <c r="IV880" s="3"/>
      <c r="IW880" s="3"/>
      <c r="IX880" s="3"/>
      <c r="IY880" s="3"/>
      <c r="IZ880" s="3"/>
      <c r="JA880" s="3"/>
      <c r="JB880" s="3"/>
      <c r="JC880" s="3"/>
      <c r="JD880" s="3"/>
      <c r="JE880" s="3"/>
      <c r="JF880" s="3"/>
      <c r="JG880" s="3"/>
      <c r="JH880" s="3"/>
      <c r="JI880" s="3"/>
      <c r="JJ880" s="3"/>
      <c r="JK880" s="3"/>
      <c r="JL880" s="3"/>
      <c r="JM880" s="3"/>
      <c r="JN880" s="3"/>
      <c r="JO880" s="3"/>
      <c r="JP880" s="3"/>
      <c r="JQ880" s="3"/>
      <c r="JR880" s="3"/>
      <c r="JS880" s="3"/>
      <c r="JT880" s="3"/>
      <c r="JU880" s="3"/>
      <c r="JV880" s="3"/>
      <c r="JW880" s="3"/>
      <c r="JX880" s="3"/>
      <c r="JY880" s="3"/>
      <c r="JZ880" s="3"/>
      <c r="KA880" s="3"/>
      <c r="KB880" s="3"/>
      <c r="KC880" s="3"/>
      <c r="KD880" s="3"/>
      <c r="KE880" s="3"/>
      <c r="KF880" s="3"/>
      <c r="KG880" s="3"/>
      <c r="KH880" s="3"/>
      <c r="KI880" s="3"/>
      <c r="KJ880" s="3"/>
      <c r="KK880" s="3"/>
      <c r="KL880" s="3"/>
      <c r="KM880" s="3"/>
      <c r="KN880" s="3"/>
      <c r="KO880" s="3"/>
      <c r="KP880" s="3"/>
      <c r="KQ880" s="3"/>
      <c r="KR880" s="3"/>
      <c r="KS880" s="3"/>
      <c r="KT880" s="3"/>
      <c r="KU880" s="3"/>
      <c r="KV880" s="3"/>
      <c r="KW880" s="3"/>
      <c r="KX880" s="3"/>
      <c r="KY880" s="3"/>
      <c r="KZ880" s="3"/>
      <c r="LA880" s="3"/>
      <c r="LB880" s="3"/>
      <c r="LC880" s="3"/>
      <c r="LD880" s="3"/>
      <c r="LE880" s="3"/>
      <c r="LF880" s="3"/>
      <c r="LG880" s="3"/>
      <c r="LH880" s="3"/>
      <c r="LI880" s="3"/>
      <c r="LJ880" s="3"/>
      <c r="LK880" s="3"/>
      <c r="LL880" s="3"/>
      <c r="LM880" s="3"/>
      <c r="LN880" s="3"/>
      <c r="LO880" s="3"/>
      <c r="LP880" s="3"/>
      <c r="LQ880" s="3"/>
      <c r="LR880" s="3"/>
      <c r="LS880" s="3"/>
      <c r="LT880" s="3"/>
      <c r="LU880" s="3"/>
      <c r="LV880" s="3"/>
      <c r="LW880" s="3"/>
      <c r="LX880" s="3"/>
      <c r="LY880" s="3"/>
      <c r="LZ880" s="3"/>
      <c r="MA880" s="3"/>
      <c r="MB880" s="3"/>
      <c r="MC880" s="3"/>
      <c r="MD880" s="3"/>
      <c r="ME880" s="3"/>
      <c r="MF880" s="3"/>
      <c r="MG880" s="3"/>
      <c r="MH880" s="3"/>
      <c r="MI880" s="3"/>
    </row>
    <row r="881" spans="1:347"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c r="HX881" s="3"/>
      <c r="HY881" s="3"/>
      <c r="HZ881" s="3"/>
      <c r="IA881" s="3"/>
      <c r="IB881" s="3"/>
      <c r="IC881" s="3"/>
      <c r="ID881" s="3"/>
      <c r="IE881" s="3"/>
      <c r="IF881" s="3"/>
      <c r="IG881" s="3"/>
      <c r="IH881" s="3"/>
      <c r="II881" s="3"/>
      <c r="IJ881" s="3"/>
      <c r="IK881" s="3"/>
      <c r="IL881" s="3"/>
      <c r="IM881" s="3"/>
      <c r="IN881" s="3"/>
      <c r="IO881" s="3"/>
      <c r="IP881" s="3"/>
      <c r="IQ881" s="3"/>
      <c r="IR881" s="3"/>
      <c r="IS881" s="3"/>
      <c r="IT881" s="3"/>
      <c r="IU881" s="3"/>
      <c r="IV881" s="3"/>
      <c r="IW881" s="3"/>
      <c r="IX881" s="3"/>
      <c r="IY881" s="3"/>
      <c r="IZ881" s="3"/>
      <c r="JA881" s="3"/>
      <c r="JB881" s="3"/>
      <c r="JC881" s="3"/>
      <c r="JD881" s="3"/>
      <c r="JE881" s="3"/>
      <c r="JF881" s="3"/>
      <c r="JG881" s="3"/>
      <c r="JH881" s="3"/>
      <c r="JI881" s="3"/>
      <c r="JJ881" s="3"/>
      <c r="JK881" s="3"/>
      <c r="JL881" s="3"/>
      <c r="JM881" s="3"/>
      <c r="JN881" s="3"/>
      <c r="JO881" s="3"/>
      <c r="JP881" s="3"/>
      <c r="JQ881" s="3"/>
      <c r="JR881" s="3"/>
      <c r="JS881" s="3"/>
      <c r="JT881" s="3"/>
      <c r="JU881" s="3"/>
      <c r="JV881" s="3"/>
      <c r="JW881" s="3"/>
      <c r="JX881" s="3"/>
      <c r="JY881" s="3"/>
      <c r="JZ881" s="3"/>
      <c r="KA881" s="3"/>
      <c r="KB881" s="3"/>
      <c r="KC881" s="3"/>
      <c r="KD881" s="3"/>
      <c r="KE881" s="3"/>
      <c r="KF881" s="3"/>
      <c r="KG881" s="3"/>
      <c r="KH881" s="3"/>
      <c r="KI881" s="3"/>
      <c r="KJ881" s="3"/>
      <c r="KK881" s="3"/>
      <c r="KL881" s="3"/>
      <c r="KM881" s="3"/>
      <c r="KN881" s="3"/>
      <c r="KO881" s="3"/>
      <c r="KP881" s="3"/>
      <c r="KQ881" s="3"/>
      <c r="KR881" s="3"/>
      <c r="KS881" s="3"/>
      <c r="KT881" s="3"/>
      <c r="KU881" s="3"/>
      <c r="KV881" s="3"/>
      <c r="KW881" s="3"/>
      <c r="KX881" s="3"/>
      <c r="KY881" s="3"/>
      <c r="KZ881" s="3"/>
      <c r="LA881" s="3"/>
      <c r="LB881" s="3"/>
      <c r="LC881" s="3"/>
      <c r="LD881" s="3"/>
      <c r="LE881" s="3"/>
      <c r="LF881" s="3"/>
      <c r="LG881" s="3"/>
      <c r="LH881" s="3"/>
      <c r="LI881" s="3"/>
      <c r="LJ881" s="3"/>
      <c r="LK881" s="3"/>
      <c r="LL881" s="3"/>
      <c r="LM881" s="3"/>
      <c r="LN881" s="3"/>
      <c r="LO881" s="3"/>
      <c r="LP881" s="3"/>
      <c r="LQ881" s="3"/>
      <c r="LR881" s="3"/>
      <c r="LS881" s="3"/>
      <c r="LT881" s="3"/>
      <c r="LU881" s="3"/>
      <c r="LV881" s="3"/>
      <c r="LW881" s="3"/>
      <c r="LX881" s="3"/>
      <c r="LY881" s="3"/>
      <c r="LZ881" s="3"/>
      <c r="MA881" s="3"/>
      <c r="MB881" s="3"/>
      <c r="MC881" s="3"/>
      <c r="MD881" s="3"/>
      <c r="ME881" s="3"/>
      <c r="MF881" s="3"/>
      <c r="MG881" s="3"/>
      <c r="MH881" s="3"/>
      <c r="MI881" s="3"/>
    </row>
    <row r="882" spans="1:347"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c r="HX882" s="3"/>
      <c r="HY882" s="3"/>
      <c r="HZ882" s="3"/>
      <c r="IA882" s="3"/>
      <c r="IB882" s="3"/>
      <c r="IC882" s="3"/>
      <c r="ID882" s="3"/>
      <c r="IE882" s="3"/>
      <c r="IF882" s="3"/>
      <c r="IG882" s="3"/>
      <c r="IH882" s="3"/>
      <c r="II882" s="3"/>
      <c r="IJ882" s="3"/>
      <c r="IK882" s="3"/>
      <c r="IL882" s="3"/>
      <c r="IM882" s="3"/>
      <c r="IN882" s="3"/>
      <c r="IO882" s="3"/>
      <c r="IP882" s="3"/>
      <c r="IQ882" s="3"/>
      <c r="IR882" s="3"/>
      <c r="IS882" s="3"/>
      <c r="IT882" s="3"/>
      <c r="IU882" s="3"/>
      <c r="IV882" s="3"/>
      <c r="IW882" s="3"/>
      <c r="IX882" s="3"/>
      <c r="IY882" s="3"/>
      <c r="IZ882" s="3"/>
      <c r="JA882" s="3"/>
      <c r="JB882" s="3"/>
      <c r="JC882" s="3"/>
      <c r="JD882" s="3"/>
      <c r="JE882" s="3"/>
      <c r="JF882" s="3"/>
      <c r="JG882" s="3"/>
      <c r="JH882" s="3"/>
      <c r="JI882" s="3"/>
      <c r="JJ882" s="3"/>
      <c r="JK882" s="3"/>
      <c r="JL882" s="3"/>
      <c r="JM882" s="3"/>
      <c r="JN882" s="3"/>
      <c r="JO882" s="3"/>
      <c r="JP882" s="3"/>
      <c r="JQ882" s="3"/>
      <c r="JR882" s="3"/>
      <c r="JS882" s="3"/>
      <c r="JT882" s="3"/>
      <c r="JU882" s="3"/>
      <c r="JV882" s="3"/>
      <c r="JW882" s="3"/>
      <c r="JX882" s="3"/>
      <c r="JY882" s="3"/>
      <c r="JZ882" s="3"/>
      <c r="KA882" s="3"/>
      <c r="KB882" s="3"/>
      <c r="KC882" s="3"/>
      <c r="KD882" s="3"/>
      <c r="KE882" s="3"/>
      <c r="KF882" s="3"/>
      <c r="KG882" s="3"/>
      <c r="KH882" s="3"/>
      <c r="KI882" s="3"/>
      <c r="KJ882" s="3"/>
      <c r="KK882" s="3"/>
      <c r="KL882" s="3"/>
      <c r="KM882" s="3"/>
      <c r="KN882" s="3"/>
      <c r="KO882" s="3"/>
      <c r="KP882" s="3"/>
      <c r="KQ882" s="3"/>
      <c r="KR882" s="3"/>
      <c r="KS882" s="3"/>
      <c r="KT882" s="3"/>
      <c r="KU882" s="3"/>
      <c r="KV882" s="3"/>
      <c r="KW882" s="3"/>
      <c r="KX882" s="3"/>
      <c r="KY882" s="3"/>
      <c r="KZ882" s="3"/>
      <c r="LA882" s="3"/>
      <c r="LB882" s="3"/>
      <c r="LC882" s="3"/>
      <c r="LD882" s="3"/>
      <c r="LE882" s="3"/>
      <c r="LF882" s="3"/>
      <c r="LG882" s="3"/>
      <c r="LH882" s="3"/>
      <c r="LI882" s="3"/>
      <c r="LJ882" s="3"/>
      <c r="LK882" s="3"/>
      <c r="LL882" s="3"/>
      <c r="LM882" s="3"/>
      <c r="LN882" s="3"/>
      <c r="LO882" s="3"/>
      <c r="LP882" s="3"/>
      <c r="LQ882" s="3"/>
      <c r="LR882" s="3"/>
      <c r="LS882" s="3"/>
      <c r="LT882" s="3"/>
      <c r="LU882" s="3"/>
      <c r="LV882" s="3"/>
      <c r="LW882" s="3"/>
      <c r="LX882" s="3"/>
      <c r="LY882" s="3"/>
      <c r="LZ882" s="3"/>
      <c r="MA882" s="3"/>
      <c r="MB882" s="3"/>
      <c r="MC882" s="3"/>
      <c r="MD882" s="3"/>
      <c r="ME882" s="3"/>
      <c r="MF882" s="3"/>
      <c r="MG882" s="3"/>
      <c r="MH882" s="3"/>
      <c r="MI882" s="3"/>
    </row>
    <row r="883" spans="1:347"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c r="HX883" s="3"/>
      <c r="HY883" s="3"/>
      <c r="HZ883" s="3"/>
      <c r="IA883" s="3"/>
      <c r="IB883" s="3"/>
      <c r="IC883" s="3"/>
      <c r="ID883" s="3"/>
      <c r="IE883" s="3"/>
      <c r="IF883" s="3"/>
      <c r="IG883" s="3"/>
      <c r="IH883" s="3"/>
      <c r="II883" s="3"/>
      <c r="IJ883" s="3"/>
      <c r="IK883" s="3"/>
      <c r="IL883" s="3"/>
      <c r="IM883" s="3"/>
      <c r="IN883" s="3"/>
      <c r="IO883" s="3"/>
      <c r="IP883" s="3"/>
      <c r="IQ883" s="3"/>
      <c r="IR883" s="3"/>
      <c r="IS883" s="3"/>
      <c r="IT883" s="3"/>
      <c r="IU883" s="3"/>
      <c r="IV883" s="3"/>
      <c r="IW883" s="3"/>
      <c r="IX883" s="3"/>
      <c r="IY883" s="3"/>
      <c r="IZ883" s="3"/>
      <c r="JA883" s="3"/>
      <c r="JB883" s="3"/>
      <c r="JC883" s="3"/>
      <c r="JD883" s="3"/>
      <c r="JE883" s="3"/>
      <c r="JF883" s="3"/>
      <c r="JG883" s="3"/>
      <c r="JH883" s="3"/>
      <c r="JI883" s="3"/>
      <c r="JJ883" s="3"/>
      <c r="JK883" s="3"/>
      <c r="JL883" s="3"/>
      <c r="JM883" s="3"/>
      <c r="JN883" s="3"/>
      <c r="JO883" s="3"/>
      <c r="JP883" s="3"/>
      <c r="JQ883" s="3"/>
      <c r="JR883" s="3"/>
      <c r="JS883" s="3"/>
      <c r="JT883" s="3"/>
      <c r="JU883" s="3"/>
      <c r="JV883" s="3"/>
      <c r="JW883" s="3"/>
      <c r="JX883" s="3"/>
      <c r="JY883" s="3"/>
      <c r="JZ883" s="3"/>
      <c r="KA883" s="3"/>
      <c r="KB883" s="3"/>
      <c r="KC883" s="3"/>
      <c r="KD883" s="3"/>
      <c r="KE883" s="3"/>
      <c r="KF883" s="3"/>
      <c r="KG883" s="3"/>
      <c r="KH883" s="3"/>
      <c r="KI883" s="3"/>
      <c r="KJ883" s="3"/>
      <c r="KK883" s="3"/>
      <c r="KL883" s="3"/>
      <c r="KM883" s="3"/>
      <c r="KN883" s="3"/>
      <c r="KO883" s="3"/>
      <c r="KP883" s="3"/>
      <c r="KQ883" s="3"/>
      <c r="KR883" s="3"/>
      <c r="KS883" s="3"/>
      <c r="KT883" s="3"/>
      <c r="KU883" s="3"/>
      <c r="KV883" s="3"/>
      <c r="KW883" s="3"/>
      <c r="KX883" s="3"/>
      <c r="KY883" s="3"/>
      <c r="KZ883" s="3"/>
      <c r="LA883" s="3"/>
      <c r="LB883" s="3"/>
      <c r="LC883" s="3"/>
      <c r="LD883" s="3"/>
      <c r="LE883" s="3"/>
      <c r="LF883" s="3"/>
      <c r="LG883" s="3"/>
      <c r="LH883" s="3"/>
      <c r="LI883" s="3"/>
      <c r="LJ883" s="3"/>
      <c r="LK883" s="3"/>
      <c r="LL883" s="3"/>
      <c r="LM883" s="3"/>
      <c r="LN883" s="3"/>
      <c r="LO883" s="3"/>
      <c r="LP883" s="3"/>
      <c r="LQ883" s="3"/>
      <c r="LR883" s="3"/>
      <c r="LS883" s="3"/>
      <c r="LT883" s="3"/>
      <c r="LU883" s="3"/>
      <c r="LV883" s="3"/>
      <c r="LW883" s="3"/>
      <c r="LX883" s="3"/>
      <c r="LY883" s="3"/>
      <c r="LZ883" s="3"/>
      <c r="MA883" s="3"/>
      <c r="MB883" s="3"/>
      <c r="MC883" s="3"/>
      <c r="MD883" s="3"/>
      <c r="ME883" s="3"/>
      <c r="MF883" s="3"/>
      <c r="MG883" s="3"/>
      <c r="MH883" s="3"/>
      <c r="MI883" s="3"/>
    </row>
    <row r="884" spans="1:347"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c r="HX884" s="3"/>
      <c r="HY884" s="3"/>
      <c r="HZ884" s="3"/>
      <c r="IA884" s="3"/>
      <c r="IB884" s="3"/>
      <c r="IC884" s="3"/>
      <c r="ID884" s="3"/>
      <c r="IE884" s="3"/>
      <c r="IF884" s="3"/>
      <c r="IG884" s="3"/>
      <c r="IH884" s="3"/>
      <c r="II884" s="3"/>
      <c r="IJ884" s="3"/>
      <c r="IK884" s="3"/>
      <c r="IL884" s="3"/>
      <c r="IM884" s="3"/>
      <c r="IN884" s="3"/>
      <c r="IO884" s="3"/>
      <c r="IP884" s="3"/>
      <c r="IQ884" s="3"/>
      <c r="IR884" s="3"/>
      <c r="IS884" s="3"/>
      <c r="IT884" s="3"/>
      <c r="IU884" s="3"/>
      <c r="IV884" s="3"/>
      <c r="IW884" s="3"/>
      <c r="IX884" s="3"/>
      <c r="IY884" s="3"/>
      <c r="IZ884" s="3"/>
      <c r="JA884" s="3"/>
      <c r="JB884" s="3"/>
      <c r="JC884" s="3"/>
      <c r="JD884" s="3"/>
      <c r="JE884" s="3"/>
      <c r="JF884" s="3"/>
      <c r="JG884" s="3"/>
      <c r="JH884" s="3"/>
      <c r="JI884" s="3"/>
      <c r="JJ884" s="3"/>
      <c r="JK884" s="3"/>
      <c r="JL884" s="3"/>
      <c r="JM884" s="3"/>
      <c r="JN884" s="3"/>
      <c r="JO884" s="3"/>
      <c r="JP884" s="3"/>
      <c r="JQ884" s="3"/>
      <c r="JR884" s="3"/>
      <c r="JS884" s="3"/>
      <c r="JT884" s="3"/>
      <c r="JU884" s="3"/>
      <c r="JV884" s="3"/>
      <c r="JW884" s="3"/>
      <c r="JX884" s="3"/>
      <c r="JY884" s="3"/>
      <c r="JZ884" s="3"/>
      <c r="KA884" s="3"/>
      <c r="KB884" s="3"/>
      <c r="KC884" s="3"/>
      <c r="KD884" s="3"/>
      <c r="KE884" s="3"/>
      <c r="KF884" s="3"/>
      <c r="KG884" s="3"/>
      <c r="KH884" s="3"/>
      <c r="KI884" s="3"/>
      <c r="KJ884" s="3"/>
      <c r="KK884" s="3"/>
      <c r="KL884" s="3"/>
      <c r="KM884" s="3"/>
      <c r="KN884" s="3"/>
      <c r="KO884" s="3"/>
      <c r="KP884" s="3"/>
      <c r="KQ884" s="3"/>
      <c r="KR884" s="3"/>
      <c r="KS884" s="3"/>
      <c r="KT884" s="3"/>
      <c r="KU884" s="3"/>
      <c r="KV884" s="3"/>
      <c r="KW884" s="3"/>
      <c r="KX884" s="3"/>
      <c r="KY884" s="3"/>
      <c r="KZ884" s="3"/>
      <c r="LA884" s="3"/>
      <c r="LB884" s="3"/>
      <c r="LC884" s="3"/>
      <c r="LD884" s="3"/>
      <c r="LE884" s="3"/>
      <c r="LF884" s="3"/>
      <c r="LG884" s="3"/>
      <c r="LH884" s="3"/>
      <c r="LI884" s="3"/>
      <c r="LJ884" s="3"/>
      <c r="LK884" s="3"/>
      <c r="LL884" s="3"/>
      <c r="LM884" s="3"/>
      <c r="LN884" s="3"/>
      <c r="LO884" s="3"/>
      <c r="LP884" s="3"/>
      <c r="LQ884" s="3"/>
      <c r="LR884" s="3"/>
      <c r="LS884" s="3"/>
      <c r="LT884" s="3"/>
      <c r="LU884" s="3"/>
      <c r="LV884" s="3"/>
      <c r="LW884" s="3"/>
      <c r="LX884" s="3"/>
      <c r="LY884" s="3"/>
      <c r="LZ884" s="3"/>
      <c r="MA884" s="3"/>
      <c r="MB884" s="3"/>
      <c r="MC884" s="3"/>
      <c r="MD884" s="3"/>
      <c r="ME884" s="3"/>
      <c r="MF884" s="3"/>
      <c r="MG884" s="3"/>
      <c r="MH884" s="3"/>
      <c r="MI884" s="3"/>
    </row>
    <row r="885" spans="1:347"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c r="HX885" s="3"/>
      <c r="HY885" s="3"/>
      <c r="HZ885" s="3"/>
      <c r="IA885" s="3"/>
      <c r="IB885" s="3"/>
      <c r="IC885" s="3"/>
      <c r="ID885" s="3"/>
      <c r="IE885" s="3"/>
      <c r="IF885" s="3"/>
      <c r="IG885" s="3"/>
      <c r="IH885" s="3"/>
      <c r="II885" s="3"/>
      <c r="IJ885" s="3"/>
      <c r="IK885" s="3"/>
      <c r="IL885" s="3"/>
      <c r="IM885" s="3"/>
      <c r="IN885" s="3"/>
      <c r="IO885" s="3"/>
      <c r="IP885" s="3"/>
      <c r="IQ885" s="3"/>
      <c r="IR885" s="3"/>
      <c r="IS885" s="3"/>
      <c r="IT885" s="3"/>
      <c r="IU885" s="3"/>
      <c r="IV885" s="3"/>
      <c r="IW885" s="3"/>
      <c r="IX885" s="3"/>
      <c r="IY885" s="3"/>
      <c r="IZ885" s="3"/>
      <c r="JA885" s="3"/>
      <c r="JB885" s="3"/>
      <c r="JC885" s="3"/>
      <c r="JD885" s="3"/>
      <c r="JE885" s="3"/>
      <c r="JF885" s="3"/>
      <c r="JG885" s="3"/>
      <c r="JH885" s="3"/>
      <c r="JI885" s="3"/>
      <c r="JJ885" s="3"/>
      <c r="JK885" s="3"/>
      <c r="JL885" s="3"/>
      <c r="JM885" s="3"/>
      <c r="JN885" s="3"/>
      <c r="JO885" s="3"/>
      <c r="JP885" s="3"/>
      <c r="JQ885" s="3"/>
      <c r="JR885" s="3"/>
      <c r="JS885" s="3"/>
      <c r="JT885" s="3"/>
      <c r="JU885" s="3"/>
      <c r="JV885" s="3"/>
      <c r="JW885" s="3"/>
      <c r="JX885" s="3"/>
      <c r="JY885" s="3"/>
      <c r="JZ885" s="3"/>
      <c r="KA885" s="3"/>
      <c r="KB885" s="3"/>
      <c r="KC885" s="3"/>
      <c r="KD885" s="3"/>
      <c r="KE885" s="3"/>
      <c r="KF885" s="3"/>
      <c r="KG885" s="3"/>
      <c r="KH885" s="3"/>
      <c r="KI885" s="3"/>
      <c r="KJ885" s="3"/>
      <c r="KK885" s="3"/>
      <c r="KL885" s="3"/>
      <c r="KM885" s="3"/>
      <c r="KN885" s="3"/>
      <c r="KO885" s="3"/>
      <c r="KP885" s="3"/>
      <c r="KQ885" s="3"/>
      <c r="KR885" s="3"/>
      <c r="KS885" s="3"/>
      <c r="KT885" s="3"/>
      <c r="KU885" s="3"/>
      <c r="KV885" s="3"/>
      <c r="KW885" s="3"/>
      <c r="KX885" s="3"/>
      <c r="KY885" s="3"/>
      <c r="KZ885" s="3"/>
      <c r="LA885" s="3"/>
      <c r="LB885" s="3"/>
      <c r="LC885" s="3"/>
      <c r="LD885" s="3"/>
      <c r="LE885" s="3"/>
      <c r="LF885" s="3"/>
      <c r="LG885" s="3"/>
      <c r="LH885" s="3"/>
      <c r="LI885" s="3"/>
      <c r="LJ885" s="3"/>
      <c r="LK885" s="3"/>
      <c r="LL885" s="3"/>
      <c r="LM885" s="3"/>
      <c r="LN885" s="3"/>
      <c r="LO885" s="3"/>
      <c r="LP885" s="3"/>
      <c r="LQ885" s="3"/>
      <c r="LR885" s="3"/>
      <c r="LS885" s="3"/>
      <c r="LT885" s="3"/>
      <c r="LU885" s="3"/>
      <c r="LV885" s="3"/>
      <c r="LW885" s="3"/>
      <c r="LX885" s="3"/>
      <c r="LY885" s="3"/>
      <c r="LZ885" s="3"/>
      <c r="MA885" s="3"/>
      <c r="MB885" s="3"/>
      <c r="MC885" s="3"/>
      <c r="MD885" s="3"/>
      <c r="ME885" s="3"/>
      <c r="MF885" s="3"/>
      <c r="MG885" s="3"/>
      <c r="MH885" s="3"/>
      <c r="MI885" s="3"/>
    </row>
    <row r="886" spans="1:347"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c r="HX886" s="3"/>
      <c r="HY886" s="3"/>
      <c r="HZ886" s="3"/>
      <c r="IA886" s="3"/>
      <c r="IB886" s="3"/>
      <c r="IC886" s="3"/>
      <c r="ID886" s="3"/>
      <c r="IE886" s="3"/>
      <c r="IF886" s="3"/>
      <c r="IG886" s="3"/>
      <c r="IH886" s="3"/>
      <c r="II886" s="3"/>
      <c r="IJ886" s="3"/>
      <c r="IK886" s="3"/>
      <c r="IL886" s="3"/>
      <c r="IM886" s="3"/>
      <c r="IN886" s="3"/>
      <c r="IO886" s="3"/>
      <c r="IP886" s="3"/>
      <c r="IQ886" s="3"/>
      <c r="IR886" s="3"/>
      <c r="IS886" s="3"/>
      <c r="IT886" s="3"/>
      <c r="IU886" s="3"/>
      <c r="IV886" s="3"/>
      <c r="IW886" s="3"/>
      <c r="IX886" s="3"/>
      <c r="IY886" s="3"/>
      <c r="IZ886" s="3"/>
      <c r="JA886" s="3"/>
      <c r="JB886" s="3"/>
      <c r="JC886" s="3"/>
      <c r="JD886" s="3"/>
      <c r="JE886" s="3"/>
      <c r="JF886" s="3"/>
      <c r="JG886" s="3"/>
      <c r="JH886" s="3"/>
      <c r="JI886" s="3"/>
      <c r="JJ886" s="3"/>
      <c r="JK886" s="3"/>
      <c r="JL886" s="3"/>
      <c r="JM886" s="3"/>
      <c r="JN886" s="3"/>
      <c r="JO886" s="3"/>
      <c r="JP886" s="3"/>
      <c r="JQ886" s="3"/>
      <c r="JR886" s="3"/>
      <c r="JS886" s="3"/>
      <c r="JT886" s="3"/>
      <c r="JU886" s="3"/>
      <c r="JV886" s="3"/>
      <c r="JW886" s="3"/>
      <c r="JX886" s="3"/>
      <c r="JY886" s="3"/>
      <c r="JZ886" s="3"/>
      <c r="KA886" s="3"/>
      <c r="KB886" s="3"/>
      <c r="KC886" s="3"/>
      <c r="KD886" s="3"/>
      <c r="KE886" s="3"/>
      <c r="KF886" s="3"/>
      <c r="KG886" s="3"/>
      <c r="KH886" s="3"/>
      <c r="KI886" s="3"/>
      <c r="KJ886" s="3"/>
      <c r="KK886" s="3"/>
      <c r="KL886" s="3"/>
      <c r="KM886" s="3"/>
      <c r="KN886" s="3"/>
      <c r="KO886" s="3"/>
      <c r="KP886" s="3"/>
      <c r="KQ886" s="3"/>
      <c r="KR886" s="3"/>
      <c r="KS886" s="3"/>
      <c r="KT886" s="3"/>
      <c r="KU886" s="3"/>
      <c r="KV886" s="3"/>
      <c r="KW886" s="3"/>
      <c r="KX886" s="3"/>
      <c r="KY886" s="3"/>
      <c r="KZ886" s="3"/>
      <c r="LA886" s="3"/>
      <c r="LB886" s="3"/>
      <c r="LC886" s="3"/>
      <c r="LD886" s="3"/>
      <c r="LE886" s="3"/>
      <c r="LF886" s="3"/>
      <c r="LG886" s="3"/>
      <c r="LH886" s="3"/>
      <c r="LI886" s="3"/>
      <c r="LJ886" s="3"/>
      <c r="LK886" s="3"/>
      <c r="LL886" s="3"/>
      <c r="LM886" s="3"/>
      <c r="LN886" s="3"/>
      <c r="LO886" s="3"/>
      <c r="LP886" s="3"/>
      <c r="LQ886" s="3"/>
      <c r="LR886" s="3"/>
      <c r="LS886" s="3"/>
      <c r="LT886" s="3"/>
      <c r="LU886" s="3"/>
      <c r="LV886" s="3"/>
      <c r="LW886" s="3"/>
      <c r="LX886" s="3"/>
      <c r="LY886" s="3"/>
      <c r="LZ886" s="3"/>
      <c r="MA886" s="3"/>
      <c r="MB886" s="3"/>
      <c r="MC886" s="3"/>
      <c r="MD886" s="3"/>
      <c r="ME886" s="3"/>
      <c r="MF886" s="3"/>
      <c r="MG886" s="3"/>
      <c r="MH886" s="3"/>
      <c r="MI886" s="3"/>
    </row>
    <row r="887" spans="1:347"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c r="HX887" s="3"/>
      <c r="HY887" s="3"/>
      <c r="HZ887" s="3"/>
      <c r="IA887" s="3"/>
      <c r="IB887" s="3"/>
      <c r="IC887" s="3"/>
      <c r="ID887" s="3"/>
      <c r="IE887" s="3"/>
      <c r="IF887" s="3"/>
      <c r="IG887" s="3"/>
      <c r="IH887" s="3"/>
      <c r="II887" s="3"/>
      <c r="IJ887" s="3"/>
      <c r="IK887" s="3"/>
      <c r="IL887" s="3"/>
      <c r="IM887" s="3"/>
      <c r="IN887" s="3"/>
      <c r="IO887" s="3"/>
      <c r="IP887" s="3"/>
      <c r="IQ887" s="3"/>
      <c r="IR887" s="3"/>
      <c r="IS887" s="3"/>
      <c r="IT887" s="3"/>
      <c r="IU887" s="3"/>
      <c r="IV887" s="3"/>
      <c r="IW887" s="3"/>
      <c r="IX887" s="3"/>
      <c r="IY887" s="3"/>
      <c r="IZ887" s="3"/>
      <c r="JA887" s="3"/>
      <c r="JB887" s="3"/>
      <c r="JC887" s="3"/>
      <c r="JD887" s="3"/>
      <c r="JE887" s="3"/>
      <c r="JF887" s="3"/>
      <c r="JG887" s="3"/>
      <c r="JH887" s="3"/>
      <c r="JI887" s="3"/>
      <c r="JJ887" s="3"/>
      <c r="JK887" s="3"/>
      <c r="JL887" s="3"/>
      <c r="JM887" s="3"/>
      <c r="JN887" s="3"/>
      <c r="JO887" s="3"/>
      <c r="JP887" s="3"/>
      <c r="JQ887" s="3"/>
      <c r="JR887" s="3"/>
      <c r="JS887" s="3"/>
      <c r="JT887" s="3"/>
      <c r="JU887" s="3"/>
      <c r="JV887" s="3"/>
      <c r="JW887" s="3"/>
      <c r="JX887" s="3"/>
      <c r="JY887" s="3"/>
      <c r="JZ887" s="3"/>
      <c r="KA887" s="3"/>
      <c r="KB887" s="3"/>
      <c r="KC887" s="3"/>
      <c r="KD887" s="3"/>
      <c r="KE887" s="3"/>
      <c r="KF887" s="3"/>
      <c r="KG887" s="3"/>
      <c r="KH887" s="3"/>
      <c r="KI887" s="3"/>
      <c r="KJ887" s="3"/>
      <c r="KK887" s="3"/>
      <c r="KL887" s="3"/>
      <c r="KM887" s="3"/>
      <c r="KN887" s="3"/>
      <c r="KO887" s="3"/>
      <c r="KP887" s="3"/>
      <c r="KQ887" s="3"/>
      <c r="KR887" s="3"/>
      <c r="KS887" s="3"/>
      <c r="KT887" s="3"/>
      <c r="KU887" s="3"/>
      <c r="KV887" s="3"/>
      <c r="KW887" s="3"/>
      <c r="KX887" s="3"/>
      <c r="KY887" s="3"/>
      <c r="KZ887" s="3"/>
      <c r="LA887" s="3"/>
      <c r="LB887" s="3"/>
      <c r="LC887" s="3"/>
      <c r="LD887" s="3"/>
      <c r="LE887" s="3"/>
      <c r="LF887" s="3"/>
      <c r="LG887" s="3"/>
      <c r="LH887" s="3"/>
      <c r="LI887" s="3"/>
      <c r="LJ887" s="3"/>
      <c r="LK887" s="3"/>
      <c r="LL887" s="3"/>
      <c r="LM887" s="3"/>
      <c r="LN887" s="3"/>
      <c r="LO887" s="3"/>
      <c r="LP887" s="3"/>
      <c r="LQ887" s="3"/>
      <c r="LR887" s="3"/>
      <c r="LS887" s="3"/>
      <c r="LT887" s="3"/>
      <c r="LU887" s="3"/>
      <c r="LV887" s="3"/>
      <c r="LW887" s="3"/>
      <c r="LX887" s="3"/>
      <c r="LY887" s="3"/>
      <c r="LZ887" s="3"/>
      <c r="MA887" s="3"/>
      <c r="MB887" s="3"/>
      <c r="MC887" s="3"/>
      <c r="MD887" s="3"/>
      <c r="ME887" s="3"/>
      <c r="MF887" s="3"/>
      <c r="MG887" s="3"/>
      <c r="MH887" s="3"/>
      <c r="MI887" s="3"/>
    </row>
    <row r="888" spans="1:347"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c r="HX888" s="3"/>
      <c r="HY888" s="3"/>
      <c r="HZ888" s="3"/>
      <c r="IA888" s="3"/>
      <c r="IB888" s="3"/>
      <c r="IC888" s="3"/>
      <c r="ID888" s="3"/>
      <c r="IE888" s="3"/>
      <c r="IF888" s="3"/>
      <c r="IG888" s="3"/>
      <c r="IH888" s="3"/>
      <c r="II888" s="3"/>
      <c r="IJ888" s="3"/>
      <c r="IK888" s="3"/>
      <c r="IL888" s="3"/>
      <c r="IM888" s="3"/>
      <c r="IN888" s="3"/>
      <c r="IO888" s="3"/>
      <c r="IP888" s="3"/>
      <c r="IQ888" s="3"/>
      <c r="IR888" s="3"/>
      <c r="IS888" s="3"/>
      <c r="IT888" s="3"/>
      <c r="IU888" s="3"/>
      <c r="IV888" s="3"/>
      <c r="IW888" s="3"/>
      <c r="IX888" s="3"/>
      <c r="IY888" s="3"/>
      <c r="IZ888" s="3"/>
      <c r="JA888" s="3"/>
      <c r="JB888" s="3"/>
      <c r="JC888" s="3"/>
      <c r="JD888" s="3"/>
      <c r="JE888" s="3"/>
      <c r="JF888" s="3"/>
      <c r="JG888" s="3"/>
      <c r="JH888" s="3"/>
      <c r="JI888" s="3"/>
      <c r="JJ888" s="3"/>
      <c r="JK888" s="3"/>
      <c r="JL888" s="3"/>
      <c r="JM888" s="3"/>
      <c r="JN888" s="3"/>
      <c r="JO888" s="3"/>
      <c r="JP888" s="3"/>
      <c r="JQ888" s="3"/>
      <c r="JR888" s="3"/>
      <c r="JS888" s="3"/>
      <c r="JT888" s="3"/>
      <c r="JU888" s="3"/>
      <c r="JV888" s="3"/>
      <c r="JW888" s="3"/>
      <c r="JX888" s="3"/>
      <c r="JY888" s="3"/>
      <c r="JZ888" s="3"/>
      <c r="KA888" s="3"/>
      <c r="KB888" s="3"/>
      <c r="KC888" s="3"/>
      <c r="KD888" s="3"/>
      <c r="KE888" s="3"/>
      <c r="KF888" s="3"/>
      <c r="KG888" s="3"/>
      <c r="KH888" s="3"/>
      <c r="KI888" s="3"/>
      <c r="KJ888" s="3"/>
      <c r="KK888" s="3"/>
      <c r="KL888" s="3"/>
      <c r="KM888" s="3"/>
      <c r="KN888" s="3"/>
      <c r="KO888" s="3"/>
      <c r="KP888" s="3"/>
      <c r="KQ888" s="3"/>
      <c r="KR888" s="3"/>
      <c r="KS888" s="3"/>
      <c r="KT888" s="3"/>
      <c r="KU888" s="3"/>
      <c r="KV888" s="3"/>
      <c r="KW888" s="3"/>
      <c r="KX888" s="3"/>
      <c r="KY888" s="3"/>
      <c r="KZ888" s="3"/>
      <c r="LA888" s="3"/>
      <c r="LB888" s="3"/>
      <c r="LC888" s="3"/>
      <c r="LD888" s="3"/>
      <c r="LE888" s="3"/>
      <c r="LF888" s="3"/>
      <c r="LG888" s="3"/>
      <c r="LH888" s="3"/>
      <c r="LI888" s="3"/>
      <c r="LJ888" s="3"/>
      <c r="LK888" s="3"/>
      <c r="LL888" s="3"/>
      <c r="LM888" s="3"/>
      <c r="LN888" s="3"/>
      <c r="LO888" s="3"/>
      <c r="LP888" s="3"/>
      <c r="LQ888" s="3"/>
      <c r="LR888" s="3"/>
      <c r="LS888" s="3"/>
      <c r="LT888" s="3"/>
      <c r="LU888" s="3"/>
      <c r="LV888" s="3"/>
      <c r="LW888" s="3"/>
      <c r="LX888" s="3"/>
      <c r="LY888" s="3"/>
      <c r="LZ888" s="3"/>
      <c r="MA888" s="3"/>
      <c r="MB888" s="3"/>
      <c r="MC888" s="3"/>
      <c r="MD888" s="3"/>
      <c r="ME888" s="3"/>
      <c r="MF888" s="3"/>
      <c r="MG888" s="3"/>
      <c r="MH888" s="3"/>
      <c r="MI888" s="3"/>
    </row>
    <row r="889" spans="1:347"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c r="HX889" s="3"/>
      <c r="HY889" s="3"/>
      <c r="HZ889" s="3"/>
      <c r="IA889" s="3"/>
      <c r="IB889" s="3"/>
      <c r="IC889" s="3"/>
      <c r="ID889" s="3"/>
      <c r="IE889" s="3"/>
      <c r="IF889" s="3"/>
      <c r="IG889" s="3"/>
      <c r="IH889" s="3"/>
      <c r="II889" s="3"/>
      <c r="IJ889" s="3"/>
      <c r="IK889" s="3"/>
      <c r="IL889" s="3"/>
      <c r="IM889" s="3"/>
      <c r="IN889" s="3"/>
      <c r="IO889" s="3"/>
      <c r="IP889" s="3"/>
      <c r="IQ889" s="3"/>
      <c r="IR889" s="3"/>
      <c r="IS889" s="3"/>
      <c r="IT889" s="3"/>
      <c r="IU889" s="3"/>
      <c r="IV889" s="3"/>
      <c r="IW889" s="3"/>
      <c r="IX889" s="3"/>
      <c r="IY889" s="3"/>
      <c r="IZ889" s="3"/>
      <c r="JA889" s="3"/>
      <c r="JB889" s="3"/>
      <c r="JC889" s="3"/>
      <c r="JD889" s="3"/>
      <c r="JE889" s="3"/>
      <c r="JF889" s="3"/>
      <c r="JG889" s="3"/>
      <c r="JH889" s="3"/>
      <c r="JI889" s="3"/>
      <c r="JJ889" s="3"/>
      <c r="JK889" s="3"/>
      <c r="JL889" s="3"/>
      <c r="JM889" s="3"/>
      <c r="JN889" s="3"/>
      <c r="JO889" s="3"/>
      <c r="JP889" s="3"/>
      <c r="JQ889" s="3"/>
      <c r="JR889" s="3"/>
      <c r="JS889" s="3"/>
      <c r="JT889" s="3"/>
      <c r="JU889" s="3"/>
      <c r="JV889" s="3"/>
      <c r="JW889" s="3"/>
      <c r="JX889" s="3"/>
      <c r="JY889" s="3"/>
      <c r="JZ889" s="3"/>
      <c r="KA889" s="3"/>
      <c r="KB889" s="3"/>
      <c r="KC889" s="3"/>
      <c r="KD889" s="3"/>
      <c r="KE889" s="3"/>
      <c r="KF889" s="3"/>
      <c r="KG889" s="3"/>
      <c r="KH889" s="3"/>
      <c r="KI889" s="3"/>
      <c r="KJ889" s="3"/>
      <c r="KK889" s="3"/>
      <c r="KL889" s="3"/>
      <c r="KM889" s="3"/>
      <c r="KN889" s="3"/>
      <c r="KO889" s="3"/>
      <c r="KP889" s="3"/>
      <c r="KQ889" s="3"/>
      <c r="KR889" s="3"/>
      <c r="KS889" s="3"/>
      <c r="KT889" s="3"/>
      <c r="KU889" s="3"/>
      <c r="KV889" s="3"/>
      <c r="KW889" s="3"/>
      <c r="KX889" s="3"/>
      <c r="KY889" s="3"/>
      <c r="KZ889" s="3"/>
      <c r="LA889" s="3"/>
      <c r="LB889" s="3"/>
      <c r="LC889" s="3"/>
      <c r="LD889" s="3"/>
      <c r="LE889" s="3"/>
      <c r="LF889" s="3"/>
      <c r="LG889" s="3"/>
      <c r="LH889" s="3"/>
      <c r="LI889" s="3"/>
      <c r="LJ889" s="3"/>
      <c r="LK889" s="3"/>
      <c r="LL889" s="3"/>
      <c r="LM889" s="3"/>
      <c r="LN889" s="3"/>
      <c r="LO889" s="3"/>
      <c r="LP889" s="3"/>
      <c r="LQ889" s="3"/>
      <c r="LR889" s="3"/>
      <c r="LS889" s="3"/>
      <c r="LT889" s="3"/>
      <c r="LU889" s="3"/>
      <c r="LV889" s="3"/>
      <c r="LW889" s="3"/>
      <c r="LX889" s="3"/>
      <c r="LY889" s="3"/>
      <c r="LZ889" s="3"/>
      <c r="MA889" s="3"/>
      <c r="MB889" s="3"/>
      <c r="MC889" s="3"/>
      <c r="MD889" s="3"/>
      <c r="ME889" s="3"/>
      <c r="MF889" s="3"/>
      <c r="MG889" s="3"/>
      <c r="MH889" s="3"/>
      <c r="MI889" s="3"/>
    </row>
    <row r="890" spans="1:347"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c r="HX890" s="3"/>
      <c r="HY890" s="3"/>
      <c r="HZ890" s="3"/>
      <c r="IA890" s="3"/>
      <c r="IB890" s="3"/>
      <c r="IC890" s="3"/>
      <c r="ID890" s="3"/>
      <c r="IE890" s="3"/>
      <c r="IF890" s="3"/>
      <c r="IG890" s="3"/>
      <c r="IH890" s="3"/>
      <c r="II890" s="3"/>
      <c r="IJ890" s="3"/>
      <c r="IK890" s="3"/>
      <c r="IL890" s="3"/>
      <c r="IM890" s="3"/>
      <c r="IN890" s="3"/>
      <c r="IO890" s="3"/>
      <c r="IP890" s="3"/>
      <c r="IQ890" s="3"/>
      <c r="IR890" s="3"/>
      <c r="IS890" s="3"/>
      <c r="IT890" s="3"/>
      <c r="IU890" s="3"/>
      <c r="IV890" s="3"/>
      <c r="IW890" s="3"/>
      <c r="IX890" s="3"/>
      <c r="IY890" s="3"/>
      <c r="IZ890" s="3"/>
      <c r="JA890" s="3"/>
      <c r="JB890" s="3"/>
      <c r="JC890" s="3"/>
      <c r="JD890" s="3"/>
      <c r="JE890" s="3"/>
      <c r="JF890" s="3"/>
      <c r="JG890" s="3"/>
      <c r="JH890" s="3"/>
      <c r="JI890" s="3"/>
      <c r="JJ890" s="3"/>
      <c r="JK890" s="3"/>
      <c r="JL890" s="3"/>
      <c r="JM890" s="3"/>
      <c r="JN890" s="3"/>
      <c r="JO890" s="3"/>
      <c r="JP890" s="3"/>
      <c r="JQ890" s="3"/>
      <c r="JR890" s="3"/>
      <c r="JS890" s="3"/>
      <c r="JT890" s="3"/>
      <c r="JU890" s="3"/>
      <c r="JV890" s="3"/>
      <c r="JW890" s="3"/>
      <c r="JX890" s="3"/>
      <c r="JY890" s="3"/>
      <c r="JZ890" s="3"/>
      <c r="KA890" s="3"/>
      <c r="KB890" s="3"/>
      <c r="KC890" s="3"/>
      <c r="KD890" s="3"/>
      <c r="KE890" s="3"/>
      <c r="KF890" s="3"/>
      <c r="KG890" s="3"/>
      <c r="KH890" s="3"/>
      <c r="KI890" s="3"/>
      <c r="KJ890" s="3"/>
      <c r="KK890" s="3"/>
      <c r="KL890" s="3"/>
      <c r="KM890" s="3"/>
      <c r="KN890" s="3"/>
      <c r="KO890" s="3"/>
      <c r="KP890" s="3"/>
      <c r="KQ890" s="3"/>
      <c r="KR890" s="3"/>
      <c r="KS890" s="3"/>
      <c r="KT890" s="3"/>
      <c r="KU890" s="3"/>
      <c r="KV890" s="3"/>
      <c r="KW890" s="3"/>
      <c r="KX890" s="3"/>
      <c r="KY890" s="3"/>
      <c r="KZ890" s="3"/>
      <c r="LA890" s="3"/>
      <c r="LB890" s="3"/>
      <c r="LC890" s="3"/>
      <c r="LD890" s="3"/>
      <c r="LE890" s="3"/>
      <c r="LF890" s="3"/>
      <c r="LG890" s="3"/>
      <c r="LH890" s="3"/>
      <c r="LI890" s="3"/>
      <c r="LJ890" s="3"/>
      <c r="LK890" s="3"/>
      <c r="LL890" s="3"/>
      <c r="LM890" s="3"/>
      <c r="LN890" s="3"/>
      <c r="LO890" s="3"/>
      <c r="LP890" s="3"/>
      <c r="LQ890" s="3"/>
      <c r="LR890" s="3"/>
      <c r="LS890" s="3"/>
      <c r="LT890" s="3"/>
      <c r="LU890" s="3"/>
      <c r="LV890" s="3"/>
      <c r="LW890" s="3"/>
      <c r="LX890" s="3"/>
      <c r="LY890" s="3"/>
      <c r="LZ890" s="3"/>
      <c r="MA890" s="3"/>
      <c r="MB890" s="3"/>
      <c r="MC890" s="3"/>
      <c r="MD890" s="3"/>
      <c r="ME890" s="3"/>
      <c r="MF890" s="3"/>
      <c r="MG890" s="3"/>
      <c r="MH890" s="3"/>
      <c r="MI890" s="3"/>
    </row>
    <row r="891" spans="1:347"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c r="HX891" s="3"/>
      <c r="HY891" s="3"/>
      <c r="HZ891" s="3"/>
      <c r="IA891" s="3"/>
      <c r="IB891" s="3"/>
      <c r="IC891" s="3"/>
      <c r="ID891" s="3"/>
      <c r="IE891" s="3"/>
      <c r="IF891" s="3"/>
      <c r="IG891" s="3"/>
      <c r="IH891" s="3"/>
      <c r="II891" s="3"/>
      <c r="IJ891" s="3"/>
      <c r="IK891" s="3"/>
      <c r="IL891" s="3"/>
      <c r="IM891" s="3"/>
      <c r="IN891" s="3"/>
      <c r="IO891" s="3"/>
      <c r="IP891" s="3"/>
      <c r="IQ891" s="3"/>
      <c r="IR891" s="3"/>
      <c r="IS891" s="3"/>
      <c r="IT891" s="3"/>
      <c r="IU891" s="3"/>
      <c r="IV891" s="3"/>
      <c r="IW891" s="3"/>
      <c r="IX891" s="3"/>
      <c r="IY891" s="3"/>
      <c r="IZ891" s="3"/>
      <c r="JA891" s="3"/>
      <c r="JB891" s="3"/>
      <c r="JC891" s="3"/>
      <c r="JD891" s="3"/>
      <c r="JE891" s="3"/>
      <c r="JF891" s="3"/>
      <c r="JG891" s="3"/>
      <c r="JH891" s="3"/>
      <c r="JI891" s="3"/>
      <c r="JJ891" s="3"/>
      <c r="JK891" s="3"/>
      <c r="JL891" s="3"/>
      <c r="JM891" s="3"/>
      <c r="JN891" s="3"/>
      <c r="JO891" s="3"/>
      <c r="JP891" s="3"/>
      <c r="JQ891" s="3"/>
      <c r="JR891" s="3"/>
      <c r="JS891" s="3"/>
      <c r="JT891" s="3"/>
      <c r="JU891" s="3"/>
      <c r="JV891" s="3"/>
      <c r="JW891" s="3"/>
      <c r="JX891" s="3"/>
      <c r="JY891" s="3"/>
      <c r="JZ891" s="3"/>
      <c r="KA891" s="3"/>
      <c r="KB891" s="3"/>
      <c r="KC891" s="3"/>
      <c r="KD891" s="3"/>
      <c r="KE891" s="3"/>
      <c r="KF891" s="3"/>
      <c r="KG891" s="3"/>
      <c r="KH891" s="3"/>
      <c r="KI891" s="3"/>
      <c r="KJ891" s="3"/>
      <c r="KK891" s="3"/>
      <c r="KL891" s="3"/>
      <c r="KM891" s="3"/>
      <c r="KN891" s="3"/>
      <c r="KO891" s="3"/>
      <c r="KP891" s="3"/>
      <c r="KQ891" s="3"/>
      <c r="KR891" s="3"/>
      <c r="KS891" s="3"/>
      <c r="KT891" s="3"/>
      <c r="KU891" s="3"/>
      <c r="KV891" s="3"/>
      <c r="KW891" s="3"/>
      <c r="KX891" s="3"/>
      <c r="KY891" s="3"/>
      <c r="KZ891" s="3"/>
      <c r="LA891" s="3"/>
      <c r="LB891" s="3"/>
      <c r="LC891" s="3"/>
      <c r="LD891" s="3"/>
      <c r="LE891" s="3"/>
      <c r="LF891" s="3"/>
      <c r="LG891" s="3"/>
      <c r="LH891" s="3"/>
      <c r="LI891" s="3"/>
      <c r="LJ891" s="3"/>
      <c r="LK891" s="3"/>
      <c r="LL891" s="3"/>
      <c r="LM891" s="3"/>
      <c r="LN891" s="3"/>
      <c r="LO891" s="3"/>
      <c r="LP891" s="3"/>
      <c r="LQ891" s="3"/>
      <c r="LR891" s="3"/>
      <c r="LS891" s="3"/>
      <c r="LT891" s="3"/>
      <c r="LU891" s="3"/>
      <c r="LV891" s="3"/>
      <c r="LW891" s="3"/>
      <c r="LX891" s="3"/>
      <c r="LY891" s="3"/>
      <c r="LZ891" s="3"/>
      <c r="MA891" s="3"/>
      <c r="MB891" s="3"/>
      <c r="MC891" s="3"/>
      <c r="MD891" s="3"/>
      <c r="ME891" s="3"/>
      <c r="MF891" s="3"/>
      <c r="MG891" s="3"/>
      <c r="MH891" s="3"/>
      <c r="MI891" s="3"/>
    </row>
    <row r="892" spans="1:347"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c r="HX892" s="3"/>
      <c r="HY892" s="3"/>
      <c r="HZ892" s="3"/>
      <c r="IA892" s="3"/>
      <c r="IB892" s="3"/>
      <c r="IC892" s="3"/>
      <c r="ID892" s="3"/>
      <c r="IE892" s="3"/>
      <c r="IF892" s="3"/>
      <c r="IG892" s="3"/>
      <c r="IH892" s="3"/>
      <c r="II892" s="3"/>
      <c r="IJ892" s="3"/>
      <c r="IK892" s="3"/>
      <c r="IL892" s="3"/>
      <c r="IM892" s="3"/>
      <c r="IN892" s="3"/>
      <c r="IO892" s="3"/>
      <c r="IP892" s="3"/>
      <c r="IQ892" s="3"/>
      <c r="IR892" s="3"/>
      <c r="IS892" s="3"/>
      <c r="IT892" s="3"/>
      <c r="IU892" s="3"/>
      <c r="IV892" s="3"/>
      <c r="IW892" s="3"/>
      <c r="IX892" s="3"/>
      <c r="IY892" s="3"/>
      <c r="IZ892" s="3"/>
      <c r="JA892" s="3"/>
      <c r="JB892" s="3"/>
      <c r="JC892" s="3"/>
      <c r="JD892" s="3"/>
      <c r="JE892" s="3"/>
      <c r="JF892" s="3"/>
      <c r="JG892" s="3"/>
      <c r="JH892" s="3"/>
      <c r="JI892" s="3"/>
      <c r="JJ892" s="3"/>
      <c r="JK892" s="3"/>
      <c r="JL892" s="3"/>
      <c r="JM892" s="3"/>
      <c r="JN892" s="3"/>
      <c r="JO892" s="3"/>
      <c r="JP892" s="3"/>
      <c r="JQ892" s="3"/>
      <c r="JR892" s="3"/>
      <c r="JS892" s="3"/>
      <c r="JT892" s="3"/>
      <c r="JU892" s="3"/>
      <c r="JV892" s="3"/>
      <c r="JW892" s="3"/>
      <c r="JX892" s="3"/>
      <c r="JY892" s="3"/>
      <c r="JZ892" s="3"/>
      <c r="KA892" s="3"/>
      <c r="KB892" s="3"/>
      <c r="KC892" s="3"/>
      <c r="KD892" s="3"/>
      <c r="KE892" s="3"/>
      <c r="KF892" s="3"/>
      <c r="KG892" s="3"/>
      <c r="KH892" s="3"/>
      <c r="KI892" s="3"/>
      <c r="KJ892" s="3"/>
      <c r="KK892" s="3"/>
      <c r="KL892" s="3"/>
      <c r="KM892" s="3"/>
      <c r="KN892" s="3"/>
      <c r="KO892" s="3"/>
      <c r="KP892" s="3"/>
      <c r="KQ892" s="3"/>
      <c r="KR892" s="3"/>
      <c r="KS892" s="3"/>
      <c r="KT892" s="3"/>
      <c r="KU892" s="3"/>
      <c r="KV892" s="3"/>
      <c r="KW892" s="3"/>
      <c r="KX892" s="3"/>
      <c r="KY892" s="3"/>
      <c r="KZ892" s="3"/>
      <c r="LA892" s="3"/>
      <c r="LB892" s="3"/>
      <c r="LC892" s="3"/>
      <c r="LD892" s="3"/>
      <c r="LE892" s="3"/>
      <c r="LF892" s="3"/>
      <c r="LG892" s="3"/>
      <c r="LH892" s="3"/>
      <c r="LI892" s="3"/>
      <c r="LJ892" s="3"/>
      <c r="LK892" s="3"/>
      <c r="LL892" s="3"/>
      <c r="LM892" s="3"/>
      <c r="LN892" s="3"/>
      <c r="LO892" s="3"/>
      <c r="LP892" s="3"/>
      <c r="LQ892" s="3"/>
      <c r="LR892" s="3"/>
      <c r="LS892" s="3"/>
      <c r="LT892" s="3"/>
      <c r="LU892" s="3"/>
      <c r="LV892" s="3"/>
      <c r="LW892" s="3"/>
      <c r="LX892" s="3"/>
      <c r="LY892" s="3"/>
      <c r="LZ892" s="3"/>
      <c r="MA892" s="3"/>
      <c r="MB892" s="3"/>
      <c r="MC892" s="3"/>
      <c r="MD892" s="3"/>
      <c r="ME892" s="3"/>
      <c r="MF892" s="3"/>
      <c r="MG892" s="3"/>
      <c r="MH892" s="3"/>
      <c r="MI892" s="3"/>
    </row>
    <row r="893" spans="1:347"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c r="HX893" s="3"/>
      <c r="HY893" s="3"/>
      <c r="HZ893" s="3"/>
      <c r="IA893" s="3"/>
      <c r="IB893" s="3"/>
      <c r="IC893" s="3"/>
      <c r="ID893" s="3"/>
      <c r="IE893" s="3"/>
      <c r="IF893" s="3"/>
      <c r="IG893" s="3"/>
      <c r="IH893" s="3"/>
      <c r="II893" s="3"/>
      <c r="IJ893" s="3"/>
      <c r="IK893" s="3"/>
      <c r="IL893" s="3"/>
      <c r="IM893" s="3"/>
      <c r="IN893" s="3"/>
      <c r="IO893" s="3"/>
      <c r="IP893" s="3"/>
      <c r="IQ893" s="3"/>
      <c r="IR893" s="3"/>
      <c r="IS893" s="3"/>
      <c r="IT893" s="3"/>
      <c r="IU893" s="3"/>
      <c r="IV893" s="3"/>
      <c r="IW893" s="3"/>
      <c r="IX893" s="3"/>
      <c r="IY893" s="3"/>
      <c r="IZ893" s="3"/>
      <c r="JA893" s="3"/>
      <c r="JB893" s="3"/>
      <c r="JC893" s="3"/>
      <c r="JD893" s="3"/>
      <c r="JE893" s="3"/>
      <c r="JF893" s="3"/>
      <c r="JG893" s="3"/>
      <c r="JH893" s="3"/>
      <c r="JI893" s="3"/>
      <c r="JJ893" s="3"/>
      <c r="JK893" s="3"/>
      <c r="JL893" s="3"/>
      <c r="JM893" s="3"/>
      <c r="JN893" s="3"/>
      <c r="JO893" s="3"/>
      <c r="JP893" s="3"/>
      <c r="JQ893" s="3"/>
      <c r="JR893" s="3"/>
      <c r="JS893" s="3"/>
      <c r="JT893" s="3"/>
      <c r="JU893" s="3"/>
      <c r="JV893" s="3"/>
      <c r="JW893" s="3"/>
      <c r="JX893" s="3"/>
      <c r="JY893" s="3"/>
      <c r="JZ893" s="3"/>
      <c r="KA893" s="3"/>
      <c r="KB893" s="3"/>
      <c r="KC893" s="3"/>
      <c r="KD893" s="3"/>
      <c r="KE893" s="3"/>
      <c r="KF893" s="3"/>
      <c r="KG893" s="3"/>
      <c r="KH893" s="3"/>
      <c r="KI893" s="3"/>
      <c r="KJ893" s="3"/>
      <c r="KK893" s="3"/>
      <c r="KL893" s="3"/>
      <c r="KM893" s="3"/>
      <c r="KN893" s="3"/>
      <c r="KO893" s="3"/>
      <c r="KP893" s="3"/>
      <c r="KQ893" s="3"/>
      <c r="KR893" s="3"/>
      <c r="KS893" s="3"/>
      <c r="KT893" s="3"/>
      <c r="KU893" s="3"/>
      <c r="KV893" s="3"/>
      <c r="KW893" s="3"/>
      <c r="KX893" s="3"/>
      <c r="KY893" s="3"/>
      <c r="KZ893" s="3"/>
      <c r="LA893" s="3"/>
      <c r="LB893" s="3"/>
      <c r="LC893" s="3"/>
      <c r="LD893" s="3"/>
      <c r="LE893" s="3"/>
      <c r="LF893" s="3"/>
      <c r="LG893" s="3"/>
      <c r="LH893" s="3"/>
      <c r="LI893" s="3"/>
      <c r="LJ893" s="3"/>
      <c r="LK893" s="3"/>
      <c r="LL893" s="3"/>
      <c r="LM893" s="3"/>
      <c r="LN893" s="3"/>
      <c r="LO893" s="3"/>
      <c r="LP893" s="3"/>
      <c r="LQ893" s="3"/>
      <c r="LR893" s="3"/>
      <c r="LS893" s="3"/>
      <c r="LT893" s="3"/>
      <c r="LU893" s="3"/>
      <c r="LV893" s="3"/>
      <c r="LW893" s="3"/>
      <c r="LX893" s="3"/>
      <c r="LY893" s="3"/>
      <c r="LZ893" s="3"/>
      <c r="MA893" s="3"/>
      <c r="MB893" s="3"/>
      <c r="MC893" s="3"/>
      <c r="MD893" s="3"/>
      <c r="ME893" s="3"/>
      <c r="MF893" s="3"/>
      <c r="MG893" s="3"/>
      <c r="MH893" s="3"/>
      <c r="MI893" s="3"/>
    </row>
    <row r="894" spans="1:347"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c r="HX894" s="3"/>
      <c r="HY894" s="3"/>
      <c r="HZ894" s="3"/>
      <c r="IA894" s="3"/>
      <c r="IB894" s="3"/>
      <c r="IC894" s="3"/>
      <c r="ID894" s="3"/>
      <c r="IE894" s="3"/>
      <c r="IF894" s="3"/>
      <c r="IG894" s="3"/>
      <c r="IH894" s="3"/>
      <c r="II894" s="3"/>
      <c r="IJ894" s="3"/>
      <c r="IK894" s="3"/>
      <c r="IL894" s="3"/>
      <c r="IM894" s="3"/>
      <c r="IN894" s="3"/>
      <c r="IO894" s="3"/>
      <c r="IP894" s="3"/>
      <c r="IQ894" s="3"/>
      <c r="IR894" s="3"/>
      <c r="IS894" s="3"/>
      <c r="IT894" s="3"/>
      <c r="IU894" s="3"/>
      <c r="IV894" s="3"/>
      <c r="IW894" s="3"/>
      <c r="IX894" s="3"/>
      <c r="IY894" s="3"/>
      <c r="IZ894" s="3"/>
      <c r="JA894" s="3"/>
      <c r="JB894" s="3"/>
      <c r="JC894" s="3"/>
      <c r="JD894" s="3"/>
      <c r="JE894" s="3"/>
      <c r="JF894" s="3"/>
      <c r="JG894" s="3"/>
      <c r="JH894" s="3"/>
      <c r="JI894" s="3"/>
      <c r="JJ894" s="3"/>
      <c r="JK894" s="3"/>
      <c r="JL894" s="3"/>
      <c r="JM894" s="3"/>
      <c r="JN894" s="3"/>
      <c r="JO894" s="3"/>
      <c r="JP894" s="3"/>
      <c r="JQ894" s="3"/>
      <c r="JR894" s="3"/>
      <c r="JS894" s="3"/>
      <c r="JT894" s="3"/>
      <c r="JU894" s="3"/>
      <c r="JV894" s="3"/>
      <c r="JW894" s="3"/>
      <c r="JX894" s="3"/>
      <c r="JY894" s="3"/>
      <c r="JZ894" s="3"/>
      <c r="KA894" s="3"/>
      <c r="KB894" s="3"/>
      <c r="KC894" s="3"/>
      <c r="KD894" s="3"/>
      <c r="KE894" s="3"/>
      <c r="KF894" s="3"/>
      <c r="KG894" s="3"/>
      <c r="KH894" s="3"/>
      <c r="KI894" s="3"/>
      <c r="KJ894" s="3"/>
      <c r="KK894" s="3"/>
      <c r="KL894" s="3"/>
      <c r="KM894" s="3"/>
      <c r="KN894" s="3"/>
      <c r="KO894" s="3"/>
      <c r="KP894" s="3"/>
      <c r="KQ894" s="3"/>
      <c r="KR894" s="3"/>
      <c r="KS894" s="3"/>
      <c r="KT894" s="3"/>
      <c r="KU894" s="3"/>
      <c r="KV894" s="3"/>
      <c r="KW894" s="3"/>
      <c r="KX894" s="3"/>
      <c r="KY894" s="3"/>
      <c r="KZ894" s="3"/>
      <c r="LA894" s="3"/>
      <c r="LB894" s="3"/>
      <c r="LC894" s="3"/>
      <c r="LD894" s="3"/>
      <c r="LE894" s="3"/>
      <c r="LF894" s="3"/>
      <c r="LG894" s="3"/>
      <c r="LH894" s="3"/>
      <c r="LI894" s="3"/>
      <c r="LJ894" s="3"/>
      <c r="LK894" s="3"/>
      <c r="LL894" s="3"/>
      <c r="LM894" s="3"/>
      <c r="LN894" s="3"/>
      <c r="LO894" s="3"/>
      <c r="LP894" s="3"/>
      <c r="LQ894" s="3"/>
      <c r="LR894" s="3"/>
      <c r="LS894" s="3"/>
      <c r="LT894" s="3"/>
      <c r="LU894" s="3"/>
      <c r="LV894" s="3"/>
      <c r="LW894" s="3"/>
      <c r="LX894" s="3"/>
      <c r="LY894" s="3"/>
      <c r="LZ894" s="3"/>
      <c r="MA894" s="3"/>
      <c r="MB894" s="3"/>
      <c r="MC894" s="3"/>
      <c r="MD894" s="3"/>
      <c r="ME894" s="3"/>
      <c r="MF894" s="3"/>
      <c r="MG894" s="3"/>
      <c r="MH894" s="3"/>
      <c r="MI894" s="3"/>
    </row>
    <row r="895" spans="1:347"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c r="HX895" s="3"/>
      <c r="HY895" s="3"/>
      <c r="HZ895" s="3"/>
      <c r="IA895" s="3"/>
      <c r="IB895" s="3"/>
      <c r="IC895" s="3"/>
      <c r="ID895" s="3"/>
      <c r="IE895" s="3"/>
      <c r="IF895" s="3"/>
      <c r="IG895" s="3"/>
      <c r="IH895" s="3"/>
      <c r="II895" s="3"/>
      <c r="IJ895" s="3"/>
      <c r="IK895" s="3"/>
      <c r="IL895" s="3"/>
      <c r="IM895" s="3"/>
      <c r="IN895" s="3"/>
      <c r="IO895" s="3"/>
      <c r="IP895" s="3"/>
      <c r="IQ895" s="3"/>
      <c r="IR895" s="3"/>
      <c r="IS895" s="3"/>
      <c r="IT895" s="3"/>
      <c r="IU895" s="3"/>
      <c r="IV895" s="3"/>
      <c r="IW895" s="3"/>
      <c r="IX895" s="3"/>
      <c r="IY895" s="3"/>
      <c r="IZ895" s="3"/>
      <c r="JA895" s="3"/>
      <c r="JB895" s="3"/>
      <c r="JC895" s="3"/>
      <c r="JD895" s="3"/>
      <c r="JE895" s="3"/>
      <c r="JF895" s="3"/>
      <c r="JG895" s="3"/>
      <c r="JH895" s="3"/>
      <c r="JI895" s="3"/>
      <c r="JJ895" s="3"/>
      <c r="JK895" s="3"/>
      <c r="JL895" s="3"/>
      <c r="JM895" s="3"/>
      <c r="JN895" s="3"/>
      <c r="JO895" s="3"/>
      <c r="JP895" s="3"/>
      <c r="JQ895" s="3"/>
      <c r="JR895" s="3"/>
      <c r="JS895" s="3"/>
      <c r="JT895" s="3"/>
      <c r="JU895" s="3"/>
      <c r="JV895" s="3"/>
      <c r="JW895" s="3"/>
      <c r="JX895" s="3"/>
      <c r="JY895" s="3"/>
      <c r="JZ895" s="3"/>
      <c r="KA895" s="3"/>
      <c r="KB895" s="3"/>
      <c r="KC895" s="3"/>
      <c r="KD895" s="3"/>
      <c r="KE895" s="3"/>
      <c r="KF895" s="3"/>
      <c r="KG895" s="3"/>
      <c r="KH895" s="3"/>
      <c r="KI895" s="3"/>
      <c r="KJ895" s="3"/>
      <c r="KK895" s="3"/>
      <c r="KL895" s="3"/>
      <c r="KM895" s="3"/>
      <c r="KN895" s="3"/>
      <c r="KO895" s="3"/>
      <c r="KP895" s="3"/>
      <c r="KQ895" s="3"/>
      <c r="KR895" s="3"/>
      <c r="KS895" s="3"/>
      <c r="KT895" s="3"/>
      <c r="KU895" s="3"/>
      <c r="KV895" s="3"/>
      <c r="KW895" s="3"/>
      <c r="KX895" s="3"/>
      <c r="KY895" s="3"/>
      <c r="KZ895" s="3"/>
      <c r="LA895" s="3"/>
      <c r="LB895" s="3"/>
      <c r="LC895" s="3"/>
      <c r="LD895" s="3"/>
      <c r="LE895" s="3"/>
      <c r="LF895" s="3"/>
      <c r="LG895" s="3"/>
      <c r="LH895" s="3"/>
      <c r="LI895" s="3"/>
      <c r="LJ895" s="3"/>
      <c r="LK895" s="3"/>
      <c r="LL895" s="3"/>
      <c r="LM895" s="3"/>
      <c r="LN895" s="3"/>
      <c r="LO895" s="3"/>
      <c r="LP895" s="3"/>
      <c r="LQ895" s="3"/>
      <c r="LR895" s="3"/>
      <c r="LS895" s="3"/>
      <c r="LT895" s="3"/>
      <c r="LU895" s="3"/>
      <c r="LV895" s="3"/>
      <c r="LW895" s="3"/>
      <c r="LX895" s="3"/>
      <c r="LY895" s="3"/>
      <c r="LZ895" s="3"/>
      <c r="MA895" s="3"/>
      <c r="MB895" s="3"/>
      <c r="MC895" s="3"/>
      <c r="MD895" s="3"/>
      <c r="ME895" s="3"/>
      <c r="MF895" s="3"/>
      <c r="MG895" s="3"/>
      <c r="MH895" s="3"/>
      <c r="MI895" s="3"/>
    </row>
    <row r="896" spans="1:347"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c r="HX896" s="3"/>
      <c r="HY896" s="3"/>
      <c r="HZ896" s="3"/>
      <c r="IA896" s="3"/>
      <c r="IB896" s="3"/>
      <c r="IC896" s="3"/>
      <c r="ID896" s="3"/>
      <c r="IE896" s="3"/>
      <c r="IF896" s="3"/>
      <c r="IG896" s="3"/>
      <c r="IH896" s="3"/>
      <c r="II896" s="3"/>
      <c r="IJ896" s="3"/>
      <c r="IK896" s="3"/>
      <c r="IL896" s="3"/>
      <c r="IM896" s="3"/>
      <c r="IN896" s="3"/>
      <c r="IO896" s="3"/>
      <c r="IP896" s="3"/>
      <c r="IQ896" s="3"/>
      <c r="IR896" s="3"/>
      <c r="IS896" s="3"/>
      <c r="IT896" s="3"/>
      <c r="IU896" s="3"/>
      <c r="IV896" s="3"/>
      <c r="IW896" s="3"/>
      <c r="IX896" s="3"/>
      <c r="IY896" s="3"/>
      <c r="IZ896" s="3"/>
      <c r="JA896" s="3"/>
      <c r="JB896" s="3"/>
      <c r="JC896" s="3"/>
      <c r="JD896" s="3"/>
      <c r="JE896" s="3"/>
      <c r="JF896" s="3"/>
      <c r="JG896" s="3"/>
      <c r="JH896" s="3"/>
      <c r="JI896" s="3"/>
      <c r="JJ896" s="3"/>
      <c r="JK896" s="3"/>
      <c r="JL896" s="3"/>
      <c r="JM896" s="3"/>
      <c r="JN896" s="3"/>
      <c r="JO896" s="3"/>
      <c r="JP896" s="3"/>
      <c r="JQ896" s="3"/>
      <c r="JR896" s="3"/>
      <c r="JS896" s="3"/>
      <c r="JT896" s="3"/>
      <c r="JU896" s="3"/>
      <c r="JV896" s="3"/>
      <c r="JW896" s="3"/>
      <c r="JX896" s="3"/>
      <c r="JY896" s="3"/>
      <c r="JZ896" s="3"/>
      <c r="KA896" s="3"/>
      <c r="KB896" s="3"/>
      <c r="KC896" s="3"/>
      <c r="KD896" s="3"/>
      <c r="KE896" s="3"/>
      <c r="KF896" s="3"/>
      <c r="KG896" s="3"/>
      <c r="KH896" s="3"/>
      <c r="KI896" s="3"/>
      <c r="KJ896" s="3"/>
      <c r="KK896" s="3"/>
      <c r="KL896" s="3"/>
      <c r="KM896" s="3"/>
      <c r="KN896" s="3"/>
      <c r="KO896" s="3"/>
      <c r="KP896" s="3"/>
      <c r="KQ896" s="3"/>
      <c r="KR896" s="3"/>
      <c r="KS896" s="3"/>
      <c r="KT896" s="3"/>
      <c r="KU896" s="3"/>
      <c r="KV896" s="3"/>
      <c r="KW896" s="3"/>
      <c r="KX896" s="3"/>
      <c r="KY896" s="3"/>
      <c r="KZ896" s="3"/>
      <c r="LA896" s="3"/>
      <c r="LB896" s="3"/>
      <c r="LC896" s="3"/>
      <c r="LD896" s="3"/>
      <c r="LE896" s="3"/>
      <c r="LF896" s="3"/>
      <c r="LG896" s="3"/>
      <c r="LH896" s="3"/>
      <c r="LI896" s="3"/>
      <c r="LJ896" s="3"/>
      <c r="LK896" s="3"/>
      <c r="LL896" s="3"/>
      <c r="LM896" s="3"/>
      <c r="LN896" s="3"/>
      <c r="LO896" s="3"/>
      <c r="LP896" s="3"/>
      <c r="LQ896" s="3"/>
      <c r="LR896" s="3"/>
      <c r="LS896" s="3"/>
      <c r="LT896" s="3"/>
      <c r="LU896" s="3"/>
      <c r="LV896" s="3"/>
      <c r="LW896" s="3"/>
      <c r="LX896" s="3"/>
      <c r="LY896" s="3"/>
      <c r="LZ896" s="3"/>
      <c r="MA896" s="3"/>
      <c r="MB896" s="3"/>
      <c r="MC896" s="3"/>
      <c r="MD896" s="3"/>
      <c r="ME896" s="3"/>
      <c r="MF896" s="3"/>
      <c r="MG896" s="3"/>
      <c r="MH896" s="3"/>
      <c r="MI896" s="3"/>
    </row>
    <row r="897" spans="1:347"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c r="HX897" s="3"/>
      <c r="HY897" s="3"/>
      <c r="HZ897" s="3"/>
      <c r="IA897" s="3"/>
      <c r="IB897" s="3"/>
      <c r="IC897" s="3"/>
      <c r="ID897" s="3"/>
      <c r="IE897" s="3"/>
      <c r="IF897" s="3"/>
      <c r="IG897" s="3"/>
      <c r="IH897" s="3"/>
      <c r="II897" s="3"/>
      <c r="IJ897" s="3"/>
      <c r="IK897" s="3"/>
      <c r="IL897" s="3"/>
      <c r="IM897" s="3"/>
      <c r="IN897" s="3"/>
      <c r="IO897" s="3"/>
      <c r="IP897" s="3"/>
      <c r="IQ897" s="3"/>
      <c r="IR897" s="3"/>
      <c r="IS897" s="3"/>
      <c r="IT897" s="3"/>
      <c r="IU897" s="3"/>
      <c r="IV897" s="3"/>
      <c r="IW897" s="3"/>
      <c r="IX897" s="3"/>
      <c r="IY897" s="3"/>
      <c r="IZ897" s="3"/>
      <c r="JA897" s="3"/>
      <c r="JB897" s="3"/>
      <c r="JC897" s="3"/>
      <c r="JD897" s="3"/>
      <c r="JE897" s="3"/>
      <c r="JF897" s="3"/>
      <c r="JG897" s="3"/>
      <c r="JH897" s="3"/>
      <c r="JI897" s="3"/>
      <c r="JJ897" s="3"/>
      <c r="JK897" s="3"/>
      <c r="JL897" s="3"/>
      <c r="JM897" s="3"/>
      <c r="JN897" s="3"/>
      <c r="JO897" s="3"/>
      <c r="JP897" s="3"/>
      <c r="JQ897" s="3"/>
      <c r="JR897" s="3"/>
      <c r="JS897" s="3"/>
      <c r="JT897" s="3"/>
      <c r="JU897" s="3"/>
      <c r="JV897" s="3"/>
      <c r="JW897" s="3"/>
      <c r="JX897" s="3"/>
      <c r="JY897" s="3"/>
      <c r="JZ897" s="3"/>
      <c r="KA897" s="3"/>
      <c r="KB897" s="3"/>
      <c r="KC897" s="3"/>
      <c r="KD897" s="3"/>
      <c r="KE897" s="3"/>
      <c r="KF897" s="3"/>
      <c r="KG897" s="3"/>
      <c r="KH897" s="3"/>
      <c r="KI897" s="3"/>
      <c r="KJ897" s="3"/>
      <c r="KK897" s="3"/>
      <c r="KL897" s="3"/>
      <c r="KM897" s="3"/>
      <c r="KN897" s="3"/>
      <c r="KO897" s="3"/>
      <c r="KP897" s="3"/>
      <c r="KQ897" s="3"/>
      <c r="KR897" s="3"/>
      <c r="KS897" s="3"/>
      <c r="KT897" s="3"/>
      <c r="KU897" s="3"/>
      <c r="KV897" s="3"/>
      <c r="KW897" s="3"/>
      <c r="KX897" s="3"/>
      <c r="KY897" s="3"/>
      <c r="KZ897" s="3"/>
      <c r="LA897" s="3"/>
      <c r="LB897" s="3"/>
      <c r="LC897" s="3"/>
      <c r="LD897" s="3"/>
      <c r="LE897" s="3"/>
      <c r="LF897" s="3"/>
      <c r="LG897" s="3"/>
      <c r="LH897" s="3"/>
      <c r="LI897" s="3"/>
      <c r="LJ897" s="3"/>
      <c r="LK897" s="3"/>
      <c r="LL897" s="3"/>
      <c r="LM897" s="3"/>
      <c r="LN897" s="3"/>
      <c r="LO897" s="3"/>
      <c r="LP897" s="3"/>
      <c r="LQ897" s="3"/>
      <c r="LR897" s="3"/>
      <c r="LS897" s="3"/>
      <c r="LT897" s="3"/>
      <c r="LU897" s="3"/>
      <c r="LV897" s="3"/>
      <c r="LW897" s="3"/>
      <c r="LX897" s="3"/>
      <c r="LY897" s="3"/>
      <c r="LZ897" s="3"/>
      <c r="MA897" s="3"/>
      <c r="MB897" s="3"/>
      <c r="MC897" s="3"/>
      <c r="MD897" s="3"/>
      <c r="ME897" s="3"/>
      <c r="MF897" s="3"/>
      <c r="MG897" s="3"/>
      <c r="MH897" s="3"/>
      <c r="MI897" s="3"/>
    </row>
    <row r="898" spans="1:347"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c r="HX898" s="3"/>
      <c r="HY898" s="3"/>
      <c r="HZ898" s="3"/>
      <c r="IA898" s="3"/>
      <c r="IB898" s="3"/>
      <c r="IC898" s="3"/>
      <c r="ID898" s="3"/>
      <c r="IE898" s="3"/>
      <c r="IF898" s="3"/>
      <c r="IG898" s="3"/>
      <c r="IH898" s="3"/>
      <c r="II898" s="3"/>
      <c r="IJ898" s="3"/>
      <c r="IK898" s="3"/>
      <c r="IL898" s="3"/>
      <c r="IM898" s="3"/>
      <c r="IN898" s="3"/>
      <c r="IO898" s="3"/>
      <c r="IP898" s="3"/>
      <c r="IQ898" s="3"/>
      <c r="IR898" s="3"/>
      <c r="IS898" s="3"/>
      <c r="IT898" s="3"/>
      <c r="IU898" s="3"/>
      <c r="IV898" s="3"/>
      <c r="IW898" s="3"/>
      <c r="IX898" s="3"/>
      <c r="IY898" s="3"/>
      <c r="IZ898" s="3"/>
      <c r="JA898" s="3"/>
      <c r="JB898" s="3"/>
      <c r="JC898" s="3"/>
      <c r="JD898" s="3"/>
      <c r="JE898" s="3"/>
      <c r="JF898" s="3"/>
      <c r="JG898" s="3"/>
      <c r="JH898" s="3"/>
      <c r="JI898" s="3"/>
      <c r="JJ898" s="3"/>
      <c r="JK898" s="3"/>
      <c r="JL898" s="3"/>
      <c r="JM898" s="3"/>
      <c r="JN898" s="3"/>
      <c r="JO898" s="3"/>
      <c r="JP898" s="3"/>
      <c r="JQ898" s="3"/>
      <c r="JR898" s="3"/>
      <c r="JS898" s="3"/>
      <c r="JT898" s="3"/>
      <c r="JU898" s="3"/>
      <c r="JV898" s="3"/>
      <c r="JW898" s="3"/>
      <c r="JX898" s="3"/>
      <c r="JY898" s="3"/>
      <c r="JZ898" s="3"/>
      <c r="KA898" s="3"/>
      <c r="KB898" s="3"/>
      <c r="KC898" s="3"/>
      <c r="KD898" s="3"/>
      <c r="KE898" s="3"/>
      <c r="KF898" s="3"/>
      <c r="KG898" s="3"/>
      <c r="KH898" s="3"/>
      <c r="KI898" s="3"/>
      <c r="KJ898" s="3"/>
      <c r="KK898" s="3"/>
      <c r="KL898" s="3"/>
      <c r="KM898" s="3"/>
      <c r="KN898" s="3"/>
      <c r="KO898" s="3"/>
      <c r="KP898" s="3"/>
      <c r="KQ898" s="3"/>
      <c r="KR898" s="3"/>
      <c r="KS898" s="3"/>
      <c r="KT898" s="3"/>
      <c r="KU898" s="3"/>
      <c r="KV898" s="3"/>
      <c r="KW898" s="3"/>
      <c r="KX898" s="3"/>
      <c r="KY898" s="3"/>
      <c r="KZ898" s="3"/>
      <c r="LA898" s="3"/>
      <c r="LB898" s="3"/>
      <c r="LC898" s="3"/>
      <c r="LD898" s="3"/>
      <c r="LE898" s="3"/>
      <c r="LF898" s="3"/>
      <c r="LG898" s="3"/>
      <c r="LH898" s="3"/>
      <c r="LI898" s="3"/>
      <c r="LJ898" s="3"/>
      <c r="LK898" s="3"/>
      <c r="LL898" s="3"/>
      <c r="LM898" s="3"/>
      <c r="LN898" s="3"/>
      <c r="LO898" s="3"/>
      <c r="LP898" s="3"/>
      <c r="LQ898" s="3"/>
      <c r="LR898" s="3"/>
      <c r="LS898" s="3"/>
      <c r="LT898" s="3"/>
      <c r="LU898" s="3"/>
      <c r="LV898" s="3"/>
      <c r="LW898" s="3"/>
      <c r="LX898" s="3"/>
      <c r="LY898" s="3"/>
      <c r="LZ898" s="3"/>
      <c r="MA898" s="3"/>
      <c r="MB898" s="3"/>
      <c r="MC898" s="3"/>
      <c r="MD898" s="3"/>
      <c r="ME898" s="3"/>
      <c r="MF898" s="3"/>
      <c r="MG898" s="3"/>
      <c r="MH898" s="3"/>
      <c r="MI898" s="3"/>
    </row>
    <row r="899" spans="1:347"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c r="HX899" s="3"/>
      <c r="HY899" s="3"/>
      <c r="HZ899" s="3"/>
      <c r="IA899" s="3"/>
      <c r="IB899" s="3"/>
      <c r="IC899" s="3"/>
      <c r="ID899" s="3"/>
      <c r="IE899" s="3"/>
      <c r="IF899" s="3"/>
      <c r="IG899" s="3"/>
      <c r="IH899" s="3"/>
      <c r="II899" s="3"/>
      <c r="IJ899" s="3"/>
      <c r="IK899" s="3"/>
      <c r="IL899" s="3"/>
      <c r="IM899" s="3"/>
      <c r="IN899" s="3"/>
      <c r="IO899" s="3"/>
      <c r="IP899" s="3"/>
      <c r="IQ899" s="3"/>
      <c r="IR899" s="3"/>
      <c r="IS899" s="3"/>
      <c r="IT899" s="3"/>
      <c r="IU899" s="3"/>
      <c r="IV899" s="3"/>
      <c r="IW899" s="3"/>
      <c r="IX899" s="3"/>
      <c r="IY899" s="3"/>
      <c r="IZ899" s="3"/>
      <c r="JA899" s="3"/>
      <c r="JB899" s="3"/>
      <c r="JC899" s="3"/>
      <c r="JD899" s="3"/>
      <c r="JE899" s="3"/>
      <c r="JF899" s="3"/>
      <c r="JG899" s="3"/>
      <c r="JH899" s="3"/>
      <c r="JI899" s="3"/>
      <c r="JJ899" s="3"/>
      <c r="JK899" s="3"/>
      <c r="JL899" s="3"/>
      <c r="JM899" s="3"/>
      <c r="JN899" s="3"/>
      <c r="JO899" s="3"/>
      <c r="JP899" s="3"/>
      <c r="JQ899" s="3"/>
      <c r="JR899" s="3"/>
      <c r="JS899" s="3"/>
      <c r="JT899" s="3"/>
      <c r="JU899" s="3"/>
      <c r="JV899" s="3"/>
      <c r="JW899" s="3"/>
      <c r="JX899" s="3"/>
      <c r="JY899" s="3"/>
      <c r="JZ899" s="3"/>
      <c r="KA899" s="3"/>
      <c r="KB899" s="3"/>
      <c r="KC899" s="3"/>
      <c r="KD899" s="3"/>
      <c r="KE899" s="3"/>
      <c r="KF899" s="3"/>
      <c r="KG899" s="3"/>
      <c r="KH899" s="3"/>
      <c r="KI899" s="3"/>
      <c r="KJ899" s="3"/>
      <c r="KK899" s="3"/>
      <c r="KL899" s="3"/>
      <c r="KM899" s="3"/>
      <c r="KN899" s="3"/>
      <c r="KO899" s="3"/>
      <c r="KP899" s="3"/>
      <c r="KQ899" s="3"/>
      <c r="KR899" s="3"/>
      <c r="KS899" s="3"/>
      <c r="KT899" s="3"/>
      <c r="KU899" s="3"/>
      <c r="KV899" s="3"/>
      <c r="KW899" s="3"/>
      <c r="KX899" s="3"/>
      <c r="KY899" s="3"/>
      <c r="KZ899" s="3"/>
      <c r="LA899" s="3"/>
      <c r="LB899" s="3"/>
      <c r="LC899" s="3"/>
      <c r="LD899" s="3"/>
      <c r="LE899" s="3"/>
      <c r="LF899" s="3"/>
      <c r="LG899" s="3"/>
      <c r="LH899" s="3"/>
      <c r="LI899" s="3"/>
      <c r="LJ899" s="3"/>
      <c r="LK899" s="3"/>
      <c r="LL899" s="3"/>
      <c r="LM899" s="3"/>
      <c r="LN899" s="3"/>
      <c r="LO899" s="3"/>
      <c r="LP899" s="3"/>
      <c r="LQ899" s="3"/>
      <c r="LR899" s="3"/>
      <c r="LS899" s="3"/>
      <c r="LT899" s="3"/>
      <c r="LU899" s="3"/>
      <c r="LV899" s="3"/>
      <c r="LW899" s="3"/>
      <c r="LX899" s="3"/>
      <c r="LY899" s="3"/>
      <c r="LZ899" s="3"/>
      <c r="MA899" s="3"/>
      <c r="MB899" s="3"/>
      <c r="MC899" s="3"/>
      <c r="MD899" s="3"/>
      <c r="ME899" s="3"/>
      <c r="MF899" s="3"/>
      <c r="MG899" s="3"/>
      <c r="MH899" s="3"/>
      <c r="MI899" s="3"/>
    </row>
    <row r="900" spans="1:347"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c r="HX900" s="3"/>
      <c r="HY900" s="3"/>
      <c r="HZ900" s="3"/>
      <c r="IA900" s="3"/>
      <c r="IB900" s="3"/>
      <c r="IC900" s="3"/>
      <c r="ID900" s="3"/>
      <c r="IE900" s="3"/>
      <c r="IF900" s="3"/>
      <c r="IG900" s="3"/>
      <c r="IH900" s="3"/>
      <c r="II900" s="3"/>
      <c r="IJ900" s="3"/>
      <c r="IK900" s="3"/>
      <c r="IL900" s="3"/>
      <c r="IM900" s="3"/>
      <c r="IN900" s="3"/>
      <c r="IO900" s="3"/>
      <c r="IP900" s="3"/>
      <c r="IQ900" s="3"/>
      <c r="IR900" s="3"/>
      <c r="IS900" s="3"/>
      <c r="IT900" s="3"/>
      <c r="IU900" s="3"/>
      <c r="IV900" s="3"/>
      <c r="IW900" s="3"/>
      <c r="IX900" s="3"/>
      <c r="IY900" s="3"/>
      <c r="IZ900" s="3"/>
      <c r="JA900" s="3"/>
      <c r="JB900" s="3"/>
      <c r="JC900" s="3"/>
      <c r="JD900" s="3"/>
      <c r="JE900" s="3"/>
      <c r="JF900" s="3"/>
      <c r="JG900" s="3"/>
      <c r="JH900" s="3"/>
      <c r="JI900" s="3"/>
      <c r="JJ900" s="3"/>
      <c r="JK900" s="3"/>
      <c r="JL900" s="3"/>
      <c r="JM900" s="3"/>
      <c r="JN900" s="3"/>
      <c r="JO900" s="3"/>
      <c r="JP900" s="3"/>
      <c r="JQ900" s="3"/>
      <c r="JR900" s="3"/>
      <c r="JS900" s="3"/>
      <c r="JT900" s="3"/>
      <c r="JU900" s="3"/>
      <c r="JV900" s="3"/>
      <c r="JW900" s="3"/>
      <c r="JX900" s="3"/>
      <c r="JY900" s="3"/>
      <c r="JZ900" s="3"/>
      <c r="KA900" s="3"/>
      <c r="KB900" s="3"/>
      <c r="KC900" s="3"/>
      <c r="KD900" s="3"/>
      <c r="KE900" s="3"/>
      <c r="KF900" s="3"/>
      <c r="KG900" s="3"/>
      <c r="KH900" s="3"/>
      <c r="KI900" s="3"/>
      <c r="KJ900" s="3"/>
      <c r="KK900" s="3"/>
      <c r="KL900" s="3"/>
      <c r="KM900" s="3"/>
      <c r="KN900" s="3"/>
      <c r="KO900" s="3"/>
      <c r="KP900" s="3"/>
      <c r="KQ900" s="3"/>
      <c r="KR900" s="3"/>
      <c r="KS900" s="3"/>
      <c r="KT900" s="3"/>
      <c r="KU900" s="3"/>
      <c r="KV900" s="3"/>
      <c r="KW900" s="3"/>
      <c r="KX900" s="3"/>
      <c r="KY900" s="3"/>
      <c r="KZ900" s="3"/>
      <c r="LA900" s="3"/>
      <c r="LB900" s="3"/>
      <c r="LC900" s="3"/>
      <c r="LD900" s="3"/>
      <c r="LE900" s="3"/>
      <c r="LF900" s="3"/>
      <c r="LG900" s="3"/>
      <c r="LH900" s="3"/>
      <c r="LI900" s="3"/>
      <c r="LJ900" s="3"/>
      <c r="LK900" s="3"/>
      <c r="LL900" s="3"/>
      <c r="LM900" s="3"/>
      <c r="LN900" s="3"/>
      <c r="LO900" s="3"/>
      <c r="LP900" s="3"/>
      <c r="LQ900" s="3"/>
      <c r="LR900" s="3"/>
      <c r="LS900" s="3"/>
      <c r="LT900" s="3"/>
      <c r="LU900" s="3"/>
      <c r="LV900" s="3"/>
      <c r="LW900" s="3"/>
      <c r="LX900" s="3"/>
      <c r="LY900" s="3"/>
      <c r="LZ900" s="3"/>
      <c r="MA900" s="3"/>
      <c r="MB900" s="3"/>
      <c r="MC900" s="3"/>
      <c r="MD900" s="3"/>
      <c r="ME900" s="3"/>
      <c r="MF900" s="3"/>
      <c r="MG900" s="3"/>
      <c r="MH900" s="3"/>
      <c r="MI900" s="3"/>
    </row>
    <row r="901" spans="1:347"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c r="HX901" s="3"/>
      <c r="HY901" s="3"/>
      <c r="HZ901" s="3"/>
      <c r="IA901" s="3"/>
      <c r="IB901" s="3"/>
      <c r="IC901" s="3"/>
      <c r="ID901" s="3"/>
      <c r="IE901" s="3"/>
      <c r="IF901" s="3"/>
      <c r="IG901" s="3"/>
      <c r="IH901" s="3"/>
      <c r="II901" s="3"/>
      <c r="IJ901" s="3"/>
      <c r="IK901" s="3"/>
      <c r="IL901" s="3"/>
      <c r="IM901" s="3"/>
      <c r="IN901" s="3"/>
      <c r="IO901" s="3"/>
      <c r="IP901" s="3"/>
      <c r="IQ901" s="3"/>
      <c r="IR901" s="3"/>
      <c r="IS901" s="3"/>
      <c r="IT901" s="3"/>
      <c r="IU901" s="3"/>
      <c r="IV901" s="3"/>
      <c r="IW901" s="3"/>
      <c r="IX901" s="3"/>
      <c r="IY901" s="3"/>
      <c r="IZ901" s="3"/>
      <c r="JA901" s="3"/>
      <c r="JB901" s="3"/>
      <c r="JC901" s="3"/>
      <c r="JD901" s="3"/>
      <c r="JE901" s="3"/>
      <c r="JF901" s="3"/>
      <c r="JG901" s="3"/>
      <c r="JH901" s="3"/>
      <c r="JI901" s="3"/>
      <c r="JJ901" s="3"/>
      <c r="JK901" s="3"/>
      <c r="JL901" s="3"/>
      <c r="JM901" s="3"/>
      <c r="JN901" s="3"/>
      <c r="JO901" s="3"/>
      <c r="JP901" s="3"/>
      <c r="JQ901" s="3"/>
      <c r="JR901" s="3"/>
      <c r="JS901" s="3"/>
      <c r="JT901" s="3"/>
      <c r="JU901" s="3"/>
      <c r="JV901" s="3"/>
      <c r="JW901" s="3"/>
      <c r="JX901" s="3"/>
      <c r="JY901" s="3"/>
      <c r="JZ901" s="3"/>
      <c r="KA901" s="3"/>
      <c r="KB901" s="3"/>
      <c r="KC901" s="3"/>
      <c r="KD901" s="3"/>
      <c r="KE901" s="3"/>
      <c r="KF901" s="3"/>
      <c r="KG901" s="3"/>
      <c r="KH901" s="3"/>
      <c r="KI901" s="3"/>
      <c r="KJ901" s="3"/>
      <c r="KK901" s="3"/>
      <c r="KL901" s="3"/>
      <c r="KM901" s="3"/>
      <c r="KN901" s="3"/>
      <c r="KO901" s="3"/>
      <c r="KP901" s="3"/>
      <c r="KQ901" s="3"/>
      <c r="KR901" s="3"/>
      <c r="KS901" s="3"/>
      <c r="KT901" s="3"/>
      <c r="KU901" s="3"/>
      <c r="KV901" s="3"/>
      <c r="KW901" s="3"/>
      <c r="KX901" s="3"/>
      <c r="KY901" s="3"/>
      <c r="KZ901" s="3"/>
      <c r="LA901" s="3"/>
      <c r="LB901" s="3"/>
      <c r="LC901" s="3"/>
      <c r="LD901" s="3"/>
      <c r="LE901" s="3"/>
      <c r="LF901" s="3"/>
      <c r="LG901" s="3"/>
      <c r="LH901" s="3"/>
      <c r="LI901" s="3"/>
      <c r="LJ901" s="3"/>
      <c r="LK901" s="3"/>
      <c r="LL901" s="3"/>
      <c r="LM901" s="3"/>
      <c r="LN901" s="3"/>
      <c r="LO901" s="3"/>
      <c r="LP901" s="3"/>
      <c r="LQ901" s="3"/>
      <c r="LR901" s="3"/>
      <c r="LS901" s="3"/>
      <c r="LT901" s="3"/>
      <c r="LU901" s="3"/>
      <c r="LV901" s="3"/>
      <c r="LW901" s="3"/>
      <c r="LX901" s="3"/>
      <c r="LY901" s="3"/>
      <c r="LZ901" s="3"/>
      <c r="MA901" s="3"/>
      <c r="MB901" s="3"/>
      <c r="MC901" s="3"/>
      <c r="MD901" s="3"/>
      <c r="ME901" s="3"/>
      <c r="MF901" s="3"/>
      <c r="MG901" s="3"/>
      <c r="MH901" s="3"/>
      <c r="MI901" s="3"/>
    </row>
    <row r="902" spans="1:347"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c r="HX902" s="3"/>
      <c r="HY902" s="3"/>
      <c r="HZ902" s="3"/>
      <c r="IA902" s="3"/>
      <c r="IB902" s="3"/>
      <c r="IC902" s="3"/>
      <c r="ID902" s="3"/>
      <c r="IE902" s="3"/>
      <c r="IF902" s="3"/>
      <c r="IG902" s="3"/>
      <c r="IH902" s="3"/>
      <c r="II902" s="3"/>
      <c r="IJ902" s="3"/>
      <c r="IK902" s="3"/>
      <c r="IL902" s="3"/>
      <c r="IM902" s="3"/>
      <c r="IN902" s="3"/>
      <c r="IO902" s="3"/>
      <c r="IP902" s="3"/>
      <c r="IQ902" s="3"/>
      <c r="IR902" s="3"/>
      <c r="IS902" s="3"/>
      <c r="IT902" s="3"/>
      <c r="IU902" s="3"/>
      <c r="IV902" s="3"/>
      <c r="IW902" s="3"/>
      <c r="IX902" s="3"/>
      <c r="IY902" s="3"/>
      <c r="IZ902" s="3"/>
      <c r="JA902" s="3"/>
      <c r="JB902" s="3"/>
      <c r="JC902" s="3"/>
      <c r="JD902" s="3"/>
      <c r="JE902" s="3"/>
      <c r="JF902" s="3"/>
      <c r="JG902" s="3"/>
      <c r="JH902" s="3"/>
      <c r="JI902" s="3"/>
      <c r="JJ902" s="3"/>
      <c r="JK902" s="3"/>
      <c r="JL902" s="3"/>
      <c r="JM902" s="3"/>
      <c r="JN902" s="3"/>
      <c r="JO902" s="3"/>
      <c r="JP902" s="3"/>
      <c r="JQ902" s="3"/>
      <c r="JR902" s="3"/>
      <c r="JS902" s="3"/>
      <c r="JT902" s="3"/>
      <c r="JU902" s="3"/>
      <c r="JV902" s="3"/>
      <c r="JW902" s="3"/>
      <c r="JX902" s="3"/>
      <c r="JY902" s="3"/>
      <c r="JZ902" s="3"/>
      <c r="KA902" s="3"/>
      <c r="KB902" s="3"/>
      <c r="KC902" s="3"/>
      <c r="KD902" s="3"/>
      <c r="KE902" s="3"/>
      <c r="KF902" s="3"/>
      <c r="KG902" s="3"/>
      <c r="KH902" s="3"/>
      <c r="KI902" s="3"/>
      <c r="KJ902" s="3"/>
      <c r="KK902" s="3"/>
      <c r="KL902" s="3"/>
      <c r="KM902" s="3"/>
      <c r="KN902" s="3"/>
      <c r="KO902" s="3"/>
      <c r="KP902" s="3"/>
      <c r="KQ902" s="3"/>
      <c r="KR902" s="3"/>
      <c r="KS902" s="3"/>
      <c r="KT902" s="3"/>
      <c r="KU902" s="3"/>
      <c r="KV902" s="3"/>
      <c r="KW902" s="3"/>
      <c r="KX902" s="3"/>
      <c r="KY902" s="3"/>
      <c r="KZ902" s="3"/>
      <c r="LA902" s="3"/>
      <c r="LB902" s="3"/>
      <c r="LC902" s="3"/>
      <c r="LD902" s="3"/>
      <c r="LE902" s="3"/>
      <c r="LF902" s="3"/>
      <c r="LG902" s="3"/>
      <c r="LH902" s="3"/>
      <c r="LI902" s="3"/>
      <c r="LJ902" s="3"/>
      <c r="LK902" s="3"/>
      <c r="LL902" s="3"/>
      <c r="LM902" s="3"/>
      <c r="LN902" s="3"/>
      <c r="LO902" s="3"/>
      <c r="LP902" s="3"/>
      <c r="LQ902" s="3"/>
      <c r="LR902" s="3"/>
      <c r="LS902" s="3"/>
      <c r="LT902" s="3"/>
      <c r="LU902" s="3"/>
      <c r="LV902" s="3"/>
      <c r="LW902" s="3"/>
      <c r="LX902" s="3"/>
      <c r="LY902" s="3"/>
      <c r="LZ902" s="3"/>
      <c r="MA902" s="3"/>
      <c r="MB902" s="3"/>
      <c r="MC902" s="3"/>
      <c r="MD902" s="3"/>
      <c r="ME902" s="3"/>
      <c r="MF902" s="3"/>
      <c r="MG902" s="3"/>
      <c r="MH902" s="3"/>
      <c r="MI902" s="3"/>
    </row>
    <row r="903" spans="1:347"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c r="HX903" s="3"/>
      <c r="HY903" s="3"/>
      <c r="HZ903" s="3"/>
      <c r="IA903" s="3"/>
      <c r="IB903" s="3"/>
      <c r="IC903" s="3"/>
      <c r="ID903" s="3"/>
      <c r="IE903" s="3"/>
      <c r="IF903" s="3"/>
      <c r="IG903" s="3"/>
      <c r="IH903" s="3"/>
      <c r="II903" s="3"/>
      <c r="IJ903" s="3"/>
      <c r="IK903" s="3"/>
      <c r="IL903" s="3"/>
      <c r="IM903" s="3"/>
      <c r="IN903" s="3"/>
      <c r="IO903" s="3"/>
      <c r="IP903" s="3"/>
      <c r="IQ903" s="3"/>
      <c r="IR903" s="3"/>
      <c r="IS903" s="3"/>
      <c r="IT903" s="3"/>
      <c r="IU903" s="3"/>
      <c r="IV903" s="3"/>
      <c r="IW903" s="3"/>
      <c r="IX903" s="3"/>
      <c r="IY903" s="3"/>
      <c r="IZ903" s="3"/>
      <c r="JA903" s="3"/>
      <c r="JB903" s="3"/>
      <c r="JC903" s="3"/>
      <c r="JD903" s="3"/>
      <c r="JE903" s="3"/>
      <c r="JF903" s="3"/>
      <c r="JG903" s="3"/>
      <c r="JH903" s="3"/>
      <c r="JI903" s="3"/>
      <c r="JJ903" s="3"/>
      <c r="JK903" s="3"/>
      <c r="JL903" s="3"/>
      <c r="JM903" s="3"/>
      <c r="JN903" s="3"/>
      <c r="JO903" s="3"/>
      <c r="JP903" s="3"/>
      <c r="JQ903" s="3"/>
      <c r="JR903" s="3"/>
      <c r="JS903" s="3"/>
      <c r="JT903" s="3"/>
      <c r="JU903" s="3"/>
      <c r="JV903" s="3"/>
      <c r="JW903" s="3"/>
      <c r="JX903" s="3"/>
      <c r="JY903" s="3"/>
      <c r="JZ903" s="3"/>
      <c r="KA903" s="3"/>
      <c r="KB903" s="3"/>
      <c r="KC903" s="3"/>
      <c r="KD903" s="3"/>
      <c r="KE903" s="3"/>
      <c r="KF903" s="3"/>
      <c r="KG903" s="3"/>
      <c r="KH903" s="3"/>
      <c r="KI903" s="3"/>
      <c r="KJ903" s="3"/>
      <c r="KK903" s="3"/>
      <c r="KL903" s="3"/>
      <c r="KM903" s="3"/>
      <c r="KN903" s="3"/>
      <c r="KO903" s="3"/>
      <c r="KP903" s="3"/>
      <c r="KQ903" s="3"/>
      <c r="KR903" s="3"/>
      <c r="KS903" s="3"/>
      <c r="KT903" s="3"/>
      <c r="KU903" s="3"/>
      <c r="KV903" s="3"/>
      <c r="KW903" s="3"/>
      <c r="KX903" s="3"/>
      <c r="KY903" s="3"/>
      <c r="KZ903" s="3"/>
      <c r="LA903" s="3"/>
      <c r="LB903" s="3"/>
      <c r="LC903" s="3"/>
      <c r="LD903" s="3"/>
      <c r="LE903" s="3"/>
      <c r="LF903" s="3"/>
      <c r="LG903" s="3"/>
      <c r="LH903" s="3"/>
      <c r="LI903" s="3"/>
      <c r="LJ903" s="3"/>
      <c r="LK903" s="3"/>
      <c r="LL903" s="3"/>
      <c r="LM903" s="3"/>
      <c r="LN903" s="3"/>
      <c r="LO903" s="3"/>
      <c r="LP903" s="3"/>
      <c r="LQ903" s="3"/>
      <c r="LR903" s="3"/>
      <c r="LS903" s="3"/>
      <c r="LT903" s="3"/>
      <c r="LU903" s="3"/>
      <c r="LV903" s="3"/>
      <c r="LW903" s="3"/>
      <c r="LX903" s="3"/>
      <c r="LY903" s="3"/>
      <c r="LZ903" s="3"/>
      <c r="MA903" s="3"/>
      <c r="MB903" s="3"/>
      <c r="MC903" s="3"/>
      <c r="MD903" s="3"/>
      <c r="ME903" s="3"/>
      <c r="MF903" s="3"/>
      <c r="MG903" s="3"/>
      <c r="MH903" s="3"/>
      <c r="MI903" s="3"/>
    </row>
    <row r="904" spans="1:347"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c r="HX904" s="3"/>
      <c r="HY904" s="3"/>
      <c r="HZ904" s="3"/>
      <c r="IA904" s="3"/>
      <c r="IB904" s="3"/>
      <c r="IC904" s="3"/>
      <c r="ID904" s="3"/>
      <c r="IE904" s="3"/>
      <c r="IF904" s="3"/>
      <c r="IG904" s="3"/>
      <c r="IH904" s="3"/>
      <c r="II904" s="3"/>
      <c r="IJ904" s="3"/>
      <c r="IK904" s="3"/>
      <c r="IL904" s="3"/>
      <c r="IM904" s="3"/>
      <c r="IN904" s="3"/>
      <c r="IO904" s="3"/>
      <c r="IP904" s="3"/>
      <c r="IQ904" s="3"/>
      <c r="IR904" s="3"/>
      <c r="IS904" s="3"/>
      <c r="IT904" s="3"/>
      <c r="IU904" s="3"/>
      <c r="IV904" s="3"/>
      <c r="IW904" s="3"/>
      <c r="IX904" s="3"/>
      <c r="IY904" s="3"/>
      <c r="IZ904" s="3"/>
      <c r="JA904" s="3"/>
      <c r="JB904" s="3"/>
      <c r="JC904" s="3"/>
      <c r="JD904" s="3"/>
      <c r="JE904" s="3"/>
      <c r="JF904" s="3"/>
      <c r="JG904" s="3"/>
      <c r="JH904" s="3"/>
      <c r="JI904" s="3"/>
      <c r="JJ904" s="3"/>
      <c r="JK904" s="3"/>
      <c r="JL904" s="3"/>
      <c r="JM904" s="3"/>
      <c r="JN904" s="3"/>
      <c r="JO904" s="3"/>
      <c r="JP904" s="3"/>
      <c r="JQ904" s="3"/>
      <c r="JR904" s="3"/>
      <c r="JS904" s="3"/>
      <c r="JT904" s="3"/>
      <c r="JU904" s="3"/>
      <c r="JV904" s="3"/>
      <c r="JW904" s="3"/>
      <c r="JX904" s="3"/>
      <c r="JY904" s="3"/>
      <c r="JZ904" s="3"/>
      <c r="KA904" s="3"/>
      <c r="KB904" s="3"/>
      <c r="KC904" s="3"/>
      <c r="KD904" s="3"/>
      <c r="KE904" s="3"/>
      <c r="KF904" s="3"/>
      <c r="KG904" s="3"/>
      <c r="KH904" s="3"/>
      <c r="KI904" s="3"/>
      <c r="KJ904" s="3"/>
      <c r="KK904" s="3"/>
      <c r="KL904" s="3"/>
      <c r="KM904" s="3"/>
      <c r="KN904" s="3"/>
      <c r="KO904" s="3"/>
      <c r="KP904" s="3"/>
      <c r="KQ904" s="3"/>
      <c r="KR904" s="3"/>
      <c r="KS904" s="3"/>
      <c r="KT904" s="3"/>
      <c r="KU904" s="3"/>
      <c r="KV904" s="3"/>
      <c r="KW904" s="3"/>
      <c r="KX904" s="3"/>
      <c r="KY904" s="3"/>
      <c r="KZ904" s="3"/>
      <c r="LA904" s="3"/>
      <c r="LB904" s="3"/>
      <c r="LC904" s="3"/>
      <c r="LD904" s="3"/>
      <c r="LE904" s="3"/>
      <c r="LF904" s="3"/>
      <c r="LG904" s="3"/>
      <c r="LH904" s="3"/>
      <c r="LI904" s="3"/>
      <c r="LJ904" s="3"/>
      <c r="LK904" s="3"/>
      <c r="LL904" s="3"/>
      <c r="LM904" s="3"/>
      <c r="LN904" s="3"/>
      <c r="LO904" s="3"/>
      <c r="LP904" s="3"/>
      <c r="LQ904" s="3"/>
      <c r="LR904" s="3"/>
      <c r="LS904" s="3"/>
      <c r="LT904" s="3"/>
      <c r="LU904" s="3"/>
      <c r="LV904" s="3"/>
      <c r="LW904" s="3"/>
      <c r="LX904" s="3"/>
      <c r="LY904" s="3"/>
      <c r="LZ904" s="3"/>
      <c r="MA904" s="3"/>
      <c r="MB904" s="3"/>
      <c r="MC904" s="3"/>
      <c r="MD904" s="3"/>
      <c r="ME904" s="3"/>
      <c r="MF904" s="3"/>
      <c r="MG904" s="3"/>
      <c r="MH904" s="3"/>
      <c r="MI904" s="3"/>
    </row>
    <row r="905" spans="1:347"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c r="HX905" s="3"/>
      <c r="HY905" s="3"/>
      <c r="HZ905" s="3"/>
      <c r="IA905" s="3"/>
      <c r="IB905" s="3"/>
      <c r="IC905" s="3"/>
      <c r="ID905" s="3"/>
      <c r="IE905" s="3"/>
      <c r="IF905" s="3"/>
      <c r="IG905" s="3"/>
      <c r="IH905" s="3"/>
      <c r="II905" s="3"/>
      <c r="IJ905" s="3"/>
      <c r="IK905" s="3"/>
      <c r="IL905" s="3"/>
      <c r="IM905" s="3"/>
      <c r="IN905" s="3"/>
      <c r="IO905" s="3"/>
      <c r="IP905" s="3"/>
      <c r="IQ905" s="3"/>
      <c r="IR905" s="3"/>
      <c r="IS905" s="3"/>
      <c r="IT905" s="3"/>
      <c r="IU905" s="3"/>
      <c r="IV905" s="3"/>
      <c r="IW905" s="3"/>
      <c r="IX905" s="3"/>
      <c r="IY905" s="3"/>
      <c r="IZ905" s="3"/>
      <c r="JA905" s="3"/>
      <c r="JB905" s="3"/>
      <c r="JC905" s="3"/>
      <c r="JD905" s="3"/>
      <c r="JE905" s="3"/>
      <c r="JF905" s="3"/>
      <c r="JG905" s="3"/>
      <c r="JH905" s="3"/>
      <c r="JI905" s="3"/>
      <c r="JJ905" s="3"/>
      <c r="JK905" s="3"/>
      <c r="JL905" s="3"/>
      <c r="JM905" s="3"/>
      <c r="JN905" s="3"/>
      <c r="JO905" s="3"/>
      <c r="JP905" s="3"/>
      <c r="JQ905" s="3"/>
      <c r="JR905" s="3"/>
      <c r="JS905" s="3"/>
      <c r="JT905" s="3"/>
      <c r="JU905" s="3"/>
      <c r="JV905" s="3"/>
      <c r="JW905" s="3"/>
      <c r="JX905" s="3"/>
      <c r="JY905" s="3"/>
      <c r="JZ905" s="3"/>
      <c r="KA905" s="3"/>
      <c r="KB905" s="3"/>
      <c r="KC905" s="3"/>
      <c r="KD905" s="3"/>
      <c r="KE905" s="3"/>
      <c r="KF905" s="3"/>
      <c r="KG905" s="3"/>
      <c r="KH905" s="3"/>
      <c r="KI905" s="3"/>
      <c r="KJ905" s="3"/>
      <c r="KK905" s="3"/>
      <c r="KL905" s="3"/>
      <c r="KM905" s="3"/>
      <c r="KN905" s="3"/>
      <c r="KO905" s="3"/>
      <c r="KP905" s="3"/>
      <c r="KQ905" s="3"/>
      <c r="KR905" s="3"/>
      <c r="KS905" s="3"/>
      <c r="KT905" s="3"/>
      <c r="KU905" s="3"/>
      <c r="KV905" s="3"/>
      <c r="KW905" s="3"/>
      <c r="KX905" s="3"/>
      <c r="KY905" s="3"/>
      <c r="KZ905" s="3"/>
      <c r="LA905" s="3"/>
      <c r="LB905" s="3"/>
      <c r="LC905" s="3"/>
      <c r="LD905" s="3"/>
      <c r="LE905" s="3"/>
      <c r="LF905" s="3"/>
      <c r="LG905" s="3"/>
      <c r="LH905" s="3"/>
      <c r="LI905" s="3"/>
      <c r="LJ905" s="3"/>
      <c r="LK905" s="3"/>
      <c r="LL905" s="3"/>
      <c r="LM905" s="3"/>
      <c r="LN905" s="3"/>
      <c r="LO905" s="3"/>
      <c r="LP905" s="3"/>
      <c r="LQ905" s="3"/>
      <c r="LR905" s="3"/>
      <c r="LS905" s="3"/>
      <c r="LT905" s="3"/>
      <c r="LU905" s="3"/>
      <c r="LV905" s="3"/>
      <c r="LW905" s="3"/>
      <c r="LX905" s="3"/>
      <c r="LY905" s="3"/>
      <c r="LZ905" s="3"/>
      <c r="MA905" s="3"/>
      <c r="MB905" s="3"/>
      <c r="MC905" s="3"/>
      <c r="MD905" s="3"/>
      <c r="ME905" s="3"/>
      <c r="MF905" s="3"/>
      <c r="MG905" s="3"/>
      <c r="MH905" s="3"/>
      <c r="MI905" s="3"/>
    </row>
    <row r="906" spans="1:347"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c r="HX906" s="3"/>
      <c r="HY906" s="3"/>
      <c r="HZ906" s="3"/>
      <c r="IA906" s="3"/>
      <c r="IB906" s="3"/>
      <c r="IC906" s="3"/>
      <c r="ID906" s="3"/>
      <c r="IE906" s="3"/>
      <c r="IF906" s="3"/>
      <c r="IG906" s="3"/>
      <c r="IH906" s="3"/>
      <c r="II906" s="3"/>
      <c r="IJ906" s="3"/>
      <c r="IK906" s="3"/>
      <c r="IL906" s="3"/>
      <c r="IM906" s="3"/>
      <c r="IN906" s="3"/>
      <c r="IO906" s="3"/>
      <c r="IP906" s="3"/>
      <c r="IQ906" s="3"/>
      <c r="IR906" s="3"/>
      <c r="IS906" s="3"/>
      <c r="IT906" s="3"/>
      <c r="IU906" s="3"/>
      <c r="IV906" s="3"/>
      <c r="IW906" s="3"/>
      <c r="IX906" s="3"/>
      <c r="IY906" s="3"/>
      <c r="IZ906" s="3"/>
      <c r="JA906" s="3"/>
      <c r="JB906" s="3"/>
      <c r="JC906" s="3"/>
      <c r="JD906" s="3"/>
      <c r="JE906" s="3"/>
      <c r="JF906" s="3"/>
      <c r="JG906" s="3"/>
      <c r="JH906" s="3"/>
      <c r="JI906" s="3"/>
      <c r="JJ906" s="3"/>
      <c r="JK906" s="3"/>
      <c r="JL906" s="3"/>
      <c r="JM906" s="3"/>
      <c r="JN906" s="3"/>
      <c r="JO906" s="3"/>
      <c r="JP906" s="3"/>
      <c r="JQ906" s="3"/>
      <c r="JR906" s="3"/>
      <c r="JS906" s="3"/>
      <c r="JT906" s="3"/>
      <c r="JU906" s="3"/>
      <c r="JV906" s="3"/>
      <c r="JW906" s="3"/>
      <c r="JX906" s="3"/>
      <c r="JY906" s="3"/>
      <c r="JZ906" s="3"/>
      <c r="KA906" s="3"/>
      <c r="KB906" s="3"/>
      <c r="KC906" s="3"/>
      <c r="KD906" s="3"/>
      <c r="KE906" s="3"/>
      <c r="KF906" s="3"/>
      <c r="KG906" s="3"/>
      <c r="KH906" s="3"/>
      <c r="KI906" s="3"/>
      <c r="KJ906" s="3"/>
      <c r="KK906" s="3"/>
      <c r="KL906" s="3"/>
      <c r="KM906" s="3"/>
      <c r="KN906" s="3"/>
      <c r="KO906" s="3"/>
      <c r="KP906" s="3"/>
      <c r="KQ906" s="3"/>
      <c r="KR906" s="3"/>
      <c r="KS906" s="3"/>
      <c r="KT906" s="3"/>
      <c r="KU906" s="3"/>
      <c r="KV906" s="3"/>
      <c r="KW906" s="3"/>
      <c r="KX906" s="3"/>
      <c r="KY906" s="3"/>
      <c r="KZ906" s="3"/>
      <c r="LA906" s="3"/>
      <c r="LB906" s="3"/>
      <c r="LC906" s="3"/>
      <c r="LD906" s="3"/>
      <c r="LE906" s="3"/>
      <c r="LF906" s="3"/>
      <c r="LG906" s="3"/>
      <c r="LH906" s="3"/>
      <c r="LI906" s="3"/>
      <c r="LJ906" s="3"/>
      <c r="LK906" s="3"/>
      <c r="LL906" s="3"/>
      <c r="LM906" s="3"/>
      <c r="LN906" s="3"/>
      <c r="LO906" s="3"/>
      <c r="LP906" s="3"/>
      <c r="LQ906" s="3"/>
      <c r="LR906" s="3"/>
      <c r="LS906" s="3"/>
      <c r="LT906" s="3"/>
      <c r="LU906" s="3"/>
      <c r="LV906" s="3"/>
      <c r="LW906" s="3"/>
      <c r="LX906" s="3"/>
      <c r="LY906" s="3"/>
      <c r="LZ906" s="3"/>
      <c r="MA906" s="3"/>
      <c r="MB906" s="3"/>
      <c r="MC906" s="3"/>
      <c r="MD906" s="3"/>
      <c r="ME906" s="3"/>
      <c r="MF906" s="3"/>
      <c r="MG906" s="3"/>
      <c r="MH906" s="3"/>
      <c r="MI906" s="3"/>
    </row>
    <row r="907" spans="1:347"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c r="HX907" s="3"/>
      <c r="HY907" s="3"/>
      <c r="HZ907" s="3"/>
      <c r="IA907" s="3"/>
      <c r="IB907" s="3"/>
      <c r="IC907" s="3"/>
      <c r="ID907" s="3"/>
      <c r="IE907" s="3"/>
      <c r="IF907" s="3"/>
      <c r="IG907" s="3"/>
      <c r="IH907" s="3"/>
      <c r="II907" s="3"/>
      <c r="IJ907" s="3"/>
      <c r="IK907" s="3"/>
      <c r="IL907" s="3"/>
      <c r="IM907" s="3"/>
      <c r="IN907" s="3"/>
      <c r="IO907" s="3"/>
      <c r="IP907" s="3"/>
      <c r="IQ907" s="3"/>
      <c r="IR907" s="3"/>
      <c r="IS907" s="3"/>
      <c r="IT907" s="3"/>
      <c r="IU907" s="3"/>
      <c r="IV907" s="3"/>
      <c r="IW907" s="3"/>
      <c r="IX907" s="3"/>
      <c r="IY907" s="3"/>
      <c r="IZ907" s="3"/>
      <c r="JA907" s="3"/>
      <c r="JB907" s="3"/>
      <c r="JC907" s="3"/>
      <c r="JD907" s="3"/>
      <c r="JE907" s="3"/>
      <c r="JF907" s="3"/>
      <c r="JG907" s="3"/>
      <c r="JH907" s="3"/>
      <c r="JI907" s="3"/>
      <c r="JJ907" s="3"/>
      <c r="JK907" s="3"/>
      <c r="JL907" s="3"/>
      <c r="JM907" s="3"/>
      <c r="JN907" s="3"/>
      <c r="JO907" s="3"/>
      <c r="JP907" s="3"/>
      <c r="JQ907" s="3"/>
      <c r="JR907" s="3"/>
      <c r="JS907" s="3"/>
      <c r="JT907" s="3"/>
      <c r="JU907" s="3"/>
      <c r="JV907" s="3"/>
      <c r="JW907" s="3"/>
      <c r="JX907" s="3"/>
      <c r="JY907" s="3"/>
      <c r="JZ907" s="3"/>
      <c r="KA907" s="3"/>
      <c r="KB907" s="3"/>
      <c r="KC907" s="3"/>
      <c r="KD907" s="3"/>
      <c r="KE907" s="3"/>
      <c r="KF907" s="3"/>
      <c r="KG907" s="3"/>
      <c r="KH907" s="3"/>
      <c r="KI907" s="3"/>
      <c r="KJ907" s="3"/>
      <c r="KK907" s="3"/>
      <c r="KL907" s="3"/>
      <c r="KM907" s="3"/>
      <c r="KN907" s="3"/>
      <c r="KO907" s="3"/>
      <c r="KP907" s="3"/>
      <c r="KQ907" s="3"/>
      <c r="KR907" s="3"/>
      <c r="KS907" s="3"/>
      <c r="KT907" s="3"/>
      <c r="KU907" s="3"/>
      <c r="KV907" s="3"/>
      <c r="KW907" s="3"/>
      <c r="KX907" s="3"/>
      <c r="KY907" s="3"/>
      <c r="KZ907" s="3"/>
      <c r="LA907" s="3"/>
      <c r="LB907" s="3"/>
      <c r="LC907" s="3"/>
      <c r="LD907" s="3"/>
      <c r="LE907" s="3"/>
      <c r="LF907" s="3"/>
      <c r="LG907" s="3"/>
      <c r="LH907" s="3"/>
      <c r="LI907" s="3"/>
      <c r="LJ907" s="3"/>
      <c r="LK907" s="3"/>
      <c r="LL907" s="3"/>
      <c r="LM907" s="3"/>
      <c r="LN907" s="3"/>
      <c r="LO907" s="3"/>
      <c r="LP907" s="3"/>
      <c r="LQ907" s="3"/>
      <c r="LR907" s="3"/>
      <c r="LS907" s="3"/>
      <c r="LT907" s="3"/>
      <c r="LU907" s="3"/>
      <c r="LV907" s="3"/>
      <c r="LW907" s="3"/>
      <c r="LX907" s="3"/>
      <c r="LY907" s="3"/>
      <c r="LZ907" s="3"/>
      <c r="MA907" s="3"/>
      <c r="MB907" s="3"/>
      <c r="MC907" s="3"/>
      <c r="MD907" s="3"/>
      <c r="ME907" s="3"/>
      <c r="MF907" s="3"/>
      <c r="MG907" s="3"/>
      <c r="MH907" s="3"/>
      <c r="MI907" s="3"/>
    </row>
    <row r="908" spans="1:347"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c r="HX908" s="3"/>
      <c r="HY908" s="3"/>
      <c r="HZ908" s="3"/>
      <c r="IA908" s="3"/>
      <c r="IB908" s="3"/>
      <c r="IC908" s="3"/>
      <c r="ID908" s="3"/>
      <c r="IE908" s="3"/>
      <c r="IF908" s="3"/>
      <c r="IG908" s="3"/>
      <c r="IH908" s="3"/>
      <c r="II908" s="3"/>
      <c r="IJ908" s="3"/>
      <c r="IK908" s="3"/>
      <c r="IL908" s="3"/>
      <c r="IM908" s="3"/>
      <c r="IN908" s="3"/>
      <c r="IO908" s="3"/>
      <c r="IP908" s="3"/>
      <c r="IQ908" s="3"/>
      <c r="IR908" s="3"/>
      <c r="IS908" s="3"/>
      <c r="IT908" s="3"/>
      <c r="IU908" s="3"/>
      <c r="IV908" s="3"/>
      <c r="IW908" s="3"/>
      <c r="IX908" s="3"/>
      <c r="IY908" s="3"/>
      <c r="IZ908" s="3"/>
      <c r="JA908" s="3"/>
      <c r="JB908" s="3"/>
      <c r="JC908" s="3"/>
      <c r="JD908" s="3"/>
      <c r="JE908" s="3"/>
      <c r="JF908" s="3"/>
      <c r="JG908" s="3"/>
      <c r="JH908" s="3"/>
      <c r="JI908" s="3"/>
      <c r="JJ908" s="3"/>
      <c r="JK908" s="3"/>
      <c r="JL908" s="3"/>
      <c r="JM908" s="3"/>
      <c r="JN908" s="3"/>
      <c r="JO908" s="3"/>
      <c r="JP908" s="3"/>
      <c r="JQ908" s="3"/>
      <c r="JR908" s="3"/>
      <c r="JS908" s="3"/>
      <c r="JT908" s="3"/>
      <c r="JU908" s="3"/>
      <c r="JV908" s="3"/>
      <c r="JW908" s="3"/>
      <c r="JX908" s="3"/>
      <c r="JY908" s="3"/>
      <c r="JZ908" s="3"/>
      <c r="KA908" s="3"/>
      <c r="KB908" s="3"/>
      <c r="KC908" s="3"/>
      <c r="KD908" s="3"/>
      <c r="KE908" s="3"/>
      <c r="KF908" s="3"/>
      <c r="KG908" s="3"/>
      <c r="KH908" s="3"/>
      <c r="KI908" s="3"/>
      <c r="KJ908" s="3"/>
      <c r="KK908" s="3"/>
      <c r="KL908" s="3"/>
      <c r="KM908" s="3"/>
      <c r="KN908" s="3"/>
      <c r="KO908" s="3"/>
      <c r="KP908" s="3"/>
      <c r="KQ908" s="3"/>
      <c r="KR908" s="3"/>
      <c r="KS908" s="3"/>
      <c r="KT908" s="3"/>
      <c r="KU908" s="3"/>
      <c r="KV908" s="3"/>
      <c r="KW908" s="3"/>
      <c r="KX908" s="3"/>
      <c r="KY908" s="3"/>
      <c r="KZ908" s="3"/>
      <c r="LA908" s="3"/>
      <c r="LB908" s="3"/>
      <c r="LC908" s="3"/>
      <c r="LD908" s="3"/>
      <c r="LE908" s="3"/>
      <c r="LF908" s="3"/>
      <c r="LG908" s="3"/>
      <c r="LH908" s="3"/>
      <c r="LI908" s="3"/>
      <c r="LJ908" s="3"/>
      <c r="LK908" s="3"/>
      <c r="LL908" s="3"/>
      <c r="LM908" s="3"/>
      <c r="LN908" s="3"/>
      <c r="LO908" s="3"/>
      <c r="LP908" s="3"/>
      <c r="LQ908" s="3"/>
      <c r="LR908" s="3"/>
      <c r="LS908" s="3"/>
      <c r="LT908" s="3"/>
      <c r="LU908" s="3"/>
      <c r="LV908" s="3"/>
      <c r="LW908" s="3"/>
      <c r="LX908" s="3"/>
      <c r="LY908" s="3"/>
      <c r="LZ908" s="3"/>
      <c r="MA908" s="3"/>
      <c r="MB908" s="3"/>
      <c r="MC908" s="3"/>
      <c r="MD908" s="3"/>
      <c r="ME908" s="3"/>
      <c r="MF908" s="3"/>
      <c r="MG908" s="3"/>
      <c r="MH908" s="3"/>
      <c r="MI908" s="3"/>
    </row>
    <row r="909" spans="1:347"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c r="HX909" s="3"/>
      <c r="HY909" s="3"/>
      <c r="HZ909" s="3"/>
      <c r="IA909" s="3"/>
      <c r="IB909" s="3"/>
      <c r="IC909" s="3"/>
      <c r="ID909" s="3"/>
      <c r="IE909" s="3"/>
      <c r="IF909" s="3"/>
      <c r="IG909" s="3"/>
      <c r="IH909" s="3"/>
      <c r="II909" s="3"/>
      <c r="IJ909" s="3"/>
      <c r="IK909" s="3"/>
      <c r="IL909" s="3"/>
      <c r="IM909" s="3"/>
      <c r="IN909" s="3"/>
      <c r="IO909" s="3"/>
      <c r="IP909" s="3"/>
      <c r="IQ909" s="3"/>
      <c r="IR909" s="3"/>
      <c r="IS909" s="3"/>
      <c r="IT909" s="3"/>
      <c r="IU909" s="3"/>
      <c r="IV909" s="3"/>
      <c r="IW909" s="3"/>
      <c r="IX909" s="3"/>
      <c r="IY909" s="3"/>
      <c r="IZ909" s="3"/>
      <c r="JA909" s="3"/>
      <c r="JB909" s="3"/>
      <c r="JC909" s="3"/>
      <c r="JD909" s="3"/>
      <c r="JE909" s="3"/>
      <c r="JF909" s="3"/>
      <c r="JG909" s="3"/>
      <c r="JH909" s="3"/>
      <c r="JI909" s="3"/>
      <c r="JJ909" s="3"/>
      <c r="JK909" s="3"/>
      <c r="JL909" s="3"/>
      <c r="JM909" s="3"/>
      <c r="JN909" s="3"/>
      <c r="JO909" s="3"/>
      <c r="JP909" s="3"/>
      <c r="JQ909" s="3"/>
      <c r="JR909" s="3"/>
      <c r="JS909" s="3"/>
      <c r="JT909" s="3"/>
      <c r="JU909" s="3"/>
      <c r="JV909" s="3"/>
      <c r="JW909" s="3"/>
      <c r="JX909" s="3"/>
      <c r="JY909" s="3"/>
      <c r="JZ909" s="3"/>
      <c r="KA909" s="3"/>
      <c r="KB909" s="3"/>
      <c r="KC909" s="3"/>
      <c r="KD909" s="3"/>
      <c r="KE909" s="3"/>
      <c r="KF909" s="3"/>
      <c r="KG909" s="3"/>
      <c r="KH909" s="3"/>
      <c r="KI909" s="3"/>
      <c r="KJ909" s="3"/>
      <c r="KK909" s="3"/>
      <c r="KL909" s="3"/>
      <c r="KM909" s="3"/>
      <c r="KN909" s="3"/>
      <c r="KO909" s="3"/>
      <c r="KP909" s="3"/>
      <c r="KQ909" s="3"/>
      <c r="KR909" s="3"/>
      <c r="KS909" s="3"/>
      <c r="KT909" s="3"/>
      <c r="KU909" s="3"/>
      <c r="KV909" s="3"/>
      <c r="KW909" s="3"/>
      <c r="KX909" s="3"/>
      <c r="KY909" s="3"/>
      <c r="KZ909" s="3"/>
      <c r="LA909" s="3"/>
      <c r="LB909" s="3"/>
      <c r="LC909" s="3"/>
      <c r="LD909" s="3"/>
      <c r="LE909" s="3"/>
      <c r="LF909" s="3"/>
      <c r="LG909" s="3"/>
      <c r="LH909" s="3"/>
      <c r="LI909" s="3"/>
      <c r="LJ909" s="3"/>
      <c r="LK909" s="3"/>
      <c r="LL909" s="3"/>
      <c r="LM909" s="3"/>
      <c r="LN909" s="3"/>
      <c r="LO909" s="3"/>
      <c r="LP909" s="3"/>
      <c r="LQ909" s="3"/>
      <c r="LR909" s="3"/>
      <c r="LS909" s="3"/>
      <c r="LT909" s="3"/>
      <c r="LU909" s="3"/>
      <c r="LV909" s="3"/>
      <c r="LW909" s="3"/>
      <c r="LX909" s="3"/>
      <c r="LY909" s="3"/>
      <c r="LZ909" s="3"/>
      <c r="MA909" s="3"/>
      <c r="MB909" s="3"/>
      <c r="MC909" s="3"/>
      <c r="MD909" s="3"/>
      <c r="ME909" s="3"/>
      <c r="MF909" s="3"/>
      <c r="MG909" s="3"/>
      <c r="MH909" s="3"/>
      <c r="MI909" s="3"/>
    </row>
    <row r="910" spans="1:347"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c r="HX910" s="3"/>
      <c r="HY910" s="3"/>
      <c r="HZ910" s="3"/>
      <c r="IA910" s="3"/>
      <c r="IB910" s="3"/>
      <c r="IC910" s="3"/>
      <c r="ID910" s="3"/>
      <c r="IE910" s="3"/>
      <c r="IF910" s="3"/>
      <c r="IG910" s="3"/>
      <c r="IH910" s="3"/>
      <c r="II910" s="3"/>
      <c r="IJ910" s="3"/>
      <c r="IK910" s="3"/>
      <c r="IL910" s="3"/>
      <c r="IM910" s="3"/>
      <c r="IN910" s="3"/>
      <c r="IO910" s="3"/>
      <c r="IP910" s="3"/>
      <c r="IQ910" s="3"/>
      <c r="IR910" s="3"/>
      <c r="IS910" s="3"/>
      <c r="IT910" s="3"/>
      <c r="IU910" s="3"/>
      <c r="IV910" s="3"/>
      <c r="IW910" s="3"/>
      <c r="IX910" s="3"/>
      <c r="IY910" s="3"/>
      <c r="IZ910" s="3"/>
      <c r="JA910" s="3"/>
      <c r="JB910" s="3"/>
      <c r="JC910" s="3"/>
      <c r="JD910" s="3"/>
      <c r="JE910" s="3"/>
      <c r="JF910" s="3"/>
      <c r="JG910" s="3"/>
      <c r="JH910" s="3"/>
      <c r="JI910" s="3"/>
      <c r="JJ910" s="3"/>
      <c r="JK910" s="3"/>
      <c r="JL910" s="3"/>
      <c r="JM910" s="3"/>
      <c r="JN910" s="3"/>
      <c r="JO910" s="3"/>
      <c r="JP910" s="3"/>
      <c r="JQ910" s="3"/>
      <c r="JR910" s="3"/>
      <c r="JS910" s="3"/>
      <c r="JT910" s="3"/>
      <c r="JU910" s="3"/>
      <c r="JV910" s="3"/>
      <c r="JW910" s="3"/>
      <c r="JX910" s="3"/>
      <c r="JY910" s="3"/>
      <c r="JZ910" s="3"/>
      <c r="KA910" s="3"/>
      <c r="KB910" s="3"/>
      <c r="KC910" s="3"/>
      <c r="KD910" s="3"/>
      <c r="KE910" s="3"/>
      <c r="KF910" s="3"/>
      <c r="KG910" s="3"/>
      <c r="KH910" s="3"/>
      <c r="KI910" s="3"/>
      <c r="KJ910" s="3"/>
      <c r="KK910" s="3"/>
      <c r="KL910" s="3"/>
      <c r="KM910" s="3"/>
      <c r="KN910" s="3"/>
      <c r="KO910" s="3"/>
      <c r="KP910" s="3"/>
      <c r="KQ910" s="3"/>
      <c r="KR910" s="3"/>
      <c r="KS910" s="3"/>
      <c r="KT910" s="3"/>
      <c r="KU910" s="3"/>
      <c r="KV910" s="3"/>
      <c r="KW910" s="3"/>
      <c r="KX910" s="3"/>
      <c r="KY910" s="3"/>
      <c r="KZ910" s="3"/>
      <c r="LA910" s="3"/>
      <c r="LB910" s="3"/>
      <c r="LC910" s="3"/>
      <c r="LD910" s="3"/>
      <c r="LE910" s="3"/>
      <c r="LF910" s="3"/>
      <c r="LG910" s="3"/>
      <c r="LH910" s="3"/>
      <c r="LI910" s="3"/>
      <c r="LJ910" s="3"/>
      <c r="LK910" s="3"/>
      <c r="LL910" s="3"/>
      <c r="LM910" s="3"/>
      <c r="LN910" s="3"/>
      <c r="LO910" s="3"/>
      <c r="LP910" s="3"/>
      <c r="LQ910" s="3"/>
      <c r="LR910" s="3"/>
      <c r="LS910" s="3"/>
      <c r="LT910" s="3"/>
      <c r="LU910" s="3"/>
      <c r="LV910" s="3"/>
      <c r="LW910" s="3"/>
      <c r="LX910" s="3"/>
      <c r="LY910" s="3"/>
      <c r="LZ910" s="3"/>
      <c r="MA910" s="3"/>
      <c r="MB910" s="3"/>
      <c r="MC910" s="3"/>
      <c r="MD910" s="3"/>
      <c r="ME910" s="3"/>
      <c r="MF910" s="3"/>
      <c r="MG910" s="3"/>
      <c r="MH910" s="3"/>
      <c r="MI910" s="3"/>
    </row>
    <row r="911" spans="1:347"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c r="HX911" s="3"/>
      <c r="HY911" s="3"/>
      <c r="HZ911" s="3"/>
      <c r="IA911" s="3"/>
      <c r="IB911" s="3"/>
      <c r="IC911" s="3"/>
      <c r="ID911" s="3"/>
      <c r="IE911" s="3"/>
      <c r="IF911" s="3"/>
      <c r="IG911" s="3"/>
      <c r="IH911" s="3"/>
      <c r="II911" s="3"/>
      <c r="IJ911" s="3"/>
      <c r="IK911" s="3"/>
      <c r="IL911" s="3"/>
      <c r="IM911" s="3"/>
      <c r="IN911" s="3"/>
      <c r="IO911" s="3"/>
      <c r="IP911" s="3"/>
      <c r="IQ911" s="3"/>
      <c r="IR911" s="3"/>
      <c r="IS911" s="3"/>
      <c r="IT911" s="3"/>
      <c r="IU911" s="3"/>
      <c r="IV911" s="3"/>
      <c r="IW911" s="3"/>
      <c r="IX911" s="3"/>
      <c r="IY911" s="3"/>
      <c r="IZ911" s="3"/>
      <c r="JA911" s="3"/>
      <c r="JB911" s="3"/>
      <c r="JC911" s="3"/>
      <c r="JD911" s="3"/>
      <c r="JE911" s="3"/>
      <c r="JF911" s="3"/>
      <c r="JG911" s="3"/>
      <c r="JH911" s="3"/>
      <c r="JI911" s="3"/>
      <c r="JJ911" s="3"/>
      <c r="JK911" s="3"/>
      <c r="JL911" s="3"/>
      <c r="JM911" s="3"/>
      <c r="JN911" s="3"/>
      <c r="JO911" s="3"/>
      <c r="JP911" s="3"/>
      <c r="JQ911" s="3"/>
      <c r="JR911" s="3"/>
      <c r="JS911" s="3"/>
      <c r="JT911" s="3"/>
      <c r="JU911" s="3"/>
      <c r="JV911" s="3"/>
      <c r="JW911" s="3"/>
      <c r="JX911" s="3"/>
      <c r="JY911" s="3"/>
      <c r="JZ911" s="3"/>
      <c r="KA911" s="3"/>
      <c r="KB911" s="3"/>
      <c r="KC911" s="3"/>
      <c r="KD911" s="3"/>
      <c r="KE911" s="3"/>
      <c r="KF911" s="3"/>
      <c r="KG911" s="3"/>
      <c r="KH911" s="3"/>
      <c r="KI911" s="3"/>
      <c r="KJ911" s="3"/>
      <c r="KK911" s="3"/>
      <c r="KL911" s="3"/>
      <c r="KM911" s="3"/>
      <c r="KN911" s="3"/>
      <c r="KO911" s="3"/>
      <c r="KP911" s="3"/>
      <c r="KQ911" s="3"/>
      <c r="KR911" s="3"/>
      <c r="KS911" s="3"/>
      <c r="KT911" s="3"/>
      <c r="KU911" s="3"/>
      <c r="KV911" s="3"/>
      <c r="KW911" s="3"/>
      <c r="KX911" s="3"/>
      <c r="KY911" s="3"/>
      <c r="KZ911" s="3"/>
      <c r="LA911" s="3"/>
      <c r="LB911" s="3"/>
      <c r="LC911" s="3"/>
      <c r="LD911" s="3"/>
      <c r="LE911" s="3"/>
      <c r="LF911" s="3"/>
      <c r="LG911" s="3"/>
      <c r="LH911" s="3"/>
      <c r="LI911" s="3"/>
      <c r="LJ911" s="3"/>
      <c r="LK911" s="3"/>
      <c r="LL911" s="3"/>
      <c r="LM911" s="3"/>
      <c r="LN911" s="3"/>
      <c r="LO911" s="3"/>
      <c r="LP911" s="3"/>
      <c r="LQ911" s="3"/>
      <c r="LR911" s="3"/>
      <c r="LS911" s="3"/>
      <c r="LT911" s="3"/>
      <c r="LU911" s="3"/>
      <c r="LV911" s="3"/>
      <c r="LW911" s="3"/>
      <c r="LX911" s="3"/>
      <c r="LY911" s="3"/>
      <c r="LZ911" s="3"/>
      <c r="MA911" s="3"/>
      <c r="MB911" s="3"/>
      <c r="MC911" s="3"/>
      <c r="MD911" s="3"/>
      <c r="ME911" s="3"/>
      <c r="MF911" s="3"/>
      <c r="MG911" s="3"/>
      <c r="MH911" s="3"/>
      <c r="MI911" s="3"/>
    </row>
    <row r="912" spans="1:347"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c r="HX912" s="3"/>
      <c r="HY912" s="3"/>
      <c r="HZ912" s="3"/>
      <c r="IA912" s="3"/>
      <c r="IB912" s="3"/>
      <c r="IC912" s="3"/>
      <c r="ID912" s="3"/>
      <c r="IE912" s="3"/>
      <c r="IF912" s="3"/>
      <c r="IG912" s="3"/>
      <c r="IH912" s="3"/>
      <c r="II912" s="3"/>
      <c r="IJ912" s="3"/>
      <c r="IK912" s="3"/>
      <c r="IL912" s="3"/>
      <c r="IM912" s="3"/>
      <c r="IN912" s="3"/>
      <c r="IO912" s="3"/>
      <c r="IP912" s="3"/>
      <c r="IQ912" s="3"/>
      <c r="IR912" s="3"/>
      <c r="IS912" s="3"/>
      <c r="IT912" s="3"/>
      <c r="IU912" s="3"/>
      <c r="IV912" s="3"/>
      <c r="IW912" s="3"/>
      <c r="IX912" s="3"/>
      <c r="IY912" s="3"/>
      <c r="IZ912" s="3"/>
      <c r="JA912" s="3"/>
      <c r="JB912" s="3"/>
      <c r="JC912" s="3"/>
      <c r="JD912" s="3"/>
      <c r="JE912" s="3"/>
      <c r="JF912" s="3"/>
      <c r="JG912" s="3"/>
      <c r="JH912" s="3"/>
      <c r="JI912" s="3"/>
      <c r="JJ912" s="3"/>
      <c r="JK912" s="3"/>
      <c r="JL912" s="3"/>
      <c r="JM912" s="3"/>
      <c r="JN912" s="3"/>
      <c r="JO912" s="3"/>
      <c r="JP912" s="3"/>
      <c r="JQ912" s="3"/>
      <c r="JR912" s="3"/>
      <c r="JS912" s="3"/>
      <c r="JT912" s="3"/>
      <c r="JU912" s="3"/>
      <c r="JV912" s="3"/>
      <c r="JW912" s="3"/>
      <c r="JX912" s="3"/>
      <c r="JY912" s="3"/>
      <c r="JZ912" s="3"/>
      <c r="KA912" s="3"/>
      <c r="KB912" s="3"/>
      <c r="KC912" s="3"/>
      <c r="KD912" s="3"/>
      <c r="KE912" s="3"/>
      <c r="KF912" s="3"/>
      <c r="KG912" s="3"/>
      <c r="KH912" s="3"/>
      <c r="KI912" s="3"/>
      <c r="KJ912" s="3"/>
      <c r="KK912" s="3"/>
      <c r="KL912" s="3"/>
      <c r="KM912" s="3"/>
      <c r="KN912" s="3"/>
      <c r="KO912" s="3"/>
      <c r="KP912" s="3"/>
      <c r="KQ912" s="3"/>
      <c r="KR912" s="3"/>
      <c r="KS912" s="3"/>
      <c r="KT912" s="3"/>
      <c r="KU912" s="3"/>
      <c r="KV912" s="3"/>
      <c r="KW912" s="3"/>
      <c r="KX912" s="3"/>
      <c r="KY912" s="3"/>
      <c r="KZ912" s="3"/>
      <c r="LA912" s="3"/>
      <c r="LB912" s="3"/>
      <c r="LC912" s="3"/>
      <c r="LD912" s="3"/>
      <c r="LE912" s="3"/>
      <c r="LF912" s="3"/>
      <c r="LG912" s="3"/>
      <c r="LH912" s="3"/>
      <c r="LI912" s="3"/>
      <c r="LJ912" s="3"/>
      <c r="LK912" s="3"/>
      <c r="LL912" s="3"/>
      <c r="LM912" s="3"/>
      <c r="LN912" s="3"/>
      <c r="LO912" s="3"/>
      <c r="LP912" s="3"/>
      <c r="LQ912" s="3"/>
      <c r="LR912" s="3"/>
      <c r="LS912" s="3"/>
      <c r="LT912" s="3"/>
      <c r="LU912" s="3"/>
      <c r="LV912" s="3"/>
      <c r="LW912" s="3"/>
      <c r="LX912" s="3"/>
      <c r="LY912" s="3"/>
      <c r="LZ912" s="3"/>
      <c r="MA912" s="3"/>
      <c r="MB912" s="3"/>
      <c r="MC912" s="3"/>
      <c r="MD912" s="3"/>
      <c r="ME912" s="3"/>
      <c r="MF912" s="3"/>
      <c r="MG912" s="3"/>
      <c r="MH912" s="3"/>
      <c r="MI912" s="3"/>
    </row>
    <row r="913" spans="1:347"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c r="HX913" s="3"/>
      <c r="HY913" s="3"/>
      <c r="HZ913" s="3"/>
      <c r="IA913" s="3"/>
      <c r="IB913" s="3"/>
      <c r="IC913" s="3"/>
      <c r="ID913" s="3"/>
      <c r="IE913" s="3"/>
      <c r="IF913" s="3"/>
      <c r="IG913" s="3"/>
      <c r="IH913" s="3"/>
      <c r="II913" s="3"/>
      <c r="IJ913" s="3"/>
      <c r="IK913" s="3"/>
      <c r="IL913" s="3"/>
      <c r="IM913" s="3"/>
      <c r="IN913" s="3"/>
      <c r="IO913" s="3"/>
      <c r="IP913" s="3"/>
      <c r="IQ913" s="3"/>
      <c r="IR913" s="3"/>
      <c r="IS913" s="3"/>
      <c r="IT913" s="3"/>
      <c r="IU913" s="3"/>
      <c r="IV913" s="3"/>
      <c r="IW913" s="3"/>
      <c r="IX913" s="3"/>
      <c r="IY913" s="3"/>
      <c r="IZ913" s="3"/>
      <c r="JA913" s="3"/>
      <c r="JB913" s="3"/>
      <c r="JC913" s="3"/>
      <c r="JD913" s="3"/>
      <c r="JE913" s="3"/>
      <c r="JF913" s="3"/>
      <c r="JG913" s="3"/>
      <c r="JH913" s="3"/>
      <c r="JI913" s="3"/>
      <c r="JJ913" s="3"/>
      <c r="JK913" s="3"/>
      <c r="JL913" s="3"/>
      <c r="JM913" s="3"/>
      <c r="JN913" s="3"/>
      <c r="JO913" s="3"/>
      <c r="JP913" s="3"/>
      <c r="JQ913" s="3"/>
      <c r="JR913" s="3"/>
      <c r="JS913" s="3"/>
      <c r="JT913" s="3"/>
      <c r="JU913" s="3"/>
      <c r="JV913" s="3"/>
      <c r="JW913" s="3"/>
      <c r="JX913" s="3"/>
      <c r="JY913" s="3"/>
      <c r="JZ913" s="3"/>
      <c r="KA913" s="3"/>
      <c r="KB913" s="3"/>
      <c r="KC913" s="3"/>
      <c r="KD913" s="3"/>
      <c r="KE913" s="3"/>
      <c r="KF913" s="3"/>
      <c r="KG913" s="3"/>
      <c r="KH913" s="3"/>
      <c r="KI913" s="3"/>
      <c r="KJ913" s="3"/>
      <c r="KK913" s="3"/>
      <c r="KL913" s="3"/>
      <c r="KM913" s="3"/>
      <c r="KN913" s="3"/>
      <c r="KO913" s="3"/>
      <c r="KP913" s="3"/>
      <c r="KQ913" s="3"/>
      <c r="KR913" s="3"/>
      <c r="KS913" s="3"/>
      <c r="KT913" s="3"/>
      <c r="KU913" s="3"/>
      <c r="KV913" s="3"/>
      <c r="KW913" s="3"/>
      <c r="KX913" s="3"/>
      <c r="KY913" s="3"/>
      <c r="KZ913" s="3"/>
      <c r="LA913" s="3"/>
      <c r="LB913" s="3"/>
      <c r="LC913" s="3"/>
      <c r="LD913" s="3"/>
      <c r="LE913" s="3"/>
      <c r="LF913" s="3"/>
      <c r="LG913" s="3"/>
      <c r="LH913" s="3"/>
      <c r="LI913" s="3"/>
      <c r="LJ913" s="3"/>
      <c r="LK913" s="3"/>
      <c r="LL913" s="3"/>
      <c r="LM913" s="3"/>
      <c r="LN913" s="3"/>
      <c r="LO913" s="3"/>
      <c r="LP913" s="3"/>
      <c r="LQ913" s="3"/>
      <c r="LR913" s="3"/>
      <c r="LS913" s="3"/>
      <c r="LT913" s="3"/>
      <c r="LU913" s="3"/>
      <c r="LV913" s="3"/>
      <c r="LW913" s="3"/>
      <c r="LX913" s="3"/>
      <c r="LY913" s="3"/>
      <c r="LZ913" s="3"/>
      <c r="MA913" s="3"/>
      <c r="MB913" s="3"/>
      <c r="MC913" s="3"/>
      <c r="MD913" s="3"/>
      <c r="ME913" s="3"/>
      <c r="MF913" s="3"/>
      <c r="MG913" s="3"/>
      <c r="MH913" s="3"/>
      <c r="MI913" s="3"/>
    </row>
    <row r="914" spans="1:347"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c r="HX914" s="3"/>
      <c r="HY914" s="3"/>
      <c r="HZ914" s="3"/>
      <c r="IA914" s="3"/>
      <c r="IB914" s="3"/>
      <c r="IC914" s="3"/>
      <c r="ID914" s="3"/>
      <c r="IE914" s="3"/>
      <c r="IF914" s="3"/>
      <c r="IG914" s="3"/>
      <c r="IH914" s="3"/>
      <c r="II914" s="3"/>
      <c r="IJ914" s="3"/>
      <c r="IK914" s="3"/>
      <c r="IL914" s="3"/>
      <c r="IM914" s="3"/>
      <c r="IN914" s="3"/>
      <c r="IO914" s="3"/>
      <c r="IP914" s="3"/>
      <c r="IQ914" s="3"/>
      <c r="IR914" s="3"/>
      <c r="IS914" s="3"/>
      <c r="IT914" s="3"/>
      <c r="IU914" s="3"/>
      <c r="IV914" s="3"/>
      <c r="IW914" s="3"/>
      <c r="IX914" s="3"/>
      <c r="IY914" s="3"/>
      <c r="IZ914" s="3"/>
      <c r="JA914" s="3"/>
      <c r="JB914" s="3"/>
      <c r="JC914" s="3"/>
      <c r="JD914" s="3"/>
      <c r="JE914" s="3"/>
      <c r="JF914" s="3"/>
      <c r="JG914" s="3"/>
      <c r="JH914" s="3"/>
      <c r="JI914" s="3"/>
      <c r="JJ914" s="3"/>
      <c r="JK914" s="3"/>
      <c r="JL914" s="3"/>
      <c r="JM914" s="3"/>
      <c r="JN914" s="3"/>
      <c r="JO914" s="3"/>
      <c r="JP914" s="3"/>
      <c r="JQ914" s="3"/>
      <c r="JR914" s="3"/>
      <c r="JS914" s="3"/>
      <c r="JT914" s="3"/>
      <c r="JU914" s="3"/>
      <c r="JV914" s="3"/>
      <c r="JW914" s="3"/>
      <c r="JX914" s="3"/>
      <c r="JY914" s="3"/>
      <c r="JZ914" s="3"/>
      <c r="KA914" s="3"/>
      <c r="KB914" s="3"/>
      <c r="KC914" s="3"/>
      <c r="KD914" s="3"/>
      <c r="KE914" s="3"/>
      <c r="KF914" s="3"/>
      <c r="KG914" s="3"/>
      <c r="KH914" s="3"/>
      <c r="KI914" s="3"/>
      <c r="KJ914" s="3"/>
      <c r="KK914" s="3"/>
      <c r="KL914" s="3"/>
      <c r="KM914" s="3"/>
      <c r="KN914" s="3"/>
      <c r="KO914" s="3"/>
      <c r="KP914" s="3"/>
      <c r="KQ914" s="3"/>
      <c r="KR914" s="3"/>
      <c r="KS914" s="3"/>
      <c r="KT914" s="3"/>
      <c r="KU914" s="3"/>
      <c r="KV914" s="3"/>
      <c r="KW914" s="3"/>
      <c r="KX914" s="3"/>
      <c r="KY914" s="3"/>
      <c r="KZ914" s="3"/>
      <c r="LA914" s="3"/>
      <c r="LB914" s="3"/>
      <c r="LC914" s="3"/>
      <c r="LD914" s="3"/>
      <c r="LE914" s="3"/>
      <c r="LF914" s="3"/>
      <c r="LG914" s="3"/>
      <c r="LH914" s="3"/>
      <c r="LI914" s="3"/>
      <c r="LJ914" s="3"/>
      <c r="LK914" s="3"/>
      <c r="LL914" s="3"/>
      <c r="LM914" s="3"/>
      <c r="LN914" s="3"/>
      <c r="LO914" s="3"/>
      <c r="LP914" s="3"/>
      <c r="LQ914" s="3"/>
      <c r="LR914" s="3"/>
      <c r="LS914" s="3"/>
      <c r="LT914" s="3"/>
      <c r="LU914" s="3"/>
      <c r="LV914" s="3"/>
      <c r="LW914" s="3"/>
      <c r="LX914" s="3"/>
      <c r="LY914" s="3"/>
      <c r="LZ914" s="3"/>
      <c r="MA914" s="3"/>
      <c r="MB914" s="3"/>
      <c r="MC914" s="3"/>
      <c r="MD914" s="3"/>
      <c r="ME914" s="3"/>
      <c r="MF914" s="3"/>
      <c r="MG914" s="3"/>
      <c r="MH914" s="3"/>
      <c r="MI914" s="3"/>
    </row>
    <row r="915" spans="1:347"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c r="HX915" s="3"/>
      <c r="HY915" s="3"/>
      <c r="HZ915" s="3"/>
      <c r="IA915" s="3"/>
      <c r="IB915" s="3"/>
      <c r="IC915" s="3"/>
      <c r="ID915" s="3"/>
      <c r="IE915" s="3"/>
      <c r="IF915" s="3"/>
      <c r="IG915" s="3"/>
      <c r="IH915" s="3"/>
      <c r="II915" s="3"/>
      <c r="IJ915" s="3"/>
      <c r="IK915" s="3"/>
      <c r="IL915" s="3"/>
      <c r="IM915" s="3"/>
      <c r="IN915" s="3"/>
      <c r="IO915" s="3"/>
      <c r="IP915" s="3"/>
      <c r="IQ915" s="3"/>
      <c r="IR915" s="3"/>
      <c r="IS915" s="3"/>
      <c r="IT915" s="3"/>
      <c r="IU915" s="3"/>
      <c r="IV915" s="3"/>
      <c r="IW915" s="3"/>
      <c r="IX915" s="3"/>
      <c r="IY915" s="3"/>
      <c r="IZ915" s="3"/>
      <c r="JA915" s="3"/>
      <c r="JB915" s="3"/>
      <c r="JC915" s="3"/>
      <c r="JD915" s="3"/>
      <c r="JE915" s="3"/>
      <c r="JF915" s="3"/>
      <c r="JG915" s="3"/>
      <c r="JH915" s="3"/>
      <c r="JI915" s="3"/>
      <c r="JJ915" s="3"/>
      <c r="JK915" s="3"/>
      <c r="JL915" s="3"/>
      <c r="JM915" s="3"/>
      <c r="JN915" s="3"/>
      <c r="JO915" s="3"/>
      <c r="JP915" s="3"/>
      <c r="JQ915" s="3"/>
      <c r="JR915" s="3"/>
      <c r="JS915" s="3"/>
      <c r="JT915" s="3"/>
      <c r="JU915" s="3"/>
      <c r="JV915" s="3"/>
      <c r="JW915" s="3"/>
      <c r="JX915" s="3"/>
      <c r="JY915" s="3"/>
      <c r="JZ915" s="3"/>
      <c r="KA915" s="3"/>
      <c r="KB915" s="3"/>
      <c r="KC915" s="3"/>
      <c r="KD915" s="3"/>
      <c r="KE915" s="3"/>
      <c r="KF915" s="3"/>
      <c r="KG915" s="3"/>
      <c r="KH915" s="3"/>
      <c r="KI915" s="3"/>
      <c r="KJ915" s="3"/>
      <c r="KK915" s="3"/>
      <c r="KL915" s="3"/>
      <c r="KM915" s="3"/>
      <c r="KN915" s="3"/>
      <c r="KO915" s="3"/>
      <c r="KP915" s="3"/>
      <c r="KQ915" s="3"/>
      <c r="KR915" s="3"/>
      <c r="KS915" s="3"/>
      <c r="KT915" s="3"/>
      <c r="KU915" s="3"/>
      <c r="KV915" s="3"/>
      <c r="KW915" s="3"/>
      <c r="KX915" s="3"/>
      <c r="KY915" s="3"/>
      <c r="KZ915" s="3"/>
      <c r="LA915" s="3"/>
      <c r="LB915" s="3"/>
      <c r="LC915" s="3"/>
      <c r="LD915" s="3"/>
      <c r="LE915" s="3"/>
      <c r="LF915" s="3"/>
      <c r="LG915" s="3"/>
      <c r="LH915" s="3"/>
      <c r="LI915" s="3"/>
      <c r="LJ915" s="3"/>
      <c r="LK915" s="3"/>
      <c r="LL915" s="3"/>
      <c r="LM915" s="3"/>
      <c r="LN915" s="3"/>
      <c r="LO915" s="3"/>
      <c r="LP915" s="3"/>
      <c r="LQ915" s="3"/>
      <c r="LR915" s="3"/>
      <c r="LS915" s="3"/>
      <c r="LT915" s="3"/>
      <c r="LU915" s="3"/>
      <c r="LV915" s="3"/>
      <c r="LW915" s="3"/>
      <c r="LX915" s="3"/>
      <c r="LY915" s="3"/>
      <c r="LZ915" s="3"/>
      <c r="MA915" s="3"/>
      <c r="MB915" s="3"/>
      <c r="MC915" s="3"/>
      <c r="MD915" s="3"/>
      <c r="ME915" s="3"/>
      <c r="MF915" s="3"/>
      <c r="MG915" s="3"/>
      <c r="MH915" s="3"/>
      <c r="MI915" s="3"/>
    </row>
    <row r="916" spans="1:347"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c r="HX916" s="3"/>
      <c r="HY916" s="3"/>
      <c r="HZ916" s="3"/>
      <c r="IA916" s="3"/>
      <c r="IB916" s="3"/>
      <c r="IC916" s="3"/>
      <c r="ID916" s="3"/>
      <c r="IE916" s="3"/>
      <c r="IF916" s="3"/>
      <c r="IG916" s="3"/>
      <c r="IH916" s="3"/>
      <c r="II916" s="3"/>
      <c r="IJ916" s="3"/>
      <c r="IK916" s="3"/>
      <c r="IL916" s="3"/>
      <c r="IM916" s="3"/>
      <c r="IN916" s="3"/>
      <c r="IO916" s="3"/>
      <c r="IP916" s="3"/>
      <c r="IQ916" s="3"/>
      <c r="IR916" s="3"/>
      <c r="IS916" s="3"/>
      <c r="IT916" s="3"/>
      <c r="IU916" s="3"/>
      <c r="IV916" s="3"/>
      <c r="IW916" s="3"/>
      <c r="IX916" s="3"/>
      <c r="IY916" s="3"/>
      <c r="IZ916" s="3"/>
      <c r="JA916" s="3"/>
      <c r="JB916" s="3"/>
      <c r="JC916" s="3"/>
      <c r="JD916" s="3"/>
      <c r="JE916" s="3"/>
      <c r="JF916" s="3"/>
      <c r="JG916" s="3"/>
      <c r="JH916" s="3"/>
      <c r="JI916" s="3"/>
      <c r="JJ916" s="3"/>
      <c r="JK916" s="3"/>
      <c r="JL916" s="3"/>
      <c r="JM916" s="3"/>
      <c r="JN916" s="3"/>
      <c r="JO916" s="3"/>
      <c r="JP916" s="3"/>
      <c r="JQ916" s="3"/>
      <c r="JR916" s="3"/>
      <c r="JS916" s="3"/>
      <c r="JT916" s="3"/>
      <c r="JU916" s="3"/>
      <c r="JV916" s="3"/>
      <c r="JW916" s="3"/>
      <c r="JX916" s="3"/>
      <c r="JY916" s="3"/>
      <c r="JZ916" s="3"/>
      <c r="KA916" s="3"/>
      <c r="KB916" s="3"/>
      <c r="KC916" s="3"/>
      <c r="KD916" s="3"/>
      <c r="KE916" s="3"/>
      <c r="KF916" s="3"/>
      <c r="KG916" s="3"/>
      <c r="KH916" s="3"/>
      <c r="KI916" s="3"/>
      <c r="KJ916" s="3"/>
      <c r="KK916" s="3"/>
      <c r="KL916" s="3"/>
      <c r="KM916" s="3"/>
      <c r="KN916" s="3"/>
      <c r="KO916" s="3"/>
      <c r="KP916" s="3"/>
      <c r="KQ916" s="3"/>
      <c r="KR916" s="3"/>
      <c r="KS916" s="3"/>
      <c r="KT916" s="3"/>
      <c r="KU916" s="3"/>
      <c r="KV916" s="3"/>
      <c r="KW916" s="3"/>
      <c r="KX916" s="3"/>
      <c r="KY916" s="3"/>
      <c r="KZ916" s="3"/>
      <c r="LA916" s="3"/>
      <c r="LB916" s="3"/>
      <c r="LC916" s="3"/>
      <c r="LD916" s="3"/>
      <c r="LE916" s="3"/>
      <c r="LF916" s="3"/>
      <c r="LG916" s="3"/>
      <c r="LH916" s="3"/>
      <c r="LI916" s="3"/>
      <c r="LJ916" s="3"/>
      <c r="LK916" s="3"/>
      <c r="LL916" s="3"/>
      <c r="LM916" s="3"/>
      <c r="LN916" s="3"/>
      <c r="LO916" s="3"/>
      <c r="LP916" s="3"/>
      <c r="LQ916" s="3"/>
      <c r="LR916" s="3"/>
      <c r="LS916" s="3"/>
      <c r="LT916" s="3"/>
      <c r="LU916" s="3"/>
      <c r="LV916" s="3"/>
      <c r="LW916" s="3"/>
      <c r="LX916" s="3"/>
      <c r="LY916" s="3"/>
      <c r="LZ916" s="3"/>
      <c r="MA916" s="3"/>
      <c r="MB916" s="3"/>
      <c r="MC916" s="3"/>
      <c r="MD916" s="3"/>
      <c r="ME916" s="3"/>
      <c r="MF916" s="3"/>
      <c r="MG916" s="3"/>
      <c r="MH916" s="3"/>
      <c r="MI916" s="3"/>
    </row>
    <row r="917" spans="1:347"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c r="HX917" s="3"/>
      <c r="HY917" s="3"/>
      <c r="HZ917" s="3"/>
      <c r="IA917" s="3"/>
      <c r="IB917" s="3"/>
      <c r="IC917" s="3"/>
      <c r="ID917" s="3"/>
      <c r="IE917" s="3"/>
      <c r="IF917" s="3"/>
      <c r="IG917" s="3"/>
      <c r="IH917" s="3"/>
      <c r="II917" s="3"/>
      <c r="IJ917" s="3"/>
      <c r="IK917" s="3"/>
      <c r="IL917" s="3"/>
      <c r="IM917" s="3"/>
      <c r="IN917" s="3"/>
      <c r="IO917" s="3"/>
      <c r="IP917" s="3"/>
      <c r="IQ917" s="3"/>
      <c r="IR917" s="3"/>
      <c r="IS917" s="3"/>
      <c r="IT917" s="3"/>
      <c r="IU917" s="3"/>
      <c r="IV917" s="3"/>
      <c r="IW917" s="3"/>
      <c r="IX917" s="3"/>
      <c r="IY917" s="3"/>
      <c r="IZ917" s="3"/>
      <c r="JA917" s="3"/>
      <c r="JB917" s="3"/>
      <c r="JC917" s="3"/>
      <c r="JD917" s="3"/>
      <c r="JE917" s="3"/>
      <c r="JF917" s="3"/>
      <c r="JG917" s="3"/>
      <c r="JH917" s="3"/>
      <c r="JI917" s="3"/>
      <c r="JJ917" s="3"/>
      <c r="JK917" s="3"/>
      <c r="JL917" s="3"/>
      <c r="JM917" s="3"/>
      <c r="JN917" s="3"/>
      <c r="JO917" s="3"/>
      <c r="JP917" s="3"/>
      <c r="JQ917" s="3"/>
      <c r="JR917" s="3"/>
      <c r="JS917" s="3"/>
      <c r="JT917" s="3"/>
      <c r="JU917" s="3"/>
      <c r="JV917" s="3"/>
      <c r="JW917" s="3"/>
      <c r="JX917" s="3"/>
      <c r="JY917" s="3"/>
      <c r="JZ917" s="3"/>
      <c r="KA917" s="3"/>
      <c r="KB917" s="3"/>
      <c r="KC917" s="3"/>
      <c r="KD917" s="3"/>
      <c r="KE917" s="3"/>
      <c r="KF917" s="3"/>
      <c r="KG917" s="3"/>
      <c r="KH917" s="3"/>
      <c r="KI917" s="3"/>
      <c r="KJ917" s="3"/>
      <c r="KK917" s="3"/>
      <c r="KL917" s="3"/>
      <c r="KM917" s="3"/>
      <c r="KN917" s="3"/>
      <c r="KO917" s="3"/>
      <c r="KP917" s="3"/>
      <c r="KQ917" s="3"/>
      <c r="KR917" s="3"/>
      <c r="KS917" s="3"/>
      <c r="KT917" s="3"/>
      <c r="KU917" s="3"/>
      <c r="KV917" s="3"/>
      <c r="KW917" s="3"/>
      <c r="KX917" s="3"/>
      <c r="KY917" s="3"/>
      <c r="KZ917" s="3"/>
      <c r="LA917" s="3"/>
      <c r="LB917" s="3"/>
      <c r="LC917" s="3"/>
      <c r="LD917" s="3"/>
      <c r="LE917" s="3"/>
      <c r="LF917" s="3"/>
      <c r="LG917" s="3"/>
      <c r="LH917" s="3"/>
      <c r="LI917" s="3"/>
      <c r="LJ917" s="3"/>
      <c r="LK917" s="3"/>
      <c r="LL917" s="3"/>
      <c r="LM917" s="3"/>
      <c r="LN917" s="3"/>
      <c r="LO917" s="3"/>
      <c r="LP917" s="3"/>
      <c r="LQ917" s="3"/>
      <c r="LR917" s="3"/>
      <c r="LS917" s="3"/>
      <c r="LT917" s="3"/>
      <c r="LU917" s="3"/>
      <c r="LV917" s="3"/>
      <c r="LW917" s="3"/>
      <c r="LX917" s="3"/>
      <c r="LY917" s="3"/>
      <c r="LZ917" s="3"/>
      <c r="MA917" s="3"/>
      <c r="MB917" s="3"/>
      <c r="MC917" s="3"/>
      <c r="MD917" s="3"/>
      <c r="ME917" s="3"/>
      <c r="MF917" s="3"/>
      <c r="MG917" s="3"/>
      <c r="MH917" s="3"/>
      <c r="MI917" s="3"/>
    </row>
    <row r="918" spans="1:347"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c r="HX918" s="3"/>
      <c r="HY918" s="3"/>
      <c r="HZ918" s="3"/>
      <c r="IA918" s="3"/>
      <c r="IB918" s="3"/>
      <c r="IC918" s="3"/>
      <c r="ID918" s="3"/>
      <c r="IE918" s="3"/>
      <c r="IF918" s="3"/>
      <c r="IG918" s="3"/>
      <c r="IH918" s="3"/>
      <c r="II918" s="3"/>
      <c r="IJ918" s="3"/>
      <c r="IK918" s="3"/>
      <c r="IL918" s="3"/>
      <c r="IM918" s="3"/>
      <c r="IN918" s="3"/>
      <c r="IO918" s="3"/>
      <c r="IP918" s="3"/>
      <c r="IQ918" s="3"/>
      <c r="IR918" s="3"/>
      <c r="IS918" s="3"/>
      <c r="IT918" s="3"/>
      <c r="IU918" s="3"/>
      <c r="IV918" s="3"/>
      <c r="IW918" s="3"/>
      <c r="IX918" s="3"/>
      <c r="IY918" s="3"/>
      <c r="IZ918" s="3"/>
      <c r="JA918" s="3"/>
      <c r="JB918" s="3"/>
      <c r="JC918" s="3"/>
      <c r="JD918" s="3"/>
      <c r="JE918" s="3"/>
      <c r="JF918" s="3"/>
      <c r="JG918" s="3"/>
      <c r="JH918" s="3"/>
      <c r="JI918" s="3"/>
      <c r="JJ918" s="3"/>
      <c r="JK918" s="3"/>
      <c r="JL918" s="3"/>
      <c r="JM918" s="3"/>
      <c r="JN918" s="3"/>
      <c r="JO918" s="3"/>
      <c r="JP918" s="3"/>
      <c r="JQ918" s="3"/>
      <c r="JR918" s="3"/>
      <c r="JS918" s="3"/>
      <c r="JT918" s="3"/>
      <c r="JU918" s="3"/>
      <c r="JV918" s="3"/>
      <c r="JW918" s="3"/>
      <c r="JX918" s="3"/>
      <c r="JY918" s="3"/>
      <c r="JZ918" s="3"/>
      <c r="KA918" s="3"/>
      <c r="KB918" s="3"/>
      <c r="KC918" s="3"/>
      <c r="KD918" s="3"/>
      <c r="KE918" s="3"/>
      <c r="KF918" s="3"/>
      <c r="KG918" s="3"/>
      <c r="KH918" s="3"/>
      <c r="KI918" s="3"/>
      <c r="KJ918" s="3"/>
      <c r="KK918" s="3"/>
      <c r="KL918" s="3"/>
      <c r="KM918" s="3"/>
      <c r="KN918" s="3"/>
      <c r="KO918" s="3"/>
      <c r="KP918" s="3"/>
      <c r="KQ918" s="3"/>
      <c r="KR918" s="3"/>
      <c r="KS918" s="3"/>
      <c r="KT918" s="3"/>
      <c r="KU918" s="3"/>
      <c r="KV918" s="3"/>
      <c r="KW918" s="3"/>
      <c r="KX918" s="3"/>
      <c r="KY918" s="3"/>
      <c r="KZ918" s="3"/>
      <c r="LA918" s="3"/>
      <c r="LB918" s="3"/>
      <c r="LC918" s="3"/>
      <c r="LD918" s="3"/>
      <c r="LE918" s="3"/>
      <c r="LF918" s="3"/>
      <c r="LG918" s="3"/>
      <c r="LH918" s="3"/>
      <c r="LI918" s="3"/>
      <c r="LJ918" s="3"/>
      <c r="LK918" s="3"/>
      <c r="LL918" s="3"/>
      <c r="LM918" s="3"/>
      <c r="LN918" s="3"/>
      <c r="LO918" s="3"/>
      <c r="LP918" s="3"/>
      <c r="LQ918" s="3"/>
      <c r="LR918" s="3"/>
      <c r="LS918" s="3"/>
      <c r="LT918" s="3"/>
      <c r="LU918" s="3"/>
      <c r="LV918" s="3"/>
      <c r="LW918" s="3"/>
      <c r="LX918" s="3"/>
      <c r="LY918" s="3"/>
      <c r="LZ918" s="3"/>
      <c r="MA918" s="3"/>
      <c r="MB918" s="3"/>
      <c r="MC918" s="3"/>
      <c r="MD918" s="3"/>
      <c r="ME918" s="3"/>
      <c r="MF918" s="3"/>
      <c r="MG918" s="3"/>
      <c r="MH918" s="3"/>
      <c r="MI918" s="3"/>
    </row>
    <row r="919" spans="1:347"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c r="HX919" s="3"/>
      <c r="HY919" s="3"/>
      <c r="HZ919" s="3"/>
      <c r="IA919" s="3"/>
      <c r="IB919" s="3"/>
      <c r="IC919" s="3"/>
      <c r="ID919" s="3"/>
      <c r="IE919" s="3"/>
      <c r="IF919" s="3"/>
      <c r="IG919" s="3"/>
      <c r="IH919" s="3"/>
      <c r="II919" s="3"/>
      <c r="IJ919" s="3"/>
      <c r="IK919" s="3"/>
      <c r="IL919" s="3"/>
      <c r="IM919" s="3"/>
      <c r="IN919" s="3"/>
      <c r="IO919" s="3"/>
      <c r="IP919" s="3"/>
      <c r="IQ919" s="3"/>
      <c r="IR919" s="3"/>
      <c r="IS919" s="3"/>
      <c r="IT919" s="3"/>
      <c r="IU919" s="3"/>
      <c r="IV919" s="3"/>
      <c r="IW919" s="3"/>
      <c r="IX919" s="3"/>
      <c r="IY919" s="3"/>
      <c r="IZ919" s="3"/>
      <c r="JA919" s="3"/>
      <c r="JB919" s="3"/>
      <c r="JC919" s="3"/>
      <c r="JD919" s="3"/>
      <c r="JE919" s="3"/>
      <c r="JF919" s="3"/>
      <c r="JG919" s="3"/>
      <c r="JH919" s="3"/>
      <c r="JI919" s="3"/>
      <c r="JJ919" s="3"/>
      <c r="JK919" s="3"/>
      <c r="JL919" s="3"/>
      <c r="JM919" s="3"/>
      <c r="JN919" s="3"/>
      <c r="JO919" s="3"/>
      <c r="JP919" s="3"/>
      <c r="JQ919" s="3"/>
      <c r="JR919" s="3"/>
      <c r="JS919" s="3"/>
      <c r="JT919" s="3"/>
      <c r="JU919" s="3"/>
      <c r="JV919" s="3"/>
      <c r="JW919" s="3"/>
      <c r="JX919" s="3"/>
      <c r="JY919" s="3"/>
      <c r="JZ919" s="3"/>
      <c r="KA919" s="3"/>
      <c r="KB919" s="3"/>
      <c r="KC919" s="3"/>
      <c r="KD919" s="3"/>
      <c r="KE919" s="3"/>
      <c r="KF919" s="3"/>
      <c r="KG919" s="3"/>
      <c r="KH919" s="3"/>
      <c r="KI919" s="3"/>
      <c r="KJ919" s="3"/>
      <c r="KK919" s="3"/>
      <c r="KL919" s="3"/>
      <c r="KM919" s="3"/>
      <c r="KN919" s="3"/>
      <c r="KO919" s="3"/>
      <c r="KP919" s="3"/>
      <c r="KQ919" s="3"/>
      <c r="KR919" s="3"/>
      <c r="KS919" s="3"/>
      <c r="KT919" s="3"/>
      <c r="KU919" s="3"/>
      <c r="KV919" s="3"/>
      <c r="KW919" s="3"/>
      <c r="KX919" s="3"/>
      <c r="KY919" s="3"/>
      <c r="KZ919" s="3"/>
      <c r="LA919" s="3"/>
      <c r="LB919" s="3"/>
      <c r="LC919" s="3"/>
      <c r="LD919" s="3"/>
      <c r="LE919" s="3"/>
      <c r="LF919" s="3"/>
      <c r="LG919" s="3"/>
      <c r="LH919" s="3"/>
      <c r="LI919" s="3"/>
      <c r="LJ919" s="3"/>
      <c r="LK919" s="3"/>
      <c r="LL919" s="3"/>
      <c r="LM919" s="3"/>
      <c r="LN919" s="3"/>
      <c r="LO919" s="3"/>
      <c r="LP919" s="3"/>
      <c r="LQ919" s="3"/>
      <c r="LR919" s="3"/>
      <c r="LS919" s="3"/>
      <c r="LT919" s="3"/>
      <c r="LU919" s="3"/>
      <c r="LV919" s="3"/>
      <c r="LW919" s="3"/>
      <c r="LX919" s="3"/>
      <c r="LY919" s="3"/>
      <c r="LZ919" s="3"/>
      <c r="MA919" s="3"/>
      <c r="MB919" s="3"/>
      <c r="MC919" s="3"/>
      <c r="MD919" s="3"/>
      <c r="ME919" s="3"/>
      <c r="MF919" s="3"/>
      <c r="MG919" s="3"/>
      <c r="MH919" s="3"/>
      <c r="MI919" s="3"/>
    </row>
    <row r="920" spans="1:347"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c r="HX920" s="3"/>
      <c r="HY920" s="3"/>
      <c r="HZ920" s="3"/>
      <c r="IA920" s="3"/>
      <c r="IB920" s="3"/>
      <c r="IC920" s="3"/>
      <c r="ID920" s="3"/>
      <c r="IE920" s="3"/>
      <c r="IF920" s="3"/>
      <c r="IG920" s="3"/>
      <c r="IH920" s="3"/>
      <c r="II920" s="3"/>
      <c r="IJ920" s="3"/>
      <c r="IK920" s="3"/>
      <c r="IL920" s="3"/>
      <c r="IM920" s="3"/>
      <c r="IN920" s="3"/>
      <c r="IO920" s="3"/>
      <c r="IP920" s="3"/>
      <c r="IQ920" s="3"/>
      <c r="IR920" s="3"/>
      <c r="IS920" s="3"/>
      <c r="IT920" s="3"/>
      <c r="IU920" s="3"/>
      <c r="IV920" s="3"/>
      <c r="IW920" s="3"/>
      <c r="IX920" s="3"/>
      <c r="IY920" s="3"/>
      <c r="IZ920" s="3"/>
      <c r="JA920" s="3"/>
      <c r="JB920" s="3"/>
      <c r="JC920" s="3"/>
      <c r="JD920" s="3"/>
      <c r="JE920" s="3"/>
      <c r="JF920" s="3"/>
      <c r="JG920" s="3"/>
      <c r="JH920" s="3"/>
      <c r="JI920" s="3"/>
      <c r="JJ920" s="3"/>
      <c r="JK920" s="3"/>
      <c r="JL920" s="3"/>
      <c r="JM920" s="3"/>
      <c r="JN920" s="3"/>
      <c r="JO920" s="3"/>
      <c r="JP920" s="3"/>
      <c r="JQ920" s="3"/>
      <c r="JR920" s="3"/>
      <c r="JS920" s="3"/>
      <c r="JT920" s="3"/>
      <c r="JU920" s="3"/>
      <c r="JV920" s="3"/>
      <c r="JW920" s="3"/>
      <c r="JX920" s="3"/>
      <c r="JY920" s="3"/>
      <c r="JZ920" s="3"/>
      <c r="KA920" s="3"/>
      <c r="KB920" s="3"/>
      <c r="KC920" s="3"/>
      <c r="KD920" s="3"/>
      <c r="KE920" s="3"/>
      <c r="KF920" s="3"/>
      <c r="KG920" s="3"/>
      <c r="KH920" s="3"/>
      <c r="KI920" s="3"/>
      <c r="KJ920" s="3"/>
      <c r="KK920" s="3"/>
      <c r="KL920" s="3"/>
      <c r="KM920" s="3"/>
      <c r="KN920" s="3"/>
      <c r="KO920" s="3"/>
      <c r="KP920" s="3"/>
      <c r="KQ920" s="3"/>
      <c r="KR920" s="3"/>
      <c r="KS920" s="3"/>
      <c r="KT920" s="3"/>
      <c r="KU920" s="3"/>
      <c r="KV920" s="3"/>
      <c r="KW920" s="3"/>
      <c r="KX920" s="3"/>
      <c r="KY920" s="3"/>
      <c r="KZ920" s="3"/>
      <c r="LA920" s="3"/>
      <c r="LB920" s="3"/>
      <c r="LC920" s="3"/>
      <c r="LD920" s="3"/>
      <c r="LE920" s="3"/>
      <c r="LF920" s="3"/>
      <c r="LG920" s="3"/>
      <c r="LH920" s="3"/>
      <c r="LI920" s="3"/>
      <c r="LJ920" s="3"/>
      <c r="LK920" s="3"/>
      <c r="LL920" s="3"/>
      <c r="LM920" s="3"/>
      <c r="LN920" s="3"/>
      <c r="LO920" s="3"/>
      <c r="LP920" s="3"/>
      <c r="LQ920" s="3"/>
      <c r="LR920" s="3"/>
      <c r="LS920" s="3"/>
      <c r="LT920" s="3"/>
      <c r="LU920" s="3"/>
      <c r="LV920" s="3"/>
      <c r="LW920" s="3"/>
      <c r="LX920" s="3"/>
      <c r="LY920" s="3"/>
      <c r="LZ920" s="3"/>
      <c r="MA920" s="3"/>
      <c r="MB920" s="3"/>
      <c r="MC920" s="3"/>
      <c r="MD920" s="3"/>
      <c r="ME920" s="3"/>
      <c r="MF920" s="3"/>
      <c r="MG920" s="3"/>
      <c r="MH920" s="3"/>
      <c r="MI920" s="3"/>
    </row>
    <row r="921" spans="1:347"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c r="HX921" s="3"/>
      <c r="HY921" s="3"/>
      <c r="HZ921" s="3"/>
      <c r="IA921" s="3"/>
      <c r="IB921" s="3"/>
      <c r="IC921" s="3"/>
      <c r="ID921" s="3"/>
      <c r="IE921" s="3"/>
      <c r="IF921" s="3"/>
      <c r="IG921" s="3"/>
      <c r="IH921" s="3"/>
      <c r="II921" s="3"/>
      <c r="IJ921" s="3"/>
      <c r="IK921" s="3"/>
      <c r="IL921" s="3"/>
      <c r="IM921" s="3"/>
      <c r="IN921" s="3"/>
      <c r="IO921" s="3"/>
      <c r="IP921" s="3"/>
      <c r="IQ921" s="3"/>
      <c r="IR921" s="3"/>
      <c r="IS921" s="3"/>
      <c r="IT921" s="3"/>
      <c r="IU921" s="3"/>
      <c r="IV921" s="3"/>
      <c r="IW921" s="3"/>
      <c r="IX921" s="3"/>
      <c r="IY921" s="3"/>
      <c r="IZ921" s="3"/>
      <c r="JA921" s="3"/>
      <c r="JB921" s="3"/>
      <c r="JC921" s="3"/>
      <c r="JD921" s="3"/>
      <c r="JE921" s="3"/>
      <c r="JF921" s="3"/>
      <c r="JG921" s="3"/>
      <c r="JH921" s="3"/>
      <c r="JI921" s="3"/>
      <c r="JJ921" s="3"/>
      <c r="JK921" s="3"/>
      <c r="JL921" s="3"/>
      <c r="JM921" s="3"/>
      <c r="JN921" s="3"/>
      <c r="JO921" s="3"/>
      <c r="JP921" s="3"/>
      <c r="JQ921" s="3"/>
      <c r="JR921" s="3"/>
      <c r="JS921" s="3"/>
      <c r="JT921" s="3"/>
      <c r="JU921" s="3"/>
      <c r="JV921" s="3"/>
      <c r="JW921" s="3"/>
      <c r="JX921" s="3"/>
      <c r="JY921" s="3"/>
      <c r="JZ921" s="3"/>
      <c r="KA921" s="3"/>
      <c r="KB921" s="3"/>
      <c r="KC921" s="3"/>
      <c r="KD921" s="3"/>
      <c r="KE921" s="3"/>
      <c r="KF921" s="3"/>
      <c r="KG921" s="3"/>
      <c r="KH921" s="3"/>
      <c r="KI921" s="3"/>
      <c r="KJ921" s="3"/>
      <c r="KK921" s="3"/>
      <c r="KL921" s="3"/>
      <c r="KM921" s="3"/>
      <c r="KN921" s="3"/>
      <c r="KO921" s="3"/>
      <c r="KP921" s="3"/>
      <c r="KQ921" s="3"/>
      <c r="KR921" s="3"/>
      <c r="KS921" s="3"/>
      <c r="KT921" s="3"/>
      <c r="KU921" s="3"/>
      <c r="KV921" s="3"/>
      <c r="KW921" s="3"/>
      <c r="KX921" s="3"/>
      <c r="KY921" s="3"/>
      <c r="KZ921" s="3"/>
      <c r="LA921" s="3"/>
      <c r="LB921" s="3"/>
      <c r="LC921" s="3"/>
      <c r="LD921" s="3"/>
      <c r="LE921" s="3"/>
      <c r="LF921" s="3"/>
      <c r="LG921" s="3"/>
      <c r="LH921" s="3"/>
      <c r="LI921" s="3"/>
      <c r="LJ921" s="3"/>
      <c r="LK921" s="3"/>
      <c r="LL921" s="3"/>
      <c r="LM921" s="3"/>
      <c r="LN921" s="3"/>
      <c r="LO921" s="3"/>
      <c r="LP921" s="3"/>
      <c r="LQ921" s="3"/>
      <c r="LR921" s="3"/>
      <c r="LS921" s="3"/>
      <c r="LT921" s="3"/>
      <c r="LU921" s="3"/>
      <c r="LV921" s="3"/>
      <c r="LW921" s="3"/>
      <c r="LX921" s="3"/>
      <c r="LY921" s="3"/>
      <c r="LZ921" s="3"/>
      <c r="MA921" s="3"/>
      <c r="MB921" s="3"/>
      <c r="MC921" s="3"/>
      <c r="MD921" s="3"/>
      <c r="ME921" s="3"/>
      <c r="MF921" s="3"/>
      <c r="MG921" s="3"/>
      <c r="MH921" s="3"/>
      <c r="MI921" s="3"/>
    </row>
    <row r="922" spans="1:347"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c r="HX922" s="3"/>
      <c r="HY922" s="3"/>
      <c r="HZ922" s="3"/>
      <c r="IA922" s="3"/>
      <c r="IB922" s="3"/>
      <c r="IC922" s="3"/>
      <c r="ID922" s="3"/>
      <c r="IE922" s="3"/>
      <c r="IF922" s="3"/>
      <c r="IG922" s="3"/>
      <c r="IH922" s="3"/>
      <c r="II922" s="3"/>
      <c r="IJ922" s="3"/>
      <c r="IK922" s="3"/>
      <c r="IL922" s="3"/>
      <c r="IM922" s="3"/>
      <c r="IN922" s="3"/>
      <c r="IO922" s="3"/>
      <c r="IP922" s="3"/>
      <c r="IQ922" s="3"/>
      <c r="IR922" s="3"/>
      <c r="IS922" s="3"/>
      <c r="IT922" s="3"/>
      <c r="IU922" s="3"/>
      <c r="IV922" s="3"/>
      <c r="IW922" s="3"/>
      <c r="IX922" s="3"/>
      <c r="IY922" s="3"/>
      <c r="IZ922" s="3"/>
      <c r="JA922" s="3"/>
      <c r="JB922" s="3"/>
      <c r="JC922" s="3"/>
      <c r="JD922" s="3"/>
      <c r="JE922" s="3"/>
      <c r="JF922" s="3"/>
      <c r="JG922" s="3"/>
      <c r="JH922" s="3"/>
      <c r="JI922" s="3"/>
      <c r="JJ922" s="3"/>
      <c r="JK922" s="3"/>
      <c r="JL922" s="3"/>
      <c r="JM922" s="3"/>
      <c r="JN922" s="3"/>
      <c r="JO922" s="3"/>
      <c r="JP922" s="3"/>
      <c r="JQ922" s="3"/>
      <c r="JR922" s="3"/>
      <c r="JS922" s="3"/>
      <c r="JT922" s="3"/>
      <c r="JU922" s="3"/>
      <c r="JV922" s="3"/>
      <c r="JW922" s="3"/>
      <c r="JX922" s="3"/>
      <c r="JY922" s="3"/>
      <c r="JZ922" s="3"/>
      <c r="KA922" s="3"/>
      <c r="KB922" s="3"/>
      <c r="KC922" s="3"/>
      <c r="KD922" s="3"/>
      <c r="KE922" s="3"/>
      <c r="KF922" s="3"/>
      <c r="KG922" s="3"/>
      <c r="KH922" s="3"/>
      <c r="KI922" s="3"/>
      <c r="KJ922" s="3"/>
      <c r="KK922" s="3"/>
      <c r="KL922" s="3"/>
      <c r="KM922" s="3"/>
      <c r="KN922" s="3"/>
      <c r="KO922" s="3"/>
      <c r="KP922" s="3"/>
      <c r="KQ922" s="3"/>
      <c r="KR922" s="3"/>
      <c r="KS922" s="3"/>
      <c r="KT922" s="3"/>
      <c r="KU922" s="3"/>
      <c r="KV922" s="3"/>
      <c r="KW922" s="3"/>
      <c r="KX922" s="3"/>
      <c r="KY922" s="3"/>
      <c r="KZ922" s="3"/>
      <c r="LA922" s="3"/>
      <c r="LB922" s="3"/>
      <c r="LC922" s="3"/>
      <c r="LD922" s="3"/>
      <c r="LE922" s="3"/>
      <c r="LF922" s="3"/>
      <c r="LG922" s="3"/>
      <c r="LH922" s="3"/>
      <c r="LI922" s="3"/>
      <c r="LJ922" s="3"/>
      <c r="LK922" s="3"/>
      <c r="LL922" s="3"/>
      <c r="LM922" s="3"/>
      <c r="LN922" s="3"/>
      <c r="LO922" s="3"/>
      <c r="LP922" s="3"/>
      <c r="LQ922" s="3"/>
      <c r="LR922" s="3"/>
      <c r="LS922" s="3"/>
      <c r="LT922" s="3"/>
      <c r="LU922" s="3"/>
      <c r="LV922" s="3"/>
      <c r="LW922" s="3"/>
      <c r="LX922" s="3"/>
      <c r="LY922" s="3"/>
      <c r="LZ922" s="3"/>
      <c r="MA922" s="3"/>
      <c r="MB922" s="3"/>
      <c r="MC922" s="3"/>
      <c r="MD922" s="3"/>
      <c r="ME922" s="3"/>
      <c r="MF922" s="3"/>
      <c r="MG922" s="3"/>
      <c r="MH922" s="3"/>
      <c r="MI922" s="3"/>
    </row>
    <row r="923" spans="1:347"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c r="HX923" s="3"/>
      <c r="HY923" s="3"/>
      <c r="HZ923" s="3"/>
      <c r="IA923" s="3"/>
      <c r="IB923" s="3"/>
      <c r="IC923" s="3"/>
      <c r="ID923" s="3"/>
      <c r="IE923" s="3"/>
      <c r="IF923" s="3"/>
      <c r="IG923" s="3"/>
      <c r="IH923" s="3"/>
      <c r="II923" s="3"/>
      <c r="IJ923" s="3"/>
      <c r="IK923" s="3"/>
      <c r="IL923" s="3"/>
      <c r="IM923" s="3"/>
      <c r="IN923" s="3"/>
      <c r="IO923" s="3"/>
      <c r="IP923" s="3"/>
      <c r="IQ923" s="3"/>
      <c r="IR923" s="3"/>
      <c r="IS923" s="3"/>
      <c r="IT923" s="3"/>
      <c r="IU923" s="3"/>
      <c r="IV923" s="3"/>
      <c r="IW923" s="3"/>
      <c r="IX923" s="3"/>
      <c r="IY923" s="3"/>
      <c r="IZ923" s="3"/>
      <c r="JA923" s="3"/>
      <c r="JB923" s="3"/>
      <c r="JC923" s="3"/>
      <c r="JD923" s="3"/>
      <c r="JE923" s="3"/>
      <c r="JF923" s="3"/>
      <c r="JG923" s="3"/>
      <c r="JH923" s="3"/>
      <c r="JI923" s="3"/>
      <c r="JJ923" s="3"/>
      <c r="JK923" s="3"/>
      <c r="JL923" s="3"/>
      <c r="JM923" s="3"/>
      <c r="JN923" s="3"/>
      <c r="JO923" s="3"/>
      <c r="JP923" s="3"/>
      <c r="JQ923" s="3"/>
      <c r="JR923" s="3"/>
      <c r="JS923" s="3"/>
      <c r="JT923" s="3"/>
      <c r="JU923" s="3"/>
      <c r="JV923" s="3"/>
      <c r="JW923" s="3"/>
      <c r="JX923" s="3"/>
      <c r="JY923" s="3"/>
      <c r="JZ923" s="3"/>
      <c r="KA923" s="3"/>
      <c r="KB923" s="3"/>
      <c r="KC923" s="3"/>
      <c r="KD923" s="3"/>
      <c r="KE923" s="3"/>
      <c r="KF923" s="3"/>
      <c r="KG923" s="3"/>
      <c r="KH923" s="3"/>
      <c r="KI923" s="3"/>
      <c r="KJ923" s="3"/>
      <c r="KK923" s="3"/>
      <c r="KL923" s="3"/>
      <c r="KM923" s="3"/>
      <c r="KN923" s="3"/>
      <c r="KO923" s="3"/>
      <c r="KP923" s="3"/>
      <c r="KQ923" s="3"/>
      <c r="KR923" s="3"/>
      <c r="KS923" s="3"/>
      <c r="KT923" s="3"/>
      <c r="KU923" s="3"/>
      <c r="KV923" s="3"/>
      <c r="KW923" s="3"/>
      <c r="KX923" s="3"/>
      <c r="KY923" s="3"/>
      <c r="KZ923" s="3"/>
      <c r="LA923" s="3"/>
      <c r="LB923" s="3"/>
      <c r="LC923" s="3"/>
      <c r="LD923" s="3"/>
      <c r="LE923" s="3"/>
      <c r="LF923" s="3"/>
      <c r="LG923" s="3"/>
      <c r="LH923" s="3"/>
      <c r="LI923" s="3"/>
      <c r="LJ923" s="3"/>
      <c r="LK923" s="3"/>
      <c r="LL923" s="3"/>
      <c r="LM923" s="3"/>
      <c r="LN923" s="3"/>
      <c r="LO923" s="3"/>
      <c r="LP923" s="3"/>
      <c r="LQ923" s="3"/>
      <c r="LR923" s="3"/>
      <c r="LS923" s="3"/>
      <c r="LT923" s="3"/>
      <c r="LU923" s="3"/>
      <c r="LV923" s="3"/>
      <c r="LW923" s="3"/>
      <c r="LX923" s="3"/>
      <c r="LY923" s="3"/>
      <c r="LZ923" s="3"/>
      <c r="MA923" s="3"/>
      <c r="MB923" s="3"/>
      <c r="MC923" s="3"/>
      <c r="MD923" s="3"/>
      <c r="ME923" s="3"/>
      <c r="MF923" s="3"/>
      <c r="MG923" s="3"/>
      <c r="MH923" s="3"/>
      <c r="MI923" s="3"/>
    </row>
    <row r="924" spans="1:347"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c r="HX924" s="3"/>
      <c r="HY924" s="3"/>
      <c r="HZ924" s="3"/>
      <c r="IA924" s="3"/>
      <c r="IB924" s="3"/>
      <c r="IC924" s="3"/>
      <c r="ID924" s="3"/>
      <c r="IE924" s="3"/>
      <c r="IF924" s="3"/>
      <c r="IG924" s="3"/>
      <c r="IH924" s="3"/>
      <c r="II924" s="3"/>
      <c r="IJ924" s="3"/>
      <c r="IK924" s="3"/>
      <c r="IL924" s="3"/>
      <c r="IM924" s="3"/>
      <c r="IN924" s="3"/>
      <c r="IO924" s="3"/>
      <c r="IP924" s="3"/>
      <c r="IQ924" s="3"/>
      <c r="IR924" s="3"/>
      <c r="IS924" s="3"/>
      <c r="IT924" s="3"/>
      <c r="IU924" s="3"/>
      <c r="IV924" s="3"/>
      <c r="IW924" s="3"/>
      <c r="IX924" s="3"/>
      <c r="IY924" s="3"/>
      <c r="IZ924" s="3"/>
      <c r="JA924" s="3"/>
      <c r="JB924" s="3"/>
      <c r="JC924" s="3"/>
      <c r="JD924" s="3"/>
      <c r="JE924" s="3"/>
      <c r="JF924" s="3"/>
      <c r="JG924" s="3"/>
      <c r="JH924" s="3"/>
      <c r="JI924" s="3"/>
      <c r="JJ924" s="3"/>
      <c r="JK924" s="3"/>
      <c r="JL924" s="3"/>
      <c r="JM924" s="3"/>
      <c r="JN924" s="3"/>
      <c r="JO924" s="3"/>
      <c r="JP924" s="3"/>
      <c r="JQ924" s="3"/>
      <c r="JR924" s="3"/>
      <c r="JS924" s="3"/>
      <c r="JT924" s="3"/>
      <c r="JU924" s="3"/>
      <c r="JV924" s="3"/>
      <c r="JW924" s="3"/>
      <c r="JX924" s="3"/>
      <c r="JY924" s="3"/>
      <c r="JZ924" s="3"/>
      <c r="KA924" s="3"/>
      <c r="KB924" s="3"/>
      <c r="KC924" s="3"/>
      <c r="KD924" s="3"/>
      <c r="KE924" s="3"/>
      <c r="KF924" s="3"/>
      <c r="KG924" s="3"/>
      <c r="KH924" s="3"/>
      <c r="KI924" s="3"/>
      <c r="KJ924" s="3"/>
      <c r="KK924" s="3"/>
      <c r="KL924" s="3"/>
      <c r="KM924" s="3"/>
      <c r="KN924" s="3"/>
      <c r="KO924" s="3"/>
      <c r="KP924" s="3"/>
      <c r="KQ924" s="3"/>
      <c r="KR924" s="3"/>
      <c r="KS924" s="3"/>
      <c r="KT924" s="3"/>
      <c r="KU924" s="3"/>
      <c r="KV924" s="3"/>
      <c r="KW924" s="3"/>
      <c r="KX924" s="3"/>
      <c r="KY924" s="3"/>
      <c r="KZ924" s="3"/>
      <c r="LA924" s="3"/>
      <c r="LB924" s="3"/>
      <c r="LC924" s="3"/>
      <c r="LD924" s="3"/>
      <c r="LE924" s="3"/>
      <c r="LF924" s="3"/>
      <c r="LG924" s="3"/>
      <c r="LH924" s="3"/>
      <c r="LI924" s="3"/>
      <c r="LJ924" s="3"/>
      <c r="LK924" s="3"/>
      <c r="LL924" s="3"/>
      <c r="LM924" s="3"/>
      <c r="LN924" s="3"/>
      <c r="LO924" s="3"/>
      <c r="LP924" s="3"/>
      <c r="LQ924" s="3"/>
      <c r="LR924" s="3"/>
      <c r="LS924" s="3"/>
      <c r="LT924" s="3"/>
      <c r="LU924" s="3"/>
      <c r="LV924" s="3"/>
      <c r="LW924" s="3"/>
      <c r="LX924" s="3"/>
      <c r="LY924" s="3"/>
      <c r="LZ924" s="3"/>
      <c r="MA924" s="3"/>
      <c r="MB924" s="3"/>
      <c r="MC924" s="3"/>
      <c r="MD924" s="3"/>
      <c r="ME924" s="3"/>
      <c r="MF924" s="3"/>
      <c r="MG924" s="3"/>
      <c r="MH924" s="3"/>
      <c r="MI924" s="3"/>
    </row>
    <row r="925" spans="1:347"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c r="HX925" s="3"/>
      <c r="HY925" s="3"/>
      <c r="HZ925" s="3"/>
      <c r="IA925" s="3"/>
      <c r="IB925" s="3"/>
      <c r="IC925" s="3"/>
      <c r="ID925" s="3"/>
      <c r="IE925" s="3"/>
      <c r="IF925" s="3"/>
      <c r="IG925" s="3"/>
      <c r="IH925" s="3"/>
      <c r="II925" s="3"/>
      <c r="IJ925" s="3"/>
      <c r="IK925" s="3"/>
      <c r="IL925" s="3"/>
      <c r="IM925" s="3"/>
      <c r="IN925" s="3"/>
      <c r="IO925" s="3"/>
      <c r="IP925" s="3"/>
      <c r="IQ925" s="3"/>
      <c r="IR925" s="3"/>
      <c r="IS925" s="3"/>
      <c r="IT925" s="3"/>
      <c r="IU925" s="3"/>
      <c r="IV925" s="3"/>
      <c r="IW925" s="3"/>
      <c r="IX925" s="3"/>
      <c r="IY925" s="3"/>
      <c r="IZ925" s="3"/>
      <c r="JA925" s="3"/>
      <c r="JB925" s="3"/>
      <c r="JC925" s="3"/>
      <c r="JD925" s="3"/>
      <c r="JE925" s="3"/>
      <c r="JF925" s="3"/>
      <c r="JG925" s="3"/>
      <c r="JH925" s="3"/>
      <c r="JI925" s="3"/>
      <c r="JJ925" s="3"/>
      <c r="JK925" s="3"/>
      <c r="JL925" s="3"/>
      <c r="JM925" s="3"/>
      <c r="JN925" s="3"/>
      <c r="JO925" s="3"/>
      <c r="JP925" s="3"/>
      <c r="JQ925" s="3"/>
      <c r="JR925" s="3"/>
      <c r="JS925" s="3"/>
      <c r="JT925" s="3"/>
      <c r="JU925" s="3"/>
      <c r="JV925" s="3"/>
      <c r="JW925" s="3"/>
      <c r="JX925" s="3"/>
      <c r="JY925" s="3"/>
      <c r="JZ925" s="3"/>
      <c r="KA925" s="3"/>
      <c r="KB925" s="3"/>
      <c r="KC925" s="3"/>
      <c r="KD925" s="3"/>
      <c r="KE925" s="3"/>
      <c r="KF925" s="3"/>
      <c r="KG925" s="3"/>
      <c r="KH925" s="3"/>
      <c r="KI925" s="3"/>
      <c r="KJ925" s="3"/>
      <c r="KK925" s="3"/>
      <c r="KL925" s="3"/>
      <c r="KM925" s="3"/>
      <c r="KN925" s="3"/>
      <c r="KO925" s="3"/>
      <c r="KP925" s="3"/>
      <c r="KQ925" s="3"/>
      <c r="KR925" s="3"/>
      <c r="KS925" s="3"/>
      <c r="KT925" s="3"/>
      <c r="KU925" s="3"/>
      <c r="KV925" s="3"/>
      <c r="KW925" s="3"/>
      <c r="KX925" s="3"/>
      <c r="KY925" s="3"/>
      <c r="KZ925" s="3"/>
      <c r="LA925" s="3"/>
      <c r="LB925" s="3"/>
      <c r="LC925" s="3"/>
      <c r="LD925" s="3"/>
      <c r="LE925" s="3"/>
      <c r="LF925" s="3"/>
      <c r="LG925" s="3"/>
      <c r="LH925" s="3"/>
      <c r="LI925" s="3"/>
      <c r="LJ925" s="3"/>
      <c r="LK925" s="3"/>
      <c r="LL925" s="3"/>
      <c r="LM925" s="3"/>
      <c r="LN925" s="3"/>
      <c r="LO925" s="3"/>
      <c r="LP925" s="3"/>
      <c r="LQ925" s="3"/>
      <c r="LR925" s="3"/>
      <c r="LS925" s="3"/>
      <c r="LT925" s="3"/>
      <c r="LU925" s="3"/>
      <c r="LV925" s="3"/>
      <c r="LW925" s="3"/>
      <c r="LX925" s="3"/>
      <c r="LY925" s="3"/>
      <c r="LZ925" s="3"/>
      <c r="MA925" s="3"/>
      <c r="MB925" s="3"/>
      <c r="MC925" s="3"/>
      <c r="MD925" s="3"/>
      <c r="ME925" s="3"/>
      <c r="MF925" s="3"/>
      <c r="MG925" s="3"/>
      <c r="MH925" s="3"/>
      <c r="MI925" s="3"/>
    </row>
    <row r="926" spans="1:347"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c r="HX926" s="3"/>
      <c r="HY926" s="3"/>
      <c r="HZ926" s="3"/>
      <c r="IA926" s="3"/>
      <c r="IB926" s="3"/>
      <c r="IC926" s="3"/>
      <c r="ID926" s="3"/>
      <c r="IE926" s="3"/>
      <c r="IF926" s="3"/>
      <c r="IG926" s="3"/>
      <c r="IH926" s="3"/>
      <c r="II926" s="3"/>
      <c r="IJ926" s="3"/>
      <c r="IK926" s="3"/>
      <c r="IL926" s="3"/>
      <c r="IM926" s="3"/>
      <c r="IN926" s="3"/>
      <c r="IO926" s="3"/>
      <c r="IP926" s="3"/>
      <c r="IQ926" s="3"/>
      <c r="IR926" s="3"/>
      <c r="IS926" s="3"/>
      <c r="IT926" s="3"/>
      <c r="IU926" s="3"/>
      <c r="IV926" s="3"/>
      <c r="IW926" s="3"/>
      <c r="IX926" s="3"/>
      <c r="IY926" s="3"/>
      <c r="IZ926" s="3"/>
      <c r="JA926" s="3"/>
      <c r="JB926" s="3"/>
      <c r="JC926" s="3"/>
      <c r="JD926" s="3"/>
      <c r="JE926" s="3"/>
      <c r="JF926" s="3"/>
      <c r="JG926" s="3"/>
      <c r="JH926" s="3"/>
      <c r="JI926" s="3"/>
      <c r="JJ926" s="3"/>
      <c r="JK926" s="3"/>
      <c r="JL926" s="3"/>
      <c r="JM926" s="3"/>
      <c r="JN926" s="3"/>
      <c r="JO926" s="3"/>
      <c r="JP926" s="3"/>
      <c r="JQ926" s="3"/>
      <c r="JR926" s="3"/>
      <c r="JS926" s="3"/>
      <c r="JT926" s="3"/>
      <c r="JU926" s="3"/>
      <c r="JV926" s="3"/>
      <c r="JW926" s="3"/>
      <c r="JX926" s="3"/>
      <c r="JY926" s="3"/>
      <c r="JZ926" s="3"/>
      <c r="KA926" s="3"/>
      <c r="KB926" s="3"/>
      <c r="KC926" s="3"/>
      <c r="KD926" s="3"/>
      <c r="KE926" s="3"/>
      <c r="KF926" s="3"/>
      <c r="KG926" s="3"/>
      <c r="KH926" s="3"/>
      <c r="KI926" s="3"/>
      <c r="KJ926" s="3"/>
      <c r="KK926" s="3"/>
      <c r="KL926" s="3"/>
      <c r="KM926" s="3"/>
      <c r="KN926" s="3"/>
      <c r="KO926" s="3"/>
      <c r="KP926" s="3"/>
      <c r="KQ926" s="3"/>
      <c r="KR926" s="3"/>
      <c r="KS926" s="3"/>
      <c r="KT926" s="3"/>
      <c r="KU926" s="3"/>
      <c r="KV926" s="3"/>
      <c r="KW926" s="3"/>
      <c r="KX926" s="3"/>
      <c r="KY926" s="3"/>
      <c r="KZ926" s="3"/>
      <c r="LA926" s="3"/>
      <c r="LB926" s="3"/>
      <c r="LC926" s="3"/>
      <c r="LD926" s="3"/>
      <c r="LE926" s="3"/>
      <c r="LF926" s="3"/>
      <c r="LG926" s="3"/>
      <c r="LH926" s="3"/>
      <c r="LI926" s="3"/>
      <c r="LJ926" s="3"/>
      <c r="LK926" s="3"/>
      <c r="LL926" s="3"/>
      <c r="LM926" s="3"/>
      <c r="LN926" s="3"/>
      <c r="LO926" s="3"/>
      <c r="LP926" s="3"/>
      <c r="LQ926" s="3"/>
      <c r="LR926" s="3"/>
      <c r="LS926" s="3"/>
      <c r="LT926" s="3"/>
      <c r="LU926" s="3"/>
      <c r="LV926" s="3"/>
      <c r="LW926" s="3"/>
      <c r="LX926" s="3"/>
      <c r="LY926" s="3"/>
      <c r="LZ926" s="3"/>
      <c r="MA926" s="3"/>
      <c r="MB926" s="3"/>
      <c r="MC926" s="3"/>
      <c r="MD926" s="3"/>
      <c r="ME926" s="3"/>
      <c r="MF926" s="3"/>
      <c r="MG926" s="3"/>
      <c r="MH926" s="3"/>
      <c r="MI926" s="3"/>
    </row>
    <row r="927" spans="1:347"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c r="HX927" s="3"/>
      <c r="HY927" s="3"/>
      <c r="HZ927" s="3"/>
      <c r="IA927" s="3"/>
      <c r="IB927" s="3"/>
      <c r="IC927" s="3"/>
      <c r="ID927" s="3"/>
      <c r="IE927" s="3"/>
      <c r="IF927" s="3"/>
      <c r="IG927" s="3"/>
      <c r="IH927" s="3"/>
      <c r="II927" s="3"/>
      <c r="IJ927" s="3"/>
      <c r="IK927" s="3"/>
      <c r="IL927" s="3"/>
      <c r="IM927" s="3"/>
      <c r="IN927" s="3"/>
      <c r="IO927" s="3"/>
      <c r="IP927" s="3"/>
      <c r="IQ927" s="3"/>
      <c r="IR927" s="3"/>
      <c r="IS927" s="3"/>
      <c r="IT927" s="3"/>
      <c r="IU927" s="3"/>
      <c r="IV927" s="3"/>
      <c r="IW927" s="3"/>
      <c r="IX927" s="3"/>
      <c r="IY927" s="3"/>
      <c r="IZ927" s="3"/>
      <c r="JA927" s="3"/>
      <c r="JB927" s="3"/>
      <c r="JC927" s="3"/>
      <c r="JD927" s="3"/>
      <c r="JE927" s="3"/>
      <c r="JF927" s="3"/>
      <c r="JG927" s="3"/>
      <c r="JH927" s="3"/>
      <c r="JI927" s="3"/>
      <c r="JJ927" s="3"/>
      <c r="JK927" s="3"/>
      <c r="JL927" s="3"/>
      <c r="JM927" s="3"/>
      <c r="JN927" s="3"/>
      <c r="JO927" s="3"/>
      <c r="JP927" s="3"/>
      <c r="JQ927" s="3"/>
      <c r="JR927" s="3"/>
      <c r="JS927" s="3"/>
      <c r="JT927" s="3"/>
      <c r="JU927" s="3"/>
      <c r="JV927" s="3"/>
      <c r="JW927" s="3"/>
      <c r="JX927" s="3"/>
      <c r="JY927" s="3"/>
      <c r="JZ927" s="3"/>
      <c r="KA927" s="3"/>
      <c r="KB927" s="3"/>
      <c r="KC927" s="3"/>
      <c r="KD927" s="3"/>
      <c r="KE927" s="3"/>
      <c r="KF927" s="3"/>
      <c r="KG927" s="3"/>
      <c r="KH927" s="3"/>
      <c r="KI927" s="3"/>
      <c r="KJ927" s="3"/>
      <c r="KK927" s="3"/>
      <c r="KL927" s="3"/>
      <c r="KM927" s="3"/>
      <c r="KN927" s="3"/>
      <c r="KO927" s="3"/>
      <c r="KP927" s="3"/>
      <c r="KQ927" s="3"/>
      <c r="KR927" s="3"/>
      <c r="KS927" s="3"/>
      <c r="KT927" s="3"/>
      <c r="KU927" s="3"/>
      <c r="KV927" s="3"/>
      <c r="KW927" s="3"/>
      <c r="KX927" s="3"/>
      <c r="KY927" s="3"/>
      <c r="KZ927" s="3"/>
      <c r="LA927" s="3"/>
      <c r="LB927" s="3"/>
      <c r="LC927" s="3"/>
      <c r="LD927" s="3"/>
      <c r="LE927" s="3"/>
      <c r="LF927" s="3"/>
      <c r="LG927" s="3"/>
      <c r="LH927" s="3"/>
      <c r="LI927" s="3"/>
      <c r="LJ927" s="3"/>
      <c r="LK927" s="3"/>
      <c r="LL927" s="3"/>
      <c r="LM927" s="3"/>
      <c r="LN927" s="3"/>
      <c r="LO927" s="3"/>
      <c r="LP927" s="3"/>
      <c r="LQ927" s="3"/>
      <c r="LR927" s="3"/>
      <c r="LS927" s="3"/>
      <c r="LT927" s="3"/>
      <c r="LU927" s="3"/>
      <c r="LV927" s="3"/>
      <c r="LW927" s="3"/>
      <c r="LX927" s="3"/>
      <c r="LY927" s="3"/>
      <c r="LZ927" s="3"/>
      <c r="MA927" s="3"/>
      <c r="MB927" s="3"/>
      <c r="MC927" s="3"/>
      <c r="MD927" s="3"/>
      <c r="ME927" s="3"/>
      <c r="MF927" s="3"/>
      <c r="MG927" s="3"/>
      <c r="MH927" s="3"/>
      <c r="MI927" s="3"/>
    </row>
    <row r="928" spans="1:347"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c r="HX928" s="3"/>
      <c r="HY928" s="3"/>
      <c r="HZ928" s="3"/>
      <c r="IA928" s="3"/>
      <c r="IB928" s="3"/>
      <c r="IC928" s="3"/>
      <c r="ID928" s="3"/>
      <c r="IE928" s="3"/>
      <c r="IF928" s="3"/>
      <c r="IG928" s="3"/>
      <c r="IH928" s="3"/>
      <c r="II928" s="3"/>
      <c r="IJ928" s="3"/>
      <c r="IK928" s="3"/>
      <c r="IL928" s="3"/>
      <c r="IM928" s="3"/>
      <c r="IN928" s="3"/>
      <c r="IO928" s="3"/>
      <c r="IP928" s="3"/>
      <c r="IQ928" s="3"/>
      <c r="IR928" s="3"/>
      <c r="IS928" s="3"/>
      <c r="IT928" s="3"/>
      <c r="IU928" s="3"/>
      <c r="IV928" s="3"/>
      <c r="IW928" s="3"/>
      <c r="IX928" s="3"/>
      <c r="IY928" s="3"/>
      <c r="IZ928" s="3"/>
      <c r="JA928" s="3"/>
      <c r="JB928" s="3"/>
      <c r="JC928" s="3"/>
      <c r="JD928" s="3"/>
      <c r="JE928" s="3"/>
      <c r="JF928" s="3"/>
      <c r="JG928" s="3"/>
      <c r="JH928" s="3"/>
      <c r="JI928" s="3"/>
      <c r="JJ928" s="3"/>
      <c r="JK928" s="3"/>
      <c r="JL928" s="3"/>
      <c r="JM928" s="3"/>
      <c r="JN928" s="3"/>
      <c r="JO928" s="3"/>
      <c r="JP928" s="3"/>
      <c r="JQ928" s="3"/>
      <c r="JR928" s="3"/>
      <c r="JS928" s="3"/>
      <c r="JT928" s="3"/>
      <c r="JU928" s="3"/>
      <c r="JV928" s="3"/>
      <c r="JW928" s="3"/>
      <c r="JX928" s="3"/>
      <c r="JY928" s="3"/>
      <c r="JZ928" s="3"/>
      <c r="KA928" s="3"/>
      <c r="KB928" s="3"/>
      <c r="KC928" s="3"/>
      <c r="KD928" s="3"/>
      <c r="KE928" s="3"/>
      <c r="KF928" s="3"/>
      <c r="KG928" s="3"/>
      <c r="KH928" s="3"/>
      <c r="KI928" s="3"/>
      <c r="KJ928" s="3"/>
      <c r="KK928" s="3"/>
      <c r="KL928" s="3"/>
      <c r="KM928" s="3"/>
      <c r="KN928" s="3"/>
      <c r="KO928" s="3"/>
      <c r="KP928" s="3"/>
      <c r="KQ928" s="3"/>
      <c r="KR928" s="3"/>
      <c r="KS928" s="3"/>
      <c r="KT928" s="3"/>
      <c r="KU928" s="3"/>
      <c r="KV928" s="3"/>
      <c r="KW928" s="3"/>
      <c r="KX928" s="3"/>
      <c r="KY928" s="3"/>
      <c r="KZ928" s="3"/>
      <c r="LA928" s="3"/>
      <c r="LB928" s="3"/>
      <c r="LC928" s="3"/>
      <c r="LD928" s="3"/>
      <c r="LE928" s="3"/>
      <c r="LF928" s="3"/>
      <c r="LG928" s="3"/>
      <c r="LH928" s="3"/>
      <c r="LI928" s="3"/>
      <c r="LJ928" s="3"/>
      <c r="LK928" s="3"/>
      <c r="LL928" s="3"/>
      <c r="LM928" s="3"/>
      <c r="LN928" s="3"/>
      <c r="LO928" s="3"/>
      <c r="LP928" s="3"/>
      <c r="LQ928" s="3"/>
      <c r="LR928" s="3"/>
      <c r="LS928" s="3"/>
      <c r="LT928" s="3"/>
      <c r="LU928" s="3"/>
      <c r="LV928" s="3"/>
      <c r="LW928" s="3"/>
      <c r="LX928" s="3"/>
      <c r="LY928" s="3"/>
      <c r="LZ928" s="3"/>
      <c r="MA928" s="3"/>
      <c r="MB928" s="3"/>
      <c r="MC928" s="3"/>
      <c r="MD928" s="3"/>
      <c r="ME928" s="3"/>
      <c r="MF928" s="3"/>
      <c r="MG928" s="3"/>
      <c r="MH928" s="3"/>
      <c r="MI928" s="3"/>
    </row>
    <row r="929" spans="1:347"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c r="HX929" s="3"/>
      <c r="HY929" s="3"/>
      <c r="HZ929" s="3"/>
      <c r="IA929" s="3"/>
      <c r="IB929" s="3"/>
      <c r="IC929" s="3"/>
      <c r="ID929" s="3"/>
      <c r="IE929" s="3"/>
      <c r="IF929" s="3"/>
      <c r="IG929" s="3"/>
      <c r="IH929" s="3"/>
      <c r="II929" s="3"/>
      <c r="IJ929" s="3"/>
      <c r="IK929" s="3"/>
      <c r="IL929" s="3"/>
      <c r="IM929" s="3"/>
      <c r="IN929" s="3"/>
      <c r="IO929" s="3"/>
      <c r="IP929" s="3"/>
      <c r="IQ929" s="3"/>
      <c r="IR929" s="3"/>
      <c r="IS929" s="3"/>
      <c r="IT929" s="3"/>
      <c r="IU929" s="3"/>
      <c r="IV929" s="3"/>
      <c r="IW929" s="3"/>
      <c r="IX929" s="3"/>
      <c r="IY929" s="3"/>
      <c r="IZ929" s="3"/>
      <c r="JA929" s="3"/>
      <c r="JB929" s="3"/>
      <c r="JC929" s="3"/>
      <c r="JD929" s="3"/>
      <c r="JE929" s="3"/>
      <c r="JF929" s="3"/>
      <c r="JG929" s="3"/>
      <c r="JH929" s="3"/>
      <c r="JI929" s="3"/>
      <c r="JJ929" s="3"/>
      <c r="JK929" s="3"/>
      <c r="JL929" s="3"/>
      <c r="JM929" s="3"/>
      <c r="JN929" s="3"/>
      <c r="JO929" s="3"/>
      <c r="JP929" s="3"/>
      <c r="JQ929" s="3"/>
      <c r="JR929" s="3"/>
      <c r="JS929" s="3"/>
      <c r="JT929" s="3"/>
      <c r="JU929" s="3"/>
      <c r="JV929" s="3"/>
      <c r="JW929" s="3"/>
      <c r="JX929" s="3"/>
      <c r="JY929" s="3"/>
      <c r="JZ929" s="3"/>
      <c r="KA929" s="3"/>
      <c r="KB929" s="3"/>
      <c r="KC929" s="3"/>
      <c r="KD929" s="3"/>
      <c r="KE929" s="3"/>
      <c r="KF929" s="3"/>
      <c r="KG929" s="3"/>
      <c r="KH929" s="3"/>
      <c r="KI929" s="3"/>
      <c r="KJ929" s="3"/>
      <c r="KK929" s="3"/>
      <c r="KL929" s="3"/>
      <c r="KM929" s="3"/>
      <c r="KN929" s="3"/>
      <c r="KO929" s="3"/>
      <c r="KP929" s="3"/>
      <c r="KQ929" s="3"/>
      <c r="KR929" s="3"/>
      <c r="KS929" s="3"/>
      <c r="KT929" s="3"/>
      <c r="KU929" s="3"/>
      <c r="KV929" s="3"/>
      <c r="KW929" s="3"/>
      <c r="KX929" s="3"/>
      <c r="KY929" s="3"/>
      <c r="KZ929" s="3"/>
      <c r="LA929" s="3"/>
      <c r="LB929" s="3"/>
      <c r="LC929" s="3"/>
      <c r="LD929" s="3"/>
      <c r="LE929" s="3"/>
      <c r="LF929" s="3"/>
      <c r="LG929" s="3"/>
      <c r="LH929" s="3"/>
      <c r="LI929" s="3"/>
      <c r="LJ929" s="3"/>
      <c r="LK929" s="3"/>
      <c r="LL929" s="3"/>
      <c r="LM929" s="3"/>
      <c r="LN929" s="3"/>
      <c r="LO929" s="3"/>
      <c r="LP929" s="3"/>
      <c r="LQ929" s="3"/>
      <c r="LR929" s="3"/>
      <c r="LS929" s="3"/>
      <c r="LT929" s="3"/>
      <c r="LU929" s="3"/>
      <c r="LV929" s="3"/>
      <c r="LW929" s="3"/>
      <c r="LX929" s="3"/>
      <c r="LY929" s="3"/>
      <c r="LZ929" s="3"/>
      <c r="MA929" s="3"/>
      <c r="MB929" s="3"/>
      <c r="MC929" s="3"/>
      <c r="MD929" s="3"/>
      <c r="ME929" s="3"/>
      <c r="MF929" s="3"/>
      <c r="MG929" s="3"/>
      <c r="MH929" s="3"/>
      <c r="MI929" s="3"/>
    </row>
    <row r="930" spans="1:347"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c r="HX930" s="3"/>
      <c r="HY930" s="3"/>
      <c r="HZ930" s="3"/>
      <c r="IA930" s="3"/>
      <c r="IB930" s="3"/>
      <c r="IC930" s="3"/>
      <c r="ID930" s="3"/>
      <c r="IE930" s="3"/>
      <c r="IF930" s="3"/>
      <c r="IG930" s="3"/>
      <c r="IH930" s="3"/>
      <c r="II930" s="3"/>
      <c r="IJ930" s="3"/>
      <c r="IK930" s="3"/>
      <c r="IL930" s="3"/>
      <c r="IM930" s="3"/>
      <c r="IN930" s="3"/>
      <c r="IO930" s="3"/>
      <c r="IP930" s="3"/>
      <c r="IQ930" s="3"/>
      <c r="IR930" s="3"/>
      <c r="IS930" s="3"/>
      <c r="IT930" s="3"/>
      <c r="IU930" s="3"/>
      <c r="IV930" s="3"/>
      <c r="IW930" s="3"/>
      <c r="IX930" s="3"/>
      <c r="IY930" s="3"/>
      <c r="IZ930" s="3"/>
      <c r="JA930" s="3"/>
      <c r="JB930" s="3"/>
      <c r="JC930" s="3"/>
      <c r="JD930" s="3"/>
      <c r="JE930" s="3"/>
      <c r="JF930" s="3"/>
      <c r="JG930" s="3"/>
      <c r="JH930" s="3"/>
      <c r="JI930" s="3"/>
      <c r="JJ930" s="3"/>
      <c r="JK930" s="3"/>
      <c r="JL930" s="3"/>
      <c r="JM930" s="3"/>
      <c r="JN930" s="3"/>
      <c r="JO930" s="3"/>
      <c r="JP930" s="3"/>
      <c r="JQ930" s="3"/>
      <c r="JR930" s="3"/>
      <c r="JS930" s="3"/>
      <c r="JT930" s="3"/>
      <c r="JU930" s="3"/>
      <c r="JV930" s="3"/>
      <c r="JW930" s="3"/>
      <c r="JX930" s="3"/>
      <c r="JY930" s="3"/>
      <c r="JZ930" s="3"/>
      <c r="KA930" s="3"/>
      <c r="KB930" s="3"/>
      <c r="KC930" s="3"/>
      <c r="KD930" s="3"/>
      <c r="KE930" s="3"/>
      <c r="KF930" s="3"/>
      <c r="KG930" s="3"/>
      <c r="KH930" s="3"/>
      <c r="KI930" s="3"/>
      <c r="KJ930" s="3"/>
      <c r="KK930" s="3"/>
      <c r="KL930" s="3"/>
      <c r="KM930" s="3"/>
      <c r="KN930" s="3"/>
      <c r="KO930" s="3"/>
      <c r="KP930" s="3"/>
      <c r="KQ930" s="3"/>
      <c r="KR930" s="3"/>
      <c r="KS930" s="3"/>
      <c r="KT930" s="3"/>
      <c r="KU930" s="3"/>
      <c r="KV930" s="3"/>
      <c r="KW930" s="3"/>
      <c r="KX930" s="3"/>
      <c r="KY930" s="3"/>
      <c r="KZ930" s="3"/>
      <c r="LA930" s="3"/>
      <c r="LB930" s="3"/>
      <c r="LC930" s="3"/>
      <c r="LD930" s="3"/>
      <c r="LE930" s="3"/>
      <c r="LF930" s="3"/>
      <c r="LG930" s="3"/>
      <c r="LH930" s="3"/>
      <c r="LI930" s="3"/>
      <c r="LJ930" s="3"/>
      <c r="LK930" s="3"/>
      <c r="LL930" s="3"/>
      <c r="LM930" s="3"/>
      <c r="LN930" s="3"/>
      <c r="LO930" s="3"/>
      <c r="LP930" s="3"/>
      <c r="LQ930" s="3"/>
      <c r="LR930" s="3"/>
      <c r="LS930" s="3"/>
      <c r="LT930" s="3"/>
      <c r="LU930" s="3"/>
      <c r="LV930" s="3"/>
      <c r="LW930" s="3"/>
      <c r="LX930" s="3"/>
      <c r="LY930" s="3"/>
      <c r="LZ930" s="3"/>
      <c r="MA930" s="3"/>
      <c r="MB930" s="3"/>
      <c r="MC930" s="3"/>
      <c r="MD930" s="3"/>
      <c r="ME930" s="3"/>
      <c r="MF930" s="3"/>
      <c r="MG930" s="3"/>
      <c r="MH930" s="3"/>
      <c r="MI930" s="3"/>
    </row>
    <row r="931" spans="1:347"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c r="HX931" s="3"/>
      <c r="HY931" s="3"/>
      <c r="HZ931" s="3"/>
      <c r="IA931" s="3"/>
      <c r="IB931" s="3"/>
      <c r="IC931" s="3"/>
      <c r="ID931" s="3"/>
      <c r="IE931" s="3"/>
      <c r="IF931" s="3"/>
      <c r="IG931" s="3"/>
      <c r="IH931" s="3"/>
      <c r="II931" s="3"/>
      <c r="IJ931" s="3"/>
      <c r="IK931" s="3"/>
      <c r="IL931" s="3"/>
      <c r="IM931" s="3"/>
      <c r="IN931" s="3"/>
      <c r="IO931" s="3"/>
      <c r="IP931" s="3"/>
      <c r="IQ931" s="3"/>
      <c r="IR931" s="3"/>
      <c r="IS931" s="3"/>
      <c r="IT931" s="3"/>
      <c r="IU931" s="3"/>
      <c r="IV931" s="3"/>
      <c r="IW931" s="3"/>
      <c r="IX931" s="3"/>
      <c r="IY931" s="3"/>
      <c r="IZ931" s="3"/>
      <c r="JA931" s="3"/>
      <c r="JB931" s="3"/>
      <c r="JC931" s="3"/>
      <c r="JD931" s="3"/>
      <c r="JE931" s="3"/>
      <c r="JF931" s="3"/>
      <c r="JG931" s="3"/>
      <c r="JH931" s="3"/>
      <c r="JI931" s="3"/>
      <c r="JJ931" s="3"/>
      <c r="JK931" s="3"/>
      <c r="JL931" s="3"/>
      <c r="JM931" s="3"/>
      <c r="JN931" s="3"/>
      <c r="JO931" s="3"/>
      <c r="JP931" s="3"/>
      <c r="JQ931" s="3"/>
      <c r="JR931" s="3"/>
      <c r="JS931" s="3"/>
      <c r="JT931" s="3"/>
      <c r="JU931" s="3"/>
      <c r="JV931" s="3"/>
      <c r="JW931" s="3"/>
      <c r="JX931" s="3"/>
      <c r="JY931" s="3"/>
      <c r="JZ931" s="3"/>
      <c r="KA931" s="3"/>
      <c r="KB931" s="3"/>
      <c r="KC931" s="3"/>
      <c r="KD931" s="3"/>
      <c r="KE931" s="3"/>
      <c r="KF931" s="3"/>
      <c r="KG931" s="3"/>
      <c r="KH931" s="3"/>
      <c r="KI931" s="3"/>
      <c r="KJ931" s="3"/>
      <c r="KK931" s="3"/>
      <c r="KL931" s="3"/>
      <c r="KM931" s="3"/>
      <c r="KN931" s="3"/>
      <c r="KO931" s="3"/>
      <c r="KP931" s="3"/>
      <c r="KQ931" s="3"/>
      <c r="KR931" s="3"/>
      <c r="KS931" s="3"/>
      <c r="KT931" s="3"/>
      <c r="KU931" s="3"/>
      <c r="KV931" s="3"/>
      <c r="KW931" s="3"/>
      <c r="KX931" s="3"/>
      <c r="KY931" s="3"/>
      <c r="KZ931" s="3"/>
      <c r="LA931" s="3"/>
      <c r="LB931" s="3"/>
      <c r="LC931" s="3"/>
      <c r="LD931" s="3"/>
      <c r="LE931" s="3"/>
      <c r="LF931" s="3"/>
      <c r="LG931" s="3"/>
      <c r="LH931" s="3"/>
      <c r="LI931" s="3"/>
      <c r="LJ931" s="3"/>
      <c r="LK931" s="3"/>
      <c r="LL931" s="3"/>
      <c r="LM931" s="3"/>
      <c r="LN931" s="3"/>
      <c r="LO931" s="3"/>
      <c r="LP931" s="3"/>
      <c r="LQ931" s="3"/>
      <c r="LR931" s="3"/>
      <c r="LS931" s="3"/>
      <c r="LT931" s="3"/>
      <c r="LU931" s="3"/>
      <c r="LV931" s="3"/>
      <c r="LW931" s="3"/>
      <c r="LX931" s="3"/>
      <c r="LY931" s="3"/>
      <c r="LZ931" s="3"/>
      <c r="MA931" s="3"/>
      <c r="MB931" s="3"/>
      <c r="MC931" s="3"/>
      <c r="MD931" s="3"/>
      <c r="ME931" s="3"/>
      <c r="MF931" s="3"/>
      <c r="MG931" s="3"/>
      <c r="MH931" s="3"/>
      <c r="MI931" s="3"/>
    </row>
    <row r="932" spans="1:347"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c r="HX932" s="3"/>
      <c r="HY932" s="3"/>
      <c r="HZ932" s="3"/>
      <c r="IA932" s="3"/>
      <c r="IB932" s="3"/>
      <c r="IC932" s="3"/>
      <c r="ID932" s="3"/>
      <c r="IE932" s="3"/>
      <c r="IF932" s="3"/>
      <c r="IG932" s="3"/>
      <c r="IH932" s="3"/>
      <c r="II932" s="3"/>
      <c r="IJ932" s="3"/>
      <c r="IK932" s="3"/>
      <c r="IL932" s="3"/>
      <c r="IM932" s="3"/>
      <c r="IN932" s="3"/>
      <c r="IO932" s="3"/>
      <c r="IP932" s="3"/>
      <c r="IQ932" s="3"/>
      <c r="IR932" s="3"/>
      <c r="IS932" s="3"/>
      <c r="IT932" s="3"/>
      <c r="IU932" s="3"/>
      <c r="IV932" s="3"/>
      <c r="IW932" s="3"/>
      <c r="IX932" s="3"/>
      <c r="IY932" s="3"/>
      <c r="IZ932" s="3"/>
      <c r="JA932" s="3"/>
      <c r="JB932" s="3"/>
      <c r="JC932" s="3"/>
      <c r="JD932" s="3"/>
      <c r="JE932" s="3"/>
      <c r="JF932" s="3"/>
      <c r="JG932" s="3"/>
      <c r="JH932" s="3"/>
      <c r="JI932" s="3"/>
      <c r="JJ932" s="3"/>
      <c r="JK932" s="3"/>
      <c r="JL932" s="3"/>
      <c r="JM932" s="3"/>
      <c r="JN932" s="3"/>
      <c r="JO932" s="3"/>
      <c r="JP932" s="3"/>
      <c r="JQ932" s="3"/>
      <c r="JR932" s="3"/>
      <c r="JS932" s="3"/>
      <c r="JT932" s="3"/>
      <c r="JU932" s="3"/>
      <c r="JV932" s="3"/>
      <c r="JW932" s="3"/>
      <c r="JX932" s="3"/>
      <c r="JY932" s="3"/>
      <c r="JZ932" s="3"/>
      <c r="KA932" s="3"/>
      <c r="KB932" s="3"/>
      <c r="KC932" s="3"/>
      <c r="KD932" s="3"/>
      <c r="KE932" s="3"/>
      <c r="KF932" s="3"/>
      <c r="KG932" s="3"/>
      <c r="KH932" s="3"/>
      <c r="KI932" s="3"/>
      <c r="KJ932" s="3"/>
      <c r="KK932" s="3"/>
      <c r="KL932" s="3"/>
      <c r="KM932" s="3"/>
      <c r="KN932" s="3"/>
      <c r="KO932" s="3"/>
      <c r="KP932" s="3"/>
      <c r="KQ932" s="3"/>
      <c r="KR932" s="3"/>
      <c r="KS932" s="3"/>
      <c r="KT932" s="3"/>
      <c r="KU932" s="3"/>
      <c r="KV932" s="3"/>
      <c r="KW932" s="3"/>
      <c r="KX932" s="3"/>
      <c r="KY932" s="3"/>
      <c r="KZ932" s="3"/>
      <c r="LA932" s="3"/>
      <c r="LB932" s="3"/>
      <c r="LC932" s="3"/>
      <c r="LD932" s="3"/>
      <c r="LE932" s="3"/>
      <c r="LF932" s="3"/>
      <c r="LG932" s="3"/>
      <c r="LH932" s="3"/>
      <c r="LI932" s="3"/>
      <c r="LJ932" s="3"/>
      <c r="LK932" s="3"/>
      <c r="LL932" s="3"/>
      <c r="LM932" s="3"/>
      <c r="LN932" s="3"/>
      <c r="LO932" s="3"/>
      <c r="LP932" s="3"/>
      <c r="LQ932" s="3"/>
      <c r="LR932" s="3"/>
      <c r="LS932" s="3"/>
      <c r="LT932" s="3"/>
      <c r="LU932" s="3"/>
      <c r="LV932" s="3"/>
      <c r="LW932" s="3"/>
      <c r="LX932" s="3"/>
      <c r="LY932" s="3"/>
      <c r="LZ932" s="3"/>
      <c r="MA932" s="3"/>
      <c r="MB932" s="3"/>
      <c r="MC932" s="3"/>
      <c r="MD932" s="3"/>
      <c r="ME932" s="3"/>
      <c r="MF932" s="3"/>
      <c r="MG932" s="3"/>
      <c r="MH932" s="3"/>
      <c r="MI932" s="3"/>
    </row>
    <row r="933" spans="1:347"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c r="HX933" s="3"/>
      <c r="HY933" s="3"/>
      <c r="HZ933" s="3"/>
      <c r="IA933" s="3"/>
      <c r="IB933" s="3"/>
      <c r="IC933" s="3"/>
      <c r="ID933" s="3"/>
      <c r="IE933" s="3"/>
      <c r="IF933" s="3"/>
      <c r="IG933" s="3"/>
      <c r="IH933" s="3"/>
      <c r="II933" s="3"/>
      <c r="IJ933" s="3"/>
      <c r="IK933" s="3"/>
      <c r="IL933" s="3"/>
      <c r="IM933" s="3"/>
      <c r="IN933" s="3"/>
      <c r="IO933" s="3"/>
      <c r="IP933" s="3"/>
      <c r="IQ933" s="3"/>
      <c r="IR933" s="3"/>
      <c r="IS933" s="3"/>
      <c r="IT933" s="3"/>
      <c r="IU933" s="3"/>
      <c r="IV933" s="3"/>
      <c r="IW933" s="3"/>
      <c r="IX933" s="3"/>
      <c r="IY933" s="3"/>
      <c r="IZ933" s="3"/>
      <c r="JA933" s="3"/>
      <c r="JB933" s="3"/>
      <c r="JC933" s="3"/>
      <c r="JD933" s="3"/>
      <c r="JE933" s="3"/>
      <c r="JF933" s="3"/>
      <c r="JG933" s="3"/>
      <c r="JH933" s="3"/>
      <c r="JI933" s="3"/>
      <c r="JJ933" s="3"/>
      <c r="JK933" s="3"/>
      <c r="JL933" s="3"/>
      <c r="JM933" s="3"/>
      <c r="JN933" s="3"/>
      <c r="JO933" s="3"/>
      <c r="JP933" s="3"/>
      <c r="JQ933" s="3"/>
      <c r="JR933" s="3"/>
      <c r="JS933" s="3"/>
      <c r="JT933" s="3"/>
      <c r="JU933" s="3"/>
      <c r="JV933" s="3"/>
      <c r="JW933" s="3"/>
      <c r="JX933" s="3"/>
      <c r="JY933" s="3"/>
      <c r="JZ933" s="3"/>
      <c r="KA933" s="3"/>
      <c r="KB933" s="3"/>
      <c r="KC933" s="3"/>
      <c r="KD933" s="3"/>
      <c r="KE933" s="3"/>
      <c r="KF933" s="3"/>
      <c r="KG933" s="3"/>
      <c r="KH933" s="3"/>
      <c r="KI933" s="3"/>
      <c r="KJ933" s="3"/>
      <c r="KK933" s="3"/>
      <c r="KL933" s="3"/>
      <c r="KM933" s="3"/>
      <c r="KN933" s="3"/>
      <c r="KO933" s="3"/>
      <c r="KP933" s="3"/>
      <c r="KQ933" s="3"/>
      <c r="KR933" s="3"/>
      <c r="KS933" s="3"/>
      <c r="KT933" s="3"/>
      <c r="KU933" s="3"/>
      <c r="KV933" s="3"/>
      <c r="KW933" s="3"/>
      <c r="KX933" s="3"/>
      <c r="KY933" s="3"/>
      <c r="KZ933" s="3"/>
      <c r="LA933" s="3"/>
      <c r="LB933" s="3"/>
      <c r="LC933" s="3"/>
      <c r="LD933" s="3"/>
      <c r="LE933" s="3"/>
      <c r="LF933" s="3"/>
      <c r="LG933" s="3"/>
      <c r="LH933" s="3"/>
      <c r="LI933" s="3"/>
      <c r="LJ933" s="3"/>
      <c r="LK933" s="3"/>
      <c r="LL933" s="3"/>
      <c r="LM933" s="3"/>
      <c r="LN933" s="3"/>
      <c r="LO933" s="3"/>
      <c r="LP933" s="3"/>
      <c r="LQ933" s="3"/>
      <c r="LR933" s="3"/>
      <c r="LS933" s="3"/>
      <c r="LT933" s="3"/>
      <c r="LU933" s="3"/>
      <c r="LV933" s="3"/>
      <c r="LW933" s="3"/>
      <c r="LX933" s="3"/>
      <c r="LY933" s="3"/>
      <c r="LZ933" s="3"/>
      <c r="MA933" s="3"/>
      <c r="MB933" s="3"/>
      <c r="MC933" s="3"/>
      <c r="MD933" s="3"/>
      <c r="ME933" s="3"/>
      <c r="MF933" s="3"/>
      <c r="MG933" s="3"/>
      <c r="MH933" s="3"/>
      <c r="MI933" s="3"/>
    </row>
    <row r="934" spans="1:347"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c r="HX934" s="3"/>
      <c r="HY934" s="3"/>
      <c r="HZ934" s="3"/>
      <c r="IA934" s="3"/>
      <c r="IB934" s="3"/>
      <c r="IC934" s="3"/>
      <c r="ID934" s="3"/>
      <c r="IE934" s="3"/>
      <c r="IF934" s="3"/>
      <c r="IG934" s="3"/>
      <c r="IH934" s="3"/>
      <c r="II934" s="3"/>
      <c r="IJ934" s="3"/>
      <c r="IK934" s="3"/>
      <c r="IL934" s="3"/>
      <c r="IM934" s="3"/>
      <c r="IN934" s="3"/>
      <c r="IO934" s="3"/>
      <c r="IP934" s="3"/>
      <c r="IQ934" s="3"/>
      <c r="IR934" s="3"/>
      <c r="IS934" s="3"/>
      <c r="IT934" s="3"/>
      <c r="IU934" s="3"/>
      <c r="IV934" s="3"/>
      <c r="IW934" s="3"/>
      <c r="IX934" s="3"/>
      <c r="IY934" s="3"/>
      <c r="IZ934" s="3"/>
      <c r="JA934" s="3"/>
      <c r="JB934" s="3"/>
      <c r="JC934" s="3"/>
      <c r="JD934" s="3"/>
      <c r="JE934" s="3"/>
      <c r="JF934" s="3"/>
      <c r="JG934" s="3"/>
      <c r="JH934" s="3"/>
      <c r="JI934" s="3"/>
      <c r="JJ934" s="3"/>
      <c r="JK934" s="3"/>
      <c r="JL934" s="3"/>
      <c r="JM934" s="3"/>
      <c r="JN934" s="3"/>
      <c r="JO934" s="3"/>
      <c r="JP934" s="3"/>
      <c r="JQ934" s="3"/>
      <c r="JR934" s="3"/>
      <c r="JS934" s="3"/>
      <c r="JT934" s="3"/>
      <c r="JU934" s="3"/>
      <c r="JV934" s="3"/>
      <c r="JW934" s="3"/>
      <c r="JX934" s="3"/>
      <c r="JY934" s="3"/>
      <c r="JZ934" s="3"/>
      <c r="KA934" s="3"/>
      <c r="KB934" s="3"/>
      <c r="KC934" s="3"/>
      <c r="KD934" s="3"/>
      <c r="KE934" s="3"/>
      <c r="KF934" s="3"/>
      <c r="KG934" s="3"/>
      <c r="KH934" s="3"/>
      <c r="KI934" s="3"/>
      <c r="KJ934" s="3"/>
      <c r="KK934" s="3"/>
      <c r="KL934" s="3"/>
      <c r="KM934" s="3"/>
      <c r="KN934" s="3"/>
      <c r="KO934" s="3"/>
      <c r="KP934" s="3"/>
      <c r="KQ934" s="3"/>
      <c r="KR934" s="3"/>
      <c r="KS934" s="3"/>
      <c r="KT934" s="3"/>
      <c r="KU934" s="3"/>
      <c r="KV934" s="3"/>
      <c r="KW934" s="3"/>
      <c r="KX934" s="3"/>
      <c r="KY934" s="3"/>
      <c r="KZ934" s="3"/>
      <c r="LA934" s="3"/>
      <c r="LB934" s="3"/>
      <c r="LC934" s="3"/>
      <c r="LD934" s="3"/>
      <c r="LE934" s="3"/>
      <c r="LF934" s="3"/>
      <c r="LG934" s="3"/>
      <c r="LH934" s="3"/>
      <c r="LI934" s="3"/>
      <c r="LJ934" s="3"/>
      <c r="LK934" s="3"/>
      <c r="LL934" s="3"/>
      <c r="LM934" s="3"/>
      <c r="LN934" s="3"/>
      <c r="LO934" s="3"/>
      <c r="LP934" s="3"/>
      <c r="LQ934" s="3"/>
      <c r="LR934" s="3"/>
      <c r="LS934" s="3"/>
      <c r="LT934" s="3"/>
      <c r="LU934" s="3"/>
      <c r="LV934" s="3"/>
      <c r="LW934" s="3"/>
      <c r="LX934" s="3"/>
      <c r="LY934" s="3"/>
      <c r="LZ934" s="3"/>
      <c r="MA934" s="3"/>
      <c r="MB934" s="3"/>
      <c r="MC934" s="3"/>
      <c r="MD934" s="3"/>
      <c r="ME934" s="3"/>
      <c r="MF934" s="3"/>
      <c r="MG934" s="3"/>
      <c r="MH934" s="3"/>
      <c r="MI934" s="3"/>
    </row>
    <row r="935" spans="1:347"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c r="HX935" s="3"/>
      <c r="HY935" s="3"/>
      <c r="HZ935" s="3"/>
      <c r="IA935" s="3"/>
      <c r="IB935" s="3"/>
      <c r="IC935" s="3"/>
      <c r="ID935" s="3"/>
      <c r="IE935" s="3"/>
      <c r="IF935" s="3"/>
      <c r="IG935" s="3"/>
      <c r="IH935" s="3"/>
      <c r="II935" s="3"/>
      <c r="IJ935" s="3"/>
      <c r="IK935" s="3"/>
      <c r="IL935" s="3"/>
      <c r="IM935" s="3"/>
      <c r="IN935" s="3"/>
      <c r="IO935" s="3"/>
      <c r="IP935" s="3"/>
      <c r="IQ935" s="3"/>
      <c r="IR935" s="3"/>
      <c r="IS935" s="3"/>
      <c r="IT935" s="3"/>
      <c r="IU935" s="3"/>
      <c r="IV935" s="3"/>
      <c r="IW935" s="3"/>
      <c r="IX935" s="3"/>
      <c r="IY935" s="3"/>
      <c r="IZ935" s="3"/>
      <c r="JA935" s="3"/>
      <c r="JB935" s="3"/>
      <c r="JC935" s="3"/>
      <c r="JD935" s="3"/>
      <c r="JE935" s="3"/>
      <c r="JF935" s="3"/>
      <c r="JG935" s="3"/>
      <c r="JH935" s="3"/>
      <c r="JI935" s="3"/>
      <c r="JJ935" s="3"/>
      <c r="JK935" s="3"/>
      <c r="JL935" s="3"/>
      <c r="JM935" s="3"/>
      <c r="JN935" s="3"/>
      <c r="JO935" s="3"/>
      <c r="JP935" s="3"/>
      <c r="JQ935" s="3"/>
      <c r="JR935" s="3"/>
      <c r="JS935" s="3"/>
      <c r="JT935" s="3"/>
      <c r="JU935" s="3"/>
      <c r="JV935" s="3"/>
      <c r="JW935" s="3"/>
      <c r="JX935" s="3"/>
      <c r="JY935" s="3"/>
      <c r="JZ935" s="3"/>
      <c r="KA935" s="3"/>
      <c r="KB935" s="3"/>
      <c r="KC935" s="3"/>
      <c r="KD935" s="3"/>
      <c r="KE935" s="3"/>
      <c r="KF935" s="3"/>
      <c r="KG935" s="3"/>
      <c r="KH935" s="3"/>
      <c r="KI935" s="3"/>
      <c r="KJ935" s="3"/>
      <c r="KK935" s="3"/>
      <c r="KL935" s="3"/>
      <c r="KM935" s="3"/>
      <c r="KN935" s="3"/>
      <c r="KO935" s="3"/>
      <c r="KP935" s="3"/>
      <c r="KQ935" s="3"/>
      <c r="KR935" s="3"/>
      <c r="KS935" s="3"/>
      <c r="KT935" s="3"/>
      <c r="KU935" s="3"/>
      <c r="KV935" s="3"/>
      <c r="KW935" s="3"/>
      <c r="KX935" s="3"/>
      <c r="KY935" s="3"/>
      <c r="KZ935" s="3"/>
      <c r="LA935" s="3"/>
      <c r="LB935" s="3"/>
      <c r="LC935" s="3"/>
      <c r="LD935" s="3"/>
      <c r="LE935" s="3"/>
      <c r="LF935" s="3"/>
      <c r="LG935" s="3"/>
      <c r="LH935" s="3"/>
      <c r="LI935" s="3"/>
      <c r="LJ935" s="3"/>
      <c r="LK935" s="3"/>
      <c r="LL935" s="3"/>
      <c r="LM935" s="3"/>
      <c r="LN935" s="3"/>
      <c r="LO935" s="3"/>
      <c r="LP935" s="3"/>
      <c r="LQ935" s="3"/>
      <c r="LR935" s="3"/>
      <c r="LS935" s="3"/>
      <c r="LT935" s="3"/>
      <c r="LU935" s="3"/>
      <c r="LV935" s="3"/>
      <c r="LW935" s="3"/>
      <c r="LX935" s="3"/>
      <c r="LY935" s="3"/>
      <c r="LZ935" s="3"/>
      <c r="MA935" s="3"/>
      <c r="MB935" s="3"/>
      <c r="MC935" s="3"/>
      <c r="MD935" s="3"/>
      <c r="ME935" s="3"/>
      <c r="MF935" s="3"/>
      <c r="MG935" s="3"/>
      <c r="MH935" s="3"/>
      <c r="MI935" s="3"/>
    </row>
    <row r="936" spans="1:347"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c r="IZ936" s="3"/>
      <c r="JA936" s="3"/>
      <c r="JB936" s="3"/>
      <c r="JC936" s="3"/>
      <c r="JD936" s="3"/>
      <c r="JE936" s="3"/>
      <c r="JF936" s="3"/>
      <c r="JG936" s="3"/>
      <c r="JH936" s="3"/>
      <c r="JI936" s="3"/>
      <c r="JJ936" s="3"/>
      <c r="JK936" s="3"/>
      <c r="JL936" s="3"/>
      <c r="JM936" s="3"/>
      <c r="JN936" s="3"/>
      <c r="JO936" s="3"/>
      <c r="JP936" s="3"/>
      <c r="JQ936" s="3"/>
      <c r="JR936" s="3"/>
      <c r="JS936" s="3"/>
      <c r="JT936" s="3"/>
      <c r="JU936" s="3"/>
      <c r="JV936" s="3"/>
      <c r="JW936" s="3"/>
      <c r="JX936" s="3"/>
      <c r="JY936" s="3"/>
      <c r="JZ936" s="3"/>
      <c r="KA936" s="3"/>
      <c r="KB936" s="3"/>
      <c r="KC936" s="3"/>
      <c r="KD936" s="3"/>
      <c r="KE936" s="3"/>
      <c r="KF936" s="3"/>
      <c r="KG936" s="3"/>
      <c r="KH936" s="3"/>
      <c r="KI936" s="3"/>
      <c r="KJ936" s="3"/>
      <c r="KK936" s="3"/>
      <c r="KL936" s="3"/>
      <c r="KM936" s="3"/>
      <c r="KN936" s="3"/>
      <c r="KO936" s="3"/>
      <c r="KP936" s="3"/>
      <c r="KQ936" s="3"/>
      <c r="KR936" s="3"/>
      <c r="KS936" s="3"/>
      <c r="KT936" s="3"/>
      <c r="KU936" s="3"/>
      <c r="KV936" s="3"/>
      <c r="KW936" s="3"/>
      <c r="KX936" s="3"/>
      <c r="KY936" s="3"/>
      <c r="KZ936" s="3"/>
      <c r="LA936" s="3"/>
      <c r="LB936" s="3"/>
      <c r="LC936" s="3"/>
      <c r="LD936" s="3"/>
      <c r="LE936" s="3"/>
      <c r="LF936" s="3"/>
      <c r="LG936" s="3"/>
      <c r="LH936" s="3"/>
      <c r="LI936" s="3"/>
      <c r="LJ936" s="3"/>
      <c r="LK936" s="3"/>
      <c r="LL936" s="3"/>
      <c r="LM936" s="3"/>
      <c r="LN936" s="3"/>
      <c r="LO936" s="3"/>
      <c r="LP936" s="3"/>
      <c r="LQ936" s="3"/>
      <c r="LR936" s="3"/>
      <c r="LS936" s="3"/>
      <c r="LT936" s="3"/>
      <c r="LU936" s="3"/>
      <c r="LV936" s="3"/>
      <c r="LW936" s="3"/>
      <c r="LX936" s="3"/>
      <c r="LY936" s="3"/>
      <c r="LZ936" s="3"/>
      <c r="MA936" s="3"/>
      <c r="MB936" s="3"/>
      <c r="MC936" s="3"/>
      <c r="MD936" s="3"/>
      <c r="ME936" s="3"/>
      <c r="MF936" s="3"/>
      <c r="MG936" s="3"/>
      <c r="MH936" s="3"/>
      <c r="MI936" s="3"/>
    </row>
    <row r="937" spans="1:347"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c r="IZ937" s="3"/>
      <c r="JA937" s="3"/>
      <c r="JB937" s="3"/>
      <c r="JC937" s="3"/>
      <c r="JD937" s="3"/>
      <c r="JE937" s="3"/>
      <c r="JF937" s="3"/>
      <c r="JG937" s="3"/>
      <c r="JH937" s="3"/>
      <c r="JI937" s="3"/>
      <c r="JJ937" s="3"/>
      <c r="JK937" s="3"/>
      <c r="JL937" s="3"/>
      <c r="JM937" s="3"/>
      <c r="JN937" s="3"/>
      <c r="JO937" s="3"/>
      <c r="JP937" s="3"/>
      <c r="JQ937" s="3"/>
      <c r="JR937" s="3"/>
      <c r="JS937" s="3"/>
      <c r="JT937" s="3"/>
      <c r="JU937" s="3"/>
      <c r="JV937" s="3"/>
      <c r="JW937" s="3"/>
      <c r="JX937" s="3"/>
      <c r="JY937" s="3"/>
      <c r="JZ937" s="3"/>
      <c r="KA937" s="3"/>
      <c r="KB937" s="3"/>
      <c r="KC937" s="3"/>
      <c r="KD937" s="3"/>
      <c r="KE937" s="3"/>
      <c r="KF937" s="3"/>
      <c r="KG937" s="3"/>
      <c r="KH937" s="3"/>
      <c r="KI937" s="3"/>
      <c r="KJ937" s="3"/>
      <c r="KK937" s="3"/>
      <c r="KL937" s="3"/>
      <c r="KM937" s="3"/>
      <c r="KN937" s="3"/>
      <c r="KO937" s="3"/>
      <c r="KP937" s="3"/>
      <c r="KQ937" s="3"/>
      <c r="KR937" s="3"/>
      <c r="KS937" s="3"/>
      <c r="KT937" s="3"/>
      <c r="KU937" s="3"/>
      <c r="KV937" s="3"/>
      <c r="KW937" s="3"/>
      <c r="KX937" s="3"/>
      <c r="KY937" s="3"/>
      <c r="KZ937" s="3"/>
      <c r="LA937" s="3"/>
      <c r="LB937" s="3"/>
      <c r="LC937" s="3"/>
      <c r="LD937" s="3"/>
      <c r="LE937" s="3"/>
      <c r="LF937" s="3"/>
      <c r="LG937" s="3"/>
      <c r="LH937" s="3"/>
      <c r="LI937" s="3"/>
      <c r="LJ937" s="3"/>
      <c r="LK937" s="3"/>
      <c r="LL937" s="3"/>
      <c r="LM937" s="3"/>
      <c r="LN937" s="3"/>
      <c r="LO937" s="3"/>
      <c r="LP937" s="3"/>
      <c r="LQ937" s="3"/>
      <c r="LR937" s="3"/>
      <c r="LS937" s="3"/>
      <c r="LT937" s="3"/>
      <c r="LU937" s="3"/>
      <c r="LV937" s="3"/>
      <c r="LW937" s="3"/>
      <c r="LX937" s="3"/>
      <c r="LY937" s="3"/>
      <c r="LZ937" s="3"/>
      <c r="MA937" s="3"/>
      <c r="MB937" s="3"/>
      <c r="MC937" s="3"/>
      <c r="MD937" s="3"/>
      <c r="ME937" s="3"/>
      <c r="MF937" s="3"/>
      <c r="MG937" s="3"/>
      <c r="MH937" s="3"/>
      <c r="MI937" s="3"/>
    </row>
    <row r="938" spans="1:347"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c r="IZ938" s="3"/>
      <c r="JA938" s="3"/>
      <c r="JB938" s="3"/>
      <c r="JC938" s="3"/>
      <c r="JD938" s="3"/>
      <c r="JE938" s="3"/>
      <c r="JF938" s="3"/>
      <c r="JG938" s="3"/>
      <c r="JH938" s="3"/>
      <c r="JI938" s="3"/>
      <c r="JJ938" s="3"/>
      <c r="JK938" s="3"/>
      <c r="JL938" s="3"/>
      <c r="JM938" s="3"/>
      <c r="JN938" s="3"/>
      <c r="JO938" s="3"/>
      <c r="JP938" s="3"/>
      <c r="JQ938" s="3"/>
      <c r="JR938" s="3"/>
      <c r="JS938" s="3"/>
      <c r="JT938" s="3"/>
      <c r="JU938" s="3"/>
      <c r="JV938" s="3"/>
      <c r="JW938" s="3"/>
      <c r="JX938" s="3"/>
      <c r="JY938" s="3"/>
      <c r="JZ938" s="3"/>
      <c r="KA938" s="3"/>
      <c r="KB938" s="3"/>
      <c r="KC938" s="3"/>
      <c r="KD938" s="3"/>
      <c r="KE938" s="3"/>
      <c r="KF938" s="3"/>
      <c r="KG938" s="3"/>
      <c r="KH938" s="3"/>
      <c r="KI938" s="3"/>
      <c r="KJ938" s="3"/>
      <c r="KK938" s="3"/>
      <c r="KL938" s="3"/>
      <c r="KM938" s="3"/>
      <c r="KN938" s="3"/>
      <c r="KO938" s="3"/>
      <c r="KP938" s="3"/>
      <c r="KQ938" s="3"/>
      <c r="KR938" s="3"/>
      <c r="KS938" s="3"/>
      <c r="KT938" s="3"/>
      <c r="KU938" s="3"/>
      <c r="KV938" s="3"/>
      <c r="KW938" s="3"/>
      <c r="KX938" s="3"/>
      <c r="KY938" s="3"/>
      <c r="KZ938" s="3"/>
      <c r="LA938" s="3"/>
      <c r="LB938" s="3"/>
      <c r="LC938" s="3"/>
      <c r="LD938" s="3"/>
      <c r="LE938" s="3"/>
      <c r="LF938" s="3"/>
      <c r="LG938" s="3"/>
      <c r="LH938" s="3"/>
      <c r="LI938" s="3"/>
      <c r="LJ938" s="3"/>
      <c r="LK938" s="3"/>
      <c r="LL938" s="3"/>
      <c r="LM938" s="3"/>
      <c r="LN938" s="3"/>
      <c r="LO938" s="3"/>
      <c r="LP938" s="3"/>
      <c r="LQ938" s="3"/>
      <c r="LR938" s="3"/>
      <c r="LS938" s="3"/>
      <c r="LT938" s="3"/>
      <c r="LU938" s="3"/>
      <c r="LV938" s="3"/>
      <c r="LW938" s="3"/>
      <c r="LX938" s="3"/>
      <c r="LY938" s="3"/>
      <c r="LZ938" s="3"/>
      <c r="MA938" s="3"/>
      <c r="MB938" s="3"/>
      <c r="MC938" s="3"/>
      <c r="MD938" s="3"/>
      <c r="ME938" s="3"/>
      <c r="MF938" s="3"/>
      <c r="MG938" s="3"/>
      <c r="MH938" s="3"/>
      <c r="MI938" s="3"/>
    </row>
    <row r="939" spans="1:347"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c r="IZ939" s="3"/>
      <c r="JA939" s="3"/>
      <c r="JB939" s="3"/>
      <c r="JC939" s="3"/>
      <c r="JD939" s="3"/>
      <c r="JE939" s="3"/>
      <c r="JF939" s="3"/>
      <c r="JG939" s="3"/>
      <c r="JH939" s="3"/>
      <c r="JI939" s="3"/>
      <c r="JJ939" s="3"/>
      <c r="JK939" s="3"/>
      <c r="JL939" s="3"/>
      <c r="JM939" s="3"/>
      <c r="JN939" s="3"/>
      <c r="JO939" s="3"/>
      <c r="JP939" s="3"/>
      <c r="JQ939" s="3"/>
      <c r="JR939" s="3"/>
      <c r="JS939" s="3"/>
      <c r="JT939" s="3"/>
      <c r="JU939" s="3"/>
      <c r="JV939" s="3"/>
      <c r="JW939" s="3"/>
      <c r="JX939" s="3"/>
      <c r="JY939" s="3"/>
      <c r="JZ939" s="3"/>
      <c r="KA939" s="3"/>
      <c r="KB939" s="3"/>
      <c r="KC939" s="3"/>
      <c r="KD939" s="3"/>
      <c r="KE939" s="3"/>
      <c r="KF939" s="3"/>
      <c r="KG939" s="3"/>
      <c r="KH939" s="3"/>
      <c r="KI939" s="3"/>
      <c r="KJ939" s="3"/>
      <c r="KK939" s="3"/>
      <c r="KL939" s="3"/>
      <c r="KM939" s="3"/>
      <c r="KN939" s="3"/>
      <c r="KO939" s="3"/>
      <c r="KP939" s="3"/>
      <c r="KQ939" s="3"/>
      <c r="KR939" s="3"/>
      <c r="KS939" s="3"/>
      <c r="KT939" s="3"/>
      <c r="KU939" s="3"/>
      <c r="KV939" s="3"/>
      <c r="KW939" s="3"/>
      <c r="KX939" s="3"/>
      <c r="KY939" s="3"/>
      <c r="KZ939" s="3"/>
      <c r="LA939" s="3"/>
      <c r="LB939" s="3"/>
      <c r="LC939" s="3"/>
      <c r="LD939" s="3"/>
      <c r="LE939" s="3"/>
      <c r="LF939" s="3"/>
      <c r="LG939" s="3"/>
      <c r="LH939" s="3"/>
      <c r="LI939" s="3"/>
      <c r="LJ939" s="3"/>
      <c r="LK939" s="3"/>
      <c r="LL939" s="3"/>
      <c r="LM939" s="3"/>
      <c r="LN939" s="3"/>
      <c r="LO939" s="3"/>
      <c r="LP939" s="3"/>
      <c r="LQ939" s="3"/>
      <c r="LR939" s="3"/>
      <c r="LS939" s="3"/>
      <c r="LT939" s="3"/>
      <c r="LU939" s="3"/>
      <c r="LV939" s="3"/>
      <c r="LW939" s="3"/>
      <c r="LX939" s="3"/>
      <c r="LY939" s="3"/>
      <c r="LZ939" s="3"/>
      <c r="MA939" s="3"/>
      <c r="MB939" s="3"/>
      <c r="MC939" s="3"/>
      <c r="MD939" s="3"/>
      <c r="ME939" s="3"/>
      <c r="MF939" s="3"/>
      <c r="MG939" s="3"/>
      <c r="MH939" s="3"/>
      <c r="MI939" s="3"/>
    </row>
    <row r="940" spans="1:347"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c r="IZ940" s="3"/>
      <c r="JA940" s="3"/>
      <c r="JB940" s="3"/>
      <c r="JC940" s="3"/>
      <c r="JD940" s="3"/>
      <c r="JE940" s="3"/>
      <c r="JF940" s="3"/>
      <c r="JG940" s="3"/>
      <c r="JH940" s="3"/>
      <c r="JI940" s="3"/>
      <c r="JJ940" s="3"/>
      <c r="JK940" s="3"/>
      <c r="JL940" s="3"/>
      <c r="JM940" s="3"/>
      <c r="JN940" s="3"/>
      <c r="JO940" s="3"/>
      <c r="JP940" s="3"/>
      <c r="JQ940" s="3"/>
      <c r="JR940" s="3"/>
      <c r="JS940" s="3"/>
      <c r="JT940" s="3"/>
      <c r="JU940" s="3"/>
      <c r="JV940" s="3"/>
      <c r="JW940" s="3"/>
      <c r="JX940" s="3"/>
      <c r="JY940" s="3"/>
      <c r="JZ940" s="3"/>
      <c r="KA940" s="3"/>
      <c r="KB940" s="3"/>
      <c r="KC940" s="3"/>
      <c r="KD940" s="3"/>
      <c r="KE940" s="3"/>
      <c r="KF940" s="3"/>
      <c r="KG940" s="3"/>
      <c r="KH940" s="3"/>
      <c r="KI940" s="3"/>
      <c r="KJ940" s="3"/>
      <c r="KK940" s="3"/>
      <c r="KL940" s="3"/>
      <c r="KM940" s="3"/>
      <c r="KN940" s="3"/>
      <c r="KO940" s="3"/>
      <c r="KP940" s="3"/>
      <c r="KQ940" s="3"/>
      <c r="KR940" s="3"/>
      <c r="KS940" s="3"/>
      <c r="KT940" s="3"/>
      <c r="KU940" s="3"/>
      <c r="KV940" s="3"/>
      <c r="KW940" s="3"/>
      <c r="KX940" s="3"/>
      <c r="KY940" s="3"/>
      <c r="KZ940" s="3"/>
      <c r="LA940" s="3"/>
      <c r="LB940" s="3"/>
      <c r="LC940" s="3"/>
      <c r="LD940" s="3"/>
      <c r="LE940" s="3"/>
      <c r="LF940" s="3"/>
      <c r="LG940" s="3"/>
      <c r="LH940" s="3"/>
      <c r="LI940" s="3"/>
      <c r="LJ940" s="3"/>
      <c r="LK940" s="3"/>
      <c r="LL940" s="3"/>
      <c r="LM940" s="3"/>
      <c r="LN940" s="3"/>
      <c r="LO940" s="3"/>
      <c r="LP940" s="3"/>
      <c r="LQ940" s="3"/>
      <c r="LR940" s="3"/>
      <c r="LS940" s="3"/>
      <c r="LT940" s="3"/>
      <c r="LU940" s="3"/>
      <c r="LV940" s="3"/>
      <c r="LW940" s="3"/>
      <c r="LX940" s="3"/>
      <c r="LY940" s="3"/>
      <c r="LZ940" s="3"/>
      <c r="MA940" s="3"/>
      <c r="MB940" s="3"/>
      <c r="MC940" s="3"/>
      <c r="MD940" s="3"/>
      <c r="ME940" s="3"/>
      <c r="MF940" s="3"/>
      <c r="MG940" s="3"/>
      <c r="MH940" s="3"/>
      <c r="MI940" s="3"/>
    </row>
    <row r="941" spans="1:347"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c r="IZ941" s="3"/>
      <c r="JA941" s="3"/>
      <c r="JB941" s="3"/>
      <c r="JC941" s="3"/>
      <c r="JD941" s="3"/>
      <c r="JE941" s="3"/>
      <c r="JF941" s="3"/>
      <c r="JG941" s="3"/>
      <c r="JH941" s="3"/>
      <c r="JI941" s="3"/>
      <c r="JJ941" s="3"/>
      <c r="JK941" s="3"/>
      <c r="JL941" s="3"/>
      <c r="JM941" s="3"/>
      <c r="JN941" s="3"/>
      <c r="JO941" s="3"/>
      <c r="JP941" s="3"/>
      <c r="JQ941" s="3"/>
      <c r="JR941" s="3"/>
      <c r="JS941" s="3"/>
      <c r="JT941" s="3"/>
      <c r="JU941" s="3"/>
      <c r="JV941" s="3"/>
      <c r="JW941" s="3"/>
      <c r="JX941" s="3"/>
      <c r="JY941" s="3"/>
      <c r="JZ941" s="3"/>
      <c r="KA941" s="3"/>
      <c r="KB941" s="3"/>
      <c r="KC941" s="3"/>
      <c r="KD941" s="3"/>
      <c r="KE941" s="3"/>
      <c r="KF941" s="3"/>
      <c r="KG941" s="3"/>
      <c r="KH941" s="3"/>
      <c r="KI941" s="3"/>
      <c r="KJ941" s="3"/>
      <c r="KK941" s="3"/>
      <c r="KL941" s="3"/>
      <c r="KM941" s="3"/>
      <c r="KN941" s="3"/>
      <c r="KO941" s="3"/>
      <c r="KP941" s="3"/>
      <c r="KQ941" s="3"/>
      <c r="KR941" s="3"/>
      <c r="KS941" s="3"/>
      <c r="KT941" s="3"/>
      <c r="KU941" s="3"/>
      <c r="KV941" s="3"/>
      <c r="KW941" s="3"/>
      <c r="KX941" s="3"/>
      <c r="KY941" s="3"/>
      <c r="KZ941" s="3"/>
      <c r="LA941" s="3"/>
      <c r="LB941" s="3"/>
      <c r="LC941" s="3"/>
      <c r="LD941" s="3"/>
      <c r="LE941" s="3"/>
      <c r="LF941" s="3"/>
      <c r="LG941" s="3"/>
      <c r="LH941" s="3"/>
      <c r="LI941" s="3"/>
      <c r="LJ941" s="3"/>
      <c r="LK941" s="3"/>
      <c r="LL941" s="3"/>
      <c r="LM941" s="3"/>
      <c r="LN941" s="3"/>
      <c r="LO941" s="3"/>
      <c r="LP941" s="3"/>
      <c r="LQ941" s="3"/>
      <c r="LR941" s="3"/>
      <c r="LS941" s="3"/>
      <c r="LT941" s="3"/>
      <c r="LU941" s="3"/>
      <c r="LV941" s="3"/>
      <c r="LW941" s="3"/>
      <c r="LX941" s="3"/>
      <c r="LY941" s="3"/>
      <c r="LZ941" s="3"/>
      <c r="MA941" s="3"/>
      <c r="MB941" s="3"/>
      <c r="MC941" s="3"/>
      <c r="MD941" s="3"/>
      <c r="ME941" s="3"/>
      <c r="MF941" s="3"/>
      <c r="MG941" s="3"/>
      <c r="MH941" s="3"/>
      <c r="MI941" s="3"/>
    </row>
    <row r="942" spans="1:347"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c r="IZ942" s="3"/>
      <c r="JA942" s="3"/>
      <c r="JB942" s="3"/>
      <c r="JC942" s="3"/>
      <c r="JD942" s="3"/>
      <c r="JE942" s="3"/>
      <c r="JF942" s="3"/>
      <c r="JG942" s="3"/>
      <c r="JH942" s="3"/>
      <c r="JI942" s="3"/>
      <c r="JJ942" s="3"/>
      <c r="JK942" s="3"/>
      <c r="JL942" s="3"/>
      <c r="JM942" s="3"/>
      <c r="JN942" s="3"/>
      <c r="JO942" s="3"/>
      <c r="JP942" s="3"/>
      <c r="JQ942" s="3"/>
      <c r="JR942" s="3"/>
      <c r="JS942" s="3"/>
      <c r="JT942" s="3"/>
      <c r="JU942" s="3"/>
      <c r="JV942" s="3"/>
      <c r="JW942" s="3"/>
      <c r="JX942" s="3"/>
      <c r="JY942" s="3"/>
      <c r="JZ942" s="3"/>
      <c r="KA942" s="3"/>
      <c r="KB942" s="3"/>
      <c r="KC942" s="3"/>
      <c r="KD942" s="3"/>
      <c r="KE942" s="3"/>
      <c r="KF942" s="3"/>
      <c r="KG942" s="3"/>
      <c r="KH942" s="3"/>
      <c r="KI942" s="3"/>
      <c r="KJ942" s="3"/>
      <c r="KK942" s="3"/>
      <c r="KL942" s="3"/>
      <c r="KM942" s="3"/>
      <c r="KN942" s="3"/>
      <c r="KO942" s="3"/>
      <c r="KP942" s="3"/>
      <c r="KQ942" s="3"/>
      <c r="KR942" s="3"/>
      <c r="KS942" s="3"/>
      <c r="KT942" s="3"/>
      <c r="KU942" s="3"/>
      <c r="KV942" s="3"/>
      <c r="KW942" s="3"/>
      <c r="KX942" s="3"/>
      <c r="KY942" s="3"/>
      <c r="KZ942" s="3"/>
      <c r="LA942" s="3"/>
      <c r="LB942" s="3"/>
      <c r="LC942" s="3"/>
      <c r="LD942" s="3"/>
      <c r="LE942" s="3"/>
      <c r="LF942" s="3"/>
      <c r="LG942" s="3"/>
      <c r="LH942" s="3"/>
      <c r="LI942" s="3"/>
      <c r="LJ942" s="3"/>
      <c r="LK942" s="3"/>
      <c r="LL942" s="3"/>
      <c r="LM942" s="3"/>
      <c r="LN942" s="3"/>
      <c r="LO942" s="3"/>
      <c r="LP942" s="3"/>
      <c r="LQ942" s="3"/>
      <c r="LR942" s="3"/>
      <c r="LS942" s="3"/>
      <c r="LT942" s="3"/>
      <c r="LU942" s="3"/>
      <c r="LV942" s="3"/>
      <c r="LW942" s="3"/>
      <c r="LX942" s="3"/>
      <c r="LY942" s="3"/>
      <c r="LZ942" s="3"/>
      <c r="MA942" s="3"/>
      <c r="MB942" s="3"/>
      <c r="MC942" s="3"/>
      <c r="MD942" s="3"/>
      <c r="ME942" s="3"/>
      <c r="MF942" s="3"/>
      <c r="MG942" s="3"/>
      <c r="MH942" s="3"/>
      <c r="MI942" s="3"/>
    </row>
    <row r="943" spans="1:347"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c r="IZ943" s="3"/>
      <c r="JA943" s="3"/>
      <c r="JB943" s="3"/>
      <c r="JC943" s="3"/>
      <c r="JD943" s="3"/>
      <c r="JE943" s="3"/>
      <c r="JF943" s="3"/>
      <c r="JG943" s="3"/>
      <c r="JH943" s="3"/>
      <c r="JI943" s="3"/>
      <c r="JJ943" s="3"/>
      <c r="JK943" s="3"/>
      <c r="JL943" s="3"/>
      <c r="JM943" s="3"/>
      <c r="JN943" s="3"/>
      <c r="JO943" s="3"/>
      <c r="JP943" s="3"/>
      <c r="JQ943" s="3"/>
      <c r="JR943" s="3"/>
      <c r="JS943" s="3"/>
      <c r="JT943" s="3"/>
      <c r="JU943" s="3"/>
      <c r="JV943" s="3"/>
      <c r="JW943" s="3"/>
      <c r="JX943" s="3"/>
      <c r="JY943" s="3"/>
      <c r="JZ943" s="3"/>
      <c r="KA943" s="3"/>
      <c r="KB943" s="3"/>
      <c r="KC943" s="3"/>
      <c r="KD943" s="3"/>
      <c r="KE943" s="3"/>
      <c r="KF943" s="3"/>
      <c r="KG943" s="3"/>
      <c r="KH943" s="3"/>
      <c r="KI943" s="3"/>
      <c r="KJ943" s="3"/>
      <c r="KK943" s="3"/>
      <c r="KL943" s="3"/>
      <c r="KM943" s="3"/>
      <c r="KN943" s="3"/>
      <c r="KO943" s="3"/>
      <c r="KP943" s="3"/>
      <c r="KQ943" s="3"/>
      <c r="KR943" s="3"/>
      <c r="KS943" s="3"/>
      <c r="KT943" s="3"/>
      <c r="KU943" s="3"/>
      <c r="KV943" s="3"/>
      <c r="KW943" s="3"/>
      <c r="KX943" s="3"/>
      <c r="KY943" s="3"/>
      <c r="KZ943" s="3"/>
      <c r="LA943" s="3"/>
      <c r="LB943" s="3"/>
      <c r="LC943" s="3"/>
      <c r="LD943" s="3"/>
      <c r="LE943" s="3"/>
      <c r="LF943" s="3"/>
      <c r="LG943" s="3"/>
      <c r="LH943" s="3"/>
      <c r="LI943" s="3"/>
      <c r="LJ943" s="3"/>
      <c r="LK943" s="3"/>
      <c r="LL943" s="3"/>
      <c r="LM943" s="3"/>
      <c r="LN943" s="3"/>
      <c r="LO943" s="3"/>
      <c r="LP943" s="3"/>
      <c r="LQ943" s="3"/>
      <c r="LR943" s="3"/>
      <c r="LS943" s="3"/>
      <c r="LT943" s="3"/>
      <c r="LU943" s="3"/>
      <c r="LV943" s="3"/>
      <c r="LW943" s="3"/>
      <c r="LX943" s="3"/>
      <c r="LY943" s="3"/>
      <c r="LZ943" s="3"/>
      <c r="MA943" s="3"/>
      <c r="MB943" s="3"/>
      <c r="MC943" s="3"/>
      <c r="MD943" s="3"/>
      <c r="ME943" s="3"/>
      <c r="MF943" s="3"/>
      <c r="MG943" s="3"/>
      <c r="MH943" s="3"/>
      <c r="MI943" s="3"/>
    </row>
    <row r="944" spans="1:347"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c r="HX944" s="3"/>
      <c r="HY944" s="3"/>
      <c r="HZ944" s="3"/>
      <c r="IA944" s="3"/>
      <c r="IB944" s="3"/>
      <c r="IC944" s="3"/>
      <c r="ID944" s="3"/>
      <c r="IE944" s="3"/>
      <c r="IF944" s="3"/>
      <c r="IG944" s="3"/>
      <c r="IH944" s="3"/>
      <c r="II944" s="3"/>
      <c r="IJ944" s="3"/>
      <c r="IK944" s="3"/>
      <c r="IL944" s="3"/>
      <c r="IM944" s="3"/>
      <c r="IN944" s="3"/>
      <c r="IO944" s="3"/>
      <c r="IP944" s="3"/>
      <c r="IQ944" s="3"/>
      <c r="IR944" s="3"/>
      <c r="IS944" s="3"/>
      <c r="IT944" s="3"/>
      <c r="IU944" s="3"/>
      <c r="IV944" s="3"/>
      <c r="IW944" s="3"/>
      <c r="IX944" s="3"/>
      <c r="IY944" s="3"/>
      <c r="IZ944" s="3"/>
      <c r="JA944" s="3"/>
      <c r="JB944" s="3"/>
      <c r="JC944" s="3"/>
      <c r="JD944" s="3"/>
      <c r="JE944" s="3"/>
      <c r="JF944" s="3"/>
      <c r="JG944" s="3"/>
      <c r="JH944" s="3"/>
      <c r="JI944" s="3"/>
      <c r="JJ944" s="3"/>
      <c r="JK944" s="3"/>
      <c r="JL944" s="3"/>
      <c r="JM944" s="3"/>
      <c r="JN944" s="3"/>
      <c r="JO944" s="3"/>
      <c r="JP944" s="3"/>
      <c r="JQ944" s="3"/>
      <c r="JR944" s="3"/>
      <c r="JS944" s="3"/>
      <c r="JT944" s="3"/>
      <c r="JU944" s="3"/>
      <c r="JV944" s="3"/>
      <c r="JW944" s="3"/>
      <c r="JX944" s="3"/>
      <c r="JY944" s="3"/>
      <c r="JZ944" s="3"/>
      <c r="KA944" s="3"/>
      <c r="KB944" s="3"/>
      <c r="KC944" s="3"/>
      <c r="KD944" s="3"/>
      <c r="KE944" s="3"/>
      <c r="KF944" s="3"/>
      <c r="KG944" s="3"/>
      <c r="KH944" s="3"/>
      <c r="KI944" s="3"/>
      <c r="KJ944" s="3"/>
      <c r="KK944" s="3"/>
      <c r="KL944" s="3"/>
      <c r="KM944" s="3"/>
      <c r="KN944" s="3"/>
      <c r="KO944" s="3"/>
      <c r="KP944" s="3"/>
      <c r="KQ944" s="3"/>
      <c r="KR944" s="3"/>
      <c r="KS944" s="3"/>
      <c r="KT944" s="3"/>
      <c r="KU944" s="3"/>
      <c r="KV944" s="3"/>
      <c r="KW944" s="3"/>
      <c r="KX944" s="3"/>
      <c r="KY944" s="3"/>
      <c r="KZ944" s="3"/>
      <c r="LA944" s="3"/>
      <c r="LB944" s="3"/>
      <c r="LC944" s="3"/>
      <c r="LD944" s="3"/>
      <c r="LE944" s="3"/>
      <c r="LF944" s="3"/>
      <c r="LG944" s="3"/>
      <c r="LH944" s="3"/>
      <c r="LI944" s="3"/>
      <c r="LJ944" s="3"/>
      <c r="LK944" s="3"/>
      <c r="LL944" s="3"/>
      <c r="LM944" s="3"/>
      <c r="LN944" s="3"/>
      <c r="LO944" s="3"/>
      <c r="LP944" s="3"/>
      <c r="LQ944" s="3"/>
      <c r="LR944" s="3"/>
      <c r="LS944" s="3"/>
      <c r="LT944" s="3"/>
      <c r="LU944" s="3"/>
      <c r="LV944" s="3"/>
      <c r="LW944" s="3"/>
      <c r="LX944" s="3"/>
      <c r="LY944" s="3"/>
      <c r="LZ944" s="3"/>
      <c r="MA944" s="3"/>
      <c r="MB944" s="3"/>
      <c r="MC944" s="3"/>
      <c r="MD944" s="3"/>
      <c r="ME944" s="3"/>
      <c r="MF944" s="3"/>
      <c r="MG944" s="3"/>
      <c r="MH944" s="3"/>
      <c r="MI944" s="3"/>
    </row>
    <row r="945" spans="1:347"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c r="HX945" s="3"/>
      <c r="HY945" s="3"/>
      <c r="HZ945" s="3"/>
      <c r="IA945" s="3"/>
      <c r="IB945" s="3"/>
      <c r="IC945" s="3"/>
      <c r="ID945" s="3"/>
      <c r="IE945" s="3"/>
      <c r="IF945" s="3"/>
      <c r="IG945" s="3"/>
      <c r="IH945" s="3"/>
      <c r="II945" s="3"/>
      <c r="IJ945" s="3"/>
      <c r="IK945" s="3"/>
      <c r="IL945" s="3"/>
      <c r="IM945" s="3"/>
      <c r="IN945" s="3"/>
      <c r="IO945" s="3"/>
      <c r="IP945" s="3"/>
      <c r="IQ945" s="3"/>
      <c r="IR945" s="3"/>
      <c r="IS945" s="3"/>
      <c r="IT945" s="3"/>
      <c r="IU945" s="3"/>
      <c r="IV945" s="3"/>
      <c r="IW945" s="3"/>
      <c r="IX945" s="3"/>
      <c r="IY945" s="3"/>
      <c r="IZ945" s="3"/>
      <c r="JA945" s="3"/>
      <c r="JB945" s="3"/>
      <c r="JC945" s="3"/>
      <c r="JD945" s="3"/>
      <c r="JE945" s="3"/>
      <c r="JF945" s="3"/>
      <c r="JG945" s="3"/>
      <c r="JH945" s="3"/>
      <c r="JI945" s="3"/>
      <c r="JJ945" s="3"/>
      <c r="JK945" s="3"/>
      <c r="JL945" s="3"/>
      <c r="JM945" s="3"/>
      <c r="JN945" s="3"/>
      <c r="JO945" s="3"/>
      <c r="JP945" s="3"/>
      <c r="JQ945" s="3"/>
      <c r="JR945" s="3"/>
      <c r="JS945" s="3"/>
      <c r="JT945" s="3"/>
      <c r="JU945" s="3"/>
      <c r="JV945" s="3"/>
      <c r="JW945" s="3"/>
      <c r="JX945" s="3"/>
      <c r="JY945" s="3"/>
      <c r="JZ945" s="3"/>
      <c r="KA945" s="3"/>
      <c r="KB945" s="3"/>
      <c r="KC945" s="3"/>
      <c r="KD945" s="3"/>
      <c r="KE945" s="3"/>
      <c r="KF945" s="3"/>
      <c r="KG945" s="3"/>
      <c r="KH945" s="3"/>
      <c r="KI945" s="3"/>
      <c r="KJ945" s="3"/>
      <c r="KK945" s="3"/>
      <c r="KL945" s="3"/>
      <c r="KM945" s="3"/>
      <c r="KN945" s="3"/>
      <c r="KO945" s="3"/>
      <c r="KP945" s="3"/>
      <c r="KQ945" s="3"/>
      <c r="KR945" s="3"/>
      <c r="KS945" s="3"/>
      <c r="KT945" s="3"/>
      <c r="KU945" s="3"/>
      <c r="KV945" s="3"/>
      <c r="KW945" s="3"/>
      <c r="KX945" s="3"/>
      <c r="KY945" s="3"/>
      <c r="KZ945" s="3"/>
      <c r="LA945" s="3"/>
      <c r="LB945" s="3"/>
      <c r="LC945" s="3"/>
      <c r="LD945" s="3"/>
      <c r="LE945" s="3"/>
      <c r="LF945" s="3"/>
      <c r="LG945" s="3"/>
      <c r="LH945" s="3"/>
      <c r="LI945" s="3"/>
      <c r="LJ945" s="3"/>
      <c r="LK945" s="3"/>
      <c r="LL945" s="3"/>
      <c r="LM945" s="3"/>
      <c r="LN945" s="3"/>
      <c r="LO945" s="3"/>
      <c r="LP945" s="3"/>
      <c r="LQ945" s="3"/>
      <c r="LR945" s="3"/>
      <c r="LS945" s="3"/>
      <c r="LT945" s="3"/>
      <c r="LU945" s="3"/>
      <c r="LV945" s="3"/>
      <c r="LW945" s="3"/>
      <c r="LX945" s="3"/>
      <c r="LY945" s="3"/>
      <c r="LZ945" s="3"/>
      <c r="MA945" s="3"/>
      <c r="MB945" s="3"/>
      <c r="MC945" s="3"/>
      <c r="MD945" s="3"/>
      <c r="ME945" s="3"/>
      <c r="MF945" s="3"/>
      <c r="MG945" s="3"/>
      <c r="MH945" s="3"/>
      <c r="MI945" s="3"/>
    </row>
    <row r="946" spans="1:347"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c r="HX946" s="3"/>
      <c r="HY946" s="3"/>
      <c r="HZ946" s="3"/>
      <c r="IA946" s="3"/>
      <c r="IB946" s="3"/>
      <c r="IC946" s="3"/>
      <c r="ID946" s="3"/>
      <c r="IE946" s="3"/>
      <c r="IF946" s="3"/>
      <c r="IG946" s="3"/>
      <c r="IH946" s="3"/>
      <c r="II946" s="3"/>
      <c r="IJ946" s="3"/>
      <c r="IK946" s="3"/>
      <c r="IL946" s="3"/>
      <c r="IM946" s="3"/>
      <c r="IN946" s="3"/>
      <c r="IO946" s="3"/>
      <c r="IP946" s="3"/>
      <c r="IQ946" s="3"/>
      <c r="IR946" s="3"/>
      <c r="IS946" s="3"/>
      <c r="IT946" s="3"/>
      <c r="IU946" s="3"/>
      <c r="IV946" s="3"/>
      <c r="IW946" s="3"/>
      <c r="IX946" s="3"/>
      <c r="IY946" s="3"/>
      <c r="IZ946" s="3"/>
      <c r="JA946" s="3"/>
      <c r="JB946" s="3"/>
      <c r="JC946" s="3"/>
      <c r="JD946" s="3"/>
      <c r="JE946" s="3"/>
      <c r="JF946" s="3"/>
      <c r="JG946" s="3"/>
      <c r="JH946" s="3"/>
      <c r="JI946" s="3"/>
      <c r="JJ946" s="3"/>
      <c r="JK946" s="3"/>
      <c r="JL946" s="3"/>
      <c r="JM946" s="3"/>
      <c r="JN946" s="3"/>
      <c r="JO946" s="3"/>
      <c r="JP946" s="3"/>
      <c r="JQ946" s="3"/>
      <c r="JR946" s="3"/>
      <c r="JS946" s="3"/>
      <c r="JT946" s="3"/>
      <c r="JU946" s="3"/>
      <c r="JV946" s="3"/>
      <c r="JW946" s="3"/>
      <c r="JX946" s="3"/>
      <c r="JY946" s="3"/>
      <c r="JZ946" s="3"/>
      <c r="KA946" s="3"/>
      <c r="KB946" s="3"/>
      <c r="KC946" s="3"/>
      <c r="KD946" s="3"/>
      <c r="KE946" s="3"/>
      <c r="KF946" s="3"/>
      <c r="KG946" s="3"/>
      <c r="KH946" s="3"/>
      <c r="KI946" s="3"/>
      <c r="KJ946" s="3"/>
      <c r="KK946" s="3"/>
      <c r="KL946" s="3"/>
      <c r="KM946" s="3"/>
      <c r="KN946" s="3"/>
      <c r="KO946" s="3"/>
      <c r="KP946" s="3"/>
      <c r="KQ946" s="3"/>
      <c r="KR946" s="3"/>
      <c r="KS946" s="3"/>
      <c r="KT946" s="3"/>
      <c r="KU946" s="3"/>
      <c r="KV946" s="3"/>
      <c r="KW946" s="3"/>
      <c r="KX946" s="3"/>
      <c r="KY946" s="3"/>
      <c r="KZ946" s="3"/>
      <c r="LA946" s="3"/>
      <c r="LB946" s="3"/>
      <c r="LC946" s="3"/>
      <c r="LD946" s="3"/>
      <c r="LE946" s="3"/>
      <c r="LF946" s="3"/>
      <c r="LG946" s="3"/>
      <c r="LH946" s="3"/>
      <c r="LI946" s="3"/>
      <c r="LJ946" s="3"/>
      <c r="LK946" s="3"/>
      <c r="LL946" s="3"/>
      <c r="LM946" s="3"/>
      <c r="LN946" s="3"/>
      <c r="LO946" s="3"/>
      <c r="LP946" s="3"/>
      <c r="LQ946" s="3"/>
      <c r="LR946" s="3"/>
      <c r="LS946" s="3"/>
      <c r="LT946" s="3"/>
      <c r="LU946" s="3"/>
      <c r="LV946" s="3"/>
      <c r="LW946" s="3"/>
      <c r="LX946" s="3"/>
      <c r="LY946" s="3"/>
      <c r="LZ946" s="3"/>
      <c r="MA946" s="3"/>
      <c r="MB946" s="3"/>
      <c r="MC946" s="3"/>
      <c r="MD946" s="3"/>
      <c r="ME946" s="3"/>
      <c r="MF946" s="3"/>
      <c r="MG946" s="3"/>
      <c r="MH946" s="3"/>
      <c r="MI946" s="3"/>
    </row>
    <row r="947" spans="1:347"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c r="HX947" s="3"/>
      <c r="HY947" s="3"/>
      <c r="HZ947" s="3"/>
      <c r="IA947" s="3"/>
      <c r="IB947" s="3"/>
      <c r="IC947" s="3"/>
      <c r="ID947" s="3"/>
      <c r="IE947" s="3"/>
      <c r="IF947" s="3"/>
      <c r="IG947" s="3"/>
      <c r="IH947" s="3"/>
      <c r="II947" s="3"/>
      <c r="IJ947" s="3"/>
      <c r="IK947" s="3"/>
      <c r="IL947" s="3"/>
      <c r="IM947" s="3"/>
      <c r="IN947" s="3"/>
      <c r="IO947" s="3"/>
      <c r="IP947" s="3"/>
      <c r="IQ947" s="3"/>
      <c r="IR947" s="3"/>
      <c r="IS947" s="3"/>
      <c r="IT947" s="3"/>
      <c r="IU947" s="3"/>
      <c r="IV947" s="3"/>
      <c r="IW947" s="3"/>
      <c r="IX947" s="3"/>
      <c r="IY947" s="3"/>
      <c r="IZ947" s="3"/>
      <c r="JA947" s="3"/>
      <c r="JB947" s="3"/>
      <c r="JC947" s="3"/>
      <c r="JD947" s="3"/>
      <c r="JE947" s="3"/>
      <c r="JF947" s="3"/>
      <c r="JG947" s="3"/>
      <c r="JH947" s="3"/>
      <c r="JI947" s="3"/>
      <c r="JJ947" s="3"/>
      <c r="JK947" s="3"/>
      <c r="JL947" s="3"/>
      <c r="JM947" s="3"/>
      <c r="JN947" s="3"/>
      <c r="JO947" s="3"/>
      <c r="JP947" s="3"/>
      <c r="JQ947" s="3"/>
      <c r="JR947" s="3"/>
      <c r="JS947" s="3"/>
      <c r="JT947" s="3"/>
      <c r="JU947" s="3"/>
      <c r="JV947" s="3"/>
      <c r="JW947" s="3"/>
      <c r="JX947" s="3"/>
      <c r="JY947" s="3"/>
      <c r="JZ947" s="3"/>
      <c r="KA947" s="3"/>
      <c r="KB947" s="3"/>
      <c r="KC947" s="3"/>
      <c r="KD947" s="3"/>
      <c r="KE947" s="3"/>
      <c r="KF947" s="3"/>
      <c r="KG947" s="3"/>
      <c r="KH947" s="3"/>
      <c r="KI947" s="3"/>
      <c r="KJ947" s="3"/>
      <c r="KK947" s="3"/>
      <c r="KL947" s="3"/>
      <c r="KM947" s="3"/>
      <c r="KN947" s="3"/>
      <c r="KO947" s="3"/>
      <c r="KP947" s="3"/>
      <c r="KQ947" s="3"/>
      <c r="KR947" s="3"/>
      <c r="KS947" s="3"/>
      <c r="KT947" s="3"/>
      <c r="KU947" s="3"/>
      <c r="KV947" s="3"/>
      <c r="KW947" s="3"/>
      <c r="KX947" s="3"/>
      <c r="KY947" s="3"/>
      <c r="KZ947" s="3"/>
      <c r="LA947" s="3"/>
      <c r="LB947" s="3"/>
      <c r="LC947" s="3"/>
      <c r="LD947" s="3"/>
      <c r="LE947" s="3"/>
      <c r="LF947" s="3"/>
      <c r="LG947" s="3"/>
      <c r="LH947" s="3"/>
      <c r="LI947" s="3"/>
      <c r="LJ947" s="3"/>
      <c r="LK947" s="3"/>
      <c r="LL947" s="3"/>
      <c r="LM947" s="3"/>
      <c r="LN947" s="3"/>
      <c r="LO947" s="3"/>
      <c r="LP947" s="3"/>
      <c r="LQ947" s="3"/>
      <c r="LR947" s="3"/>
      <c r="LS947" s="3"/>
      <c r="LT947" s="3"/>
      <c r="LU947" s="3"/>
      <c r="LV947" s="3"/>
      <c r="LW947" s="3"/>
      <c r="LX947" s="3"/>
      <c r="LY947" s="3"/>
      <c r="LZ947" s="3"/>
      <c r="MA947" s="3"/>
      <c r="MB947" s="3"/>
      <c r="MC947" s="3"/>
      <c r="MD947" s="3"/>
      <c r="ME947" s="3"/>
      <c r="MF947" s="3"/>
      <c r="MG947" s="3"/>
      <c r="MH947" s="3"/>
      <c r="MI947" s="3"/>
    </row>
    <row r="948" spans="1:347"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c r="HX948" s="3"/>
      <c r="HY948" s="3"/>
      <c r="HZ948" s="3"/>
      <c r="IA948" s="3"/>
      <c r="IB948" s="3"/>
      <c r="IC948" s="3"/>
      <c r="ID948" s="3"/>
      <c r="IE948" s="3"/>
      <c r="IF948" s="3"/>
      <c r="IG948" s="3"/>
      <c r="IH948" s="3"/>
      <c r="II948" s="3"/>
      <c r="IJ948" s="3"/>
      <c r="IK948" s="3"/>
      <c r="IL948" s="3"/>
      <c r="IM948" s="3"/>
      <c r="IN948" s="3"/>
      <c r="IO948" s="3"/>
      <c r="IP948" s="3"/>
      <c r="IQ948" s="3"/>
      <c r="IR948" s="3"/>
      <c r="IS948" s="3"/>
      <c r="IT948" s="3"/>
      <c r="IU948" s="3"/>
      <c r="IV948" s="3"/>
      <c r="IW948" s="3"/>
      <c r="IX948" s="3"/>
      <c r="IY948" s="3"/>
      <c r="IZ948" s="3"/>
      <c r="JA948" s="3"/>
      <c r="JB948" s="3"/>
      <c r="JC948" s="3"/>
      <c r="JD948" s="3"/>
      <c r="JE948" s="3"/>
      <c r="JF948" s="3"/>
      <c r="JG948" s="3"/>
      <c r="JH948" s="3"/>
      <c r="JI948" s="3"/>
      <c r="JJ948" s="3"/>
      <c r="JK948" s="3"/>
      <c r="JL948" s="3"/>
      <c r="JM948" s="3"/>
      <c r="JN948" s="3"/>
      <c r="JO948" s="3"/>
      <c r="JP948" s="3"/>
      <c r="JQ948" s="3"/>
      <c r="JR948" s="3"/>
      <c r="JS948" s="3"/>
      <c r="JT948" s="3"/>
      <c r="JU948" s="3"/>
      <c r="JV948" s="3"/>
      <c r="JW948" s="3"/>
      <c r="JX948" s="3"/>
      <c r="JY948" s="3"/>
      <c r="JZ948" s="3"/>
      <c r="KA948" s="3"/>
      <c r="KB948" s="3"/>
      <c r="KC948" s="3"/>
      <c r="KD948" s="3"/>
      <c r="KE948" s="3"/>
      <c r="KF948" s="3"/>
      <c r="KG948" s="3"/>
      <c r="KH948" s="3"/>
      <c r="KI948" s="3"/>
      <c r="KJ948" s="3"/>
      <c r="KK948" s="3"/>
      <c r="KL948" s="3"/>
      <c r="KM948" s="3"/>
      <c r="KN948" s="3"/>
      <c r="KO948" s="3"/>
      <c r="KP948" s="3"/>
      <c r="KQ948" s="3"/>
      <c r="KR948" s="3"/>
      <c r="KS948" s="3"/>
      <c r="KT948" s="3"/>
      <c r="KU948" s="3"/>
      <c r="KV948" s="3"/>
      <c r="KW948" s="3"/>
      <c r="KX948" s="3"/>
      <c r="KY948" s="3"/>
      <c r="KZ948" s="3"/>
      <c r="LA948" s="3"/>
      <c r="LB948" s="3"/>
      <c r="LC948" s="3"/>
      <c r="LD948" s="3"/>
      <c r="LE948" s="3"/>
      <c r="LF948" s="3"/>
      <c r="LG948" s="3"/>
      <c r="LH948" s="3"/>
      <c r="LI948" s="3"/>
      <c r="LJ948" s="3"/>
      <c r="LK948" s="3"/>
      <c r="LL948" s="3"/>
      <c r="LM948" s="3"/>
      <c r="LN948" s="3"/>
      <c r="LO948" s="3"/>
      <c r="LP948" s="3"/>
      <c r="LQ948" s="3"/>
      <c r="LR948" s="3"/>
      <c r="LS948" s="3"/>
      <c r="LT948" s="3"/>
      <c r="LU948" s="3"/>
      <c r="LV948" s="3"/>
      <c r="LW948" s="3"/>
      <c r="LX948" s="3"/>
      <c r="LY948" s="3"/>
      <c r="LZ948" s="3"/>
      <c r="MA948" s="3"/>
      <c r="MB948" s="3"/>
      <c r="MC948" s="3"/>
      <c r="MD948" s="3"/>
      <c r="ME948" s="3"/>
      <c r="MF948" s="3"/>
      <c r="MG948" s="3"/>
      <c r="MH948" s="3"/>
      <c r="MI948" s="3"/>
    </row>
    <row r="949" spans="1:347"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c r="HX949" s="3"/>
      <c r="HY949" s="3"/>
      <c r="HZ949" s="3"/>
      <c r="IA949" s="3"/>
      <c r="IB949" s="3"/>
      <c r="IC949" s="3"/>
      <c r="ID949" s="3"/>
      <c r="IE949" s="3"/>
      <c r="IF949" s="3"/>
      <c r="IG949" s="3"/>
      <c r="IH949" s="3"/>
      <c r="II949" s="3"/>
      <c r="IJ949" s="3"/>
      <c r="IK949" s="3"/>
      <c r="IL949" s="3"/>
      <c r="IM949" s="3"/>
      <c r="IN949" s="3"/>
      <c r="IO949" s="3"/>
      <c r="IP949" s="3"/>
      <c r="IQ949" s="3"/>
      <c r="IR949" s="3"/>
      <c r="IS949" s="3"/>
      <c r="IT949" s="3"/>
      <c r="IU949" s="3"/>
      <c r="IV949" s="3"/>
      <c r="IW949" s="3"/>
      <c r="IX949" s="3"/>
      <c r="IY949" s="3"/>
      <c r="IZ949" s="3"/>
      <c r="JA949" s="3"/>
      <c r="JB949" s="3"/>
      <c r="JC949" s="3"/>
      <c r="JD949" s="3"/>
      <c r="JE949" s="3"/>
      <c r="JF949" s="3"/>
      <c r="JG949" s="3"/>
      <c r="JH949" s="3"/>
      <c r="JI949" s="3"/>
      <c r="JJ949" s="3"/>
      <c r="JK949" s="3"/>
      <c r="JL949" s="3"/>
      <c r="JM949" s="3"/>
      <c r="JN949" s="3"/>
      <c r="JO949" s="3"/>
      <c r="JP949" s="3"/>
      <c r="JQ949" s="3"/>
      <c r="JR949" s="3"/>
      <c r="JS949" s="3"/>
      <c r="JT949" s="3"/>
      <c r="JU949" s="3"/>
      <c r="JV949" s="3"/>
      <c r="JW949" s="3"/>
      <c r="JX949" s="3"/>
      <c r="JY949" s="3"/>
      <c r="JZ949" s="3"/>
      <c r="KA949" s="3"/>
      <c r="KB949" s="3"/>
      <c r="KC949" s="3"/>
      <c r="KD949" s="3"/>
      <c r="KE949" s="3"/>
      <c r="KF949" s="3"/>
      <c r="KG949" s="3"/>
      <c r="KH949" s="3"/>
      <c r="KI949" s="3"/>
      <c r="KJ949" s="3"/>
      <c r="KK949" s="3"/>
      <c r="KL949" s="3"/>
      <c r="KM949" s="3"/>
      <c r="KN949" s="3"/>
      <c r="KO949" s="3"/>
      <c r="KP949" s="3"/>
      <c r="KQ949" s="3"/>
      <c r="KR949" s="3"/>
      <c r="KS949" s="3"/>
      <c r="KT949" s="3"/>
      <c r="KU949" s="3"/>
      <c r="KV949" s="3"/>
      <c r="KW949" s="3"/>
      <c r="KX949" s="3"/>
      <c r="KY949" s="3"/>
      <c r="KZ949" s="3"/>
      <c r="LA949" s="3"/>
      <c r="LB949" s="3"/>
      <c r="LC949" s="3"/>
      <c r="LD949" s="3"/>
      <c r="LE949" s="3"/>
      <c r="LF949" s="3"/>
      <c r="LG949" s="3"/>
      <c r="LH949" s="3"/>
      <c r="LI949" s="3"/>
      <c r="LJ949" s="3"/>
      <c r="LK949" s="3"/>
      <c r="LL949" s="3"/>
      <c r="LM949" s="3"/>
      <c r="LN949" s="3"/>
      <c r="LO949" s="3"/>
      <c r="LP949" s="3"/>
      <c r="LQ949" s="3"/>
      <c r="LR949" s="3"/>
      <c r="LS949" s="3"/>
      <c r="LT949" s="3"/>
      <c r="LU949" s="3"/>
      <c r="LV949" s="3"/>
      <c r="LW949" s="3"/>
      <c r="LX949" s="3"/>
      <c r="LY949" s="3"/>
      <c r="LZ949" s="3"/>
      <c r="MA949" s="3"/>
      <c r="MB949" s="3"/>
      <c r="MC949" s="3"/>
      <c r="MD949" s="3"/>
      <c r="ME949" s="3"/>
      <c r="MF949" s="3"/>
      <c r="MG949" s="3"/>
      <c r="MH949" s="3"/>
      <c r="MI949" s="3"/>
    </row>
    <row r="950" spans="1:347"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c r="HX950" s="3"/>
      <c r="HY950" s="3"/>
      <c r="HZ950" s="3"/>
      <c r="IA950" s="3"/>
      <c r="IB950" s="3"/>
      <c r="IC950" s="3"/>
      <c r="ID950" s="3"/>
      <c r="IE950" s="3"/>
      <c r="IF950" s="3"/>
      <c r="IG950" s="3"/>
      <c r="IH950" s="3"/>
      <c r="II950" s="3"/>
      <c r="IJ950" s="3"/>
      <c r="IK950" s="3"/>
      <c r="IL950" s="3"/>
      <c r="IM950" s="3"/>
      <c r="IN950" s="3"/>
      <c r="IO950" s="3"/>
      <c r="IP950" s="3"/>
      <c r="IQ950" s="3"/>
      <c r="IR950" s="3"/>
      <c r="IS950" s="3"/>
      <c r="IT950" s="3"/>
      <c r="IU950" s="3"/>
      <c r="IV950" s="3"/>
      <c r="IW950" s="3"/>
      <c r="IX950" s="3"/>
      <c r="IY950" s="3"/>
      <c r="IZ950" s="3"/>
      <c r="JA950" s="3"/>
      <c r="JB950" s="3"/>
      <c r="JC950" s="3"/>
      <c r="JD950" s="3"/>
      <c r="JE950" s="3"/>
      <c r="JF950" s="3"/>
      <c r="JG950" s="3"/>
      <c r="JH950" s="3"/>
      <c r="JI950" s="3"/>
      <c r="JJ950" s="3"/>
      <c r="JK950" s="3"/>
      <c r="JL950" s="3"/>
      <c r="JM950" s="3"/>
      <c r="JN950" s="3"/>
      <c r="JO950" s="3"/>
      <c r="JP950" s="3"/>
      <c r="JQ950" s="3"/>
      <c r="JR950" s="3"/>
      <c r="JS950" s="3"/>
      <c r="JT950" s="3"/>
      <c r="JU950" s="3"/>
      <c r="JV950" s="3"/>
      <c r="JW950" s="3"/>
      <c r="JX950" s="3"/>
      <c r="JY950" s="3"/>
      <c r="JZ950" s="3"/>
      <c r="KA950" s="3"/>
      <c r="KB950" s="3"/>
      <c r="KC950" s="3"/>
      <c r="KD950" s="3"/>
      <c r="KE950" s="3"/>
      <c r="KF950" s="3"/>
      <c r="KG950" s="3"/>
      <c r="KH950" s="3"/>
      <c r="KI950" s="3"/>
      <c r="KJ950" s="3"/>
      <c r="KK950" s="3"/>
      <c r="KL950" s="3"/>
      <c r="KM950" s="3"/>
      <c r="KN950" s="3"/>
      <c r="KO950" s="3"/>
      <c r="KP950" s="3"/>
      <c r="KQ950" s="3"/>
      <c r="KR950" s="3"/>
      <c r="KS950" s="3"/>
      <c r="KT950" s="3"/>
      <c r="KU950" s="3"/>
      <c r="KV950" s="3"/>
      <c r="KW950" s="3"/>
      <c r="KX950" s="3"/>
      <c r="KY950" s="3"/>
      <c r="KZ950" s="3"/>
      <c r="LA950" s="3"/>
      <c r="LB950" s="3"/>
      <c r="LC950" s="3"/>
      <c r="LD950" s="3"/>
      <c r="LE950" s="3"/>
      <c r="LF950" s="3"/>
      <c r="LG950" s="3"/>
      <c r="LH950" s="3"/>
      <c r="LI950" s="3"/>
      <c r="LJ950" s="3"/>
      <c r="LK950" s="3"/>
      <c r="LL950" s="3"/>
      <c r="LM950" s="3"/>
      <c r="LN950" s="3"/>
      <c r="LO950" s="3"/>
      <c r="LP950" s="3"/>
      <c r="LQ950" s="3"/>
      <c r="LR950" s="3"/>
      <c r="LS950" s="3"/>
      <c r="LT950" s="3"/>
      <c r="LU950" s="3"/>
      <c r="LV950" s="3"/>
      <c r="LW950" s="3"/>
      <c r="LX950" s="3"/>
      <c r="LY950" s="3"/>
      <c r="LZ950" s="3"/>
      <c r="MA950" s="3"/>
      <c r="MB950" s="3"/>
      <c r="MC950" s="3"/>
      <c r="MD950" s="3"/>
      <c r="ME950" s="3"/>
      <c r="MF950" s="3"/>
      <c r="MG950" s="3"/>
      <c r="MH950" s="3"/>
      <c r="MI950" s="3"/>
    </row>
    <row r="951" spans="1:347"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c r="HX951" s="3"/>
      <c r="HY951" s="3"/>
      <c r="HZ951" s="3"/>
      <c r="IA951" s="3"/>
      <c r="IB951" s="3"/>
      <c r="IC951" s="3"/>
      <c r="ID951" s="3"/>
      <c r="IE951" s="3"/>
      <c r="IF951" s="3"/>
      <c r="IG951" s="3"/>
      <c r="IH951" s="3"/>
      <c r="II951" s="3"/>
      <c r="IJ951" s="3"/>
      <c r="IK951" s="3"/>
      <c r="IL951" s="3"/>
      <c r="IM951" s="3"/>
      <c r="IN951" s="3"/>
      <c r="IO951" s="3"/>
      <c r="IP951" s="3"/>
      <c r="IQ951" s="3"/>
      <c r="IR951" s="3"/>
      <c r="IS951" s="3"/>
      <c r="IT951" s="3"/>
      <c r="IU951" s="3"/>
      <c r="IV951" s="3"/>
      <c r="IW951" s="3"/>
      <c r="IX951" s="3"/>
      <c r="IY951" s="3"/>
      <c r="IZ951" s="3"/>
      <c r="JA951" s="3"/>
      <c r="JB951" s="3"/>
      <c r="JC951" s="3"/>
      <c r="JD951" s="3"/>
      <c r="JE951" s="3"/>
      <c r="JF951" s="3"/>
      <c r="JG951" s="3"/>
      <c r="JH951" s="3"/>
      <c r="JI951" s="3"/>
      <c r="JJ951" s="3"/>
      <c r="JK951" s="3"/>
      <c r="JL951" s="3"/>
      <c r="JM951" s="3"/>
      <c r="JN951" s="3"/>
      <c r="JO951" s="3"/>
      <c r="JP951" s="3"/>
      <c r="JQ951" s="3"/>
      <c r="JR951" s="3"/>
      <c r="JS951" s="3"/>
      <c r="JT951" s="3"/>
      <c r="JU951" s="3"/>
      <c r="JV951" s="3"/>
      <c r="JW951" s="3"/>
      <c r="JX951" s="3"/>
      <c r="JY951" s="3"/>
      <c r="JZ951" s="3"/>
      <c r="KA951" s="3"/>
      <c r="KB951" s="3"/>
      <c r="KC951" s="3"/>
      <c r="KD951" s="3"/>
      <c r="KE951" s="3"/>
      <c r="KF951" s="3"/>
      <c r="KG951" s="3"/>
      <c r="KH951" s="3"/>
      <c r="KI951" s="3"/>
      <c r="KJ951" s="3"/>
      <c r="KK951" s="3"/>
      <c r="KL951" s="3"/>
      <c r="KM951" s="3"/>
      <c r="KN951" s="3"/>
      <c r="KO951" s="3"/>
      <c r="KP951" s="3"/>
      <c r="KQ951" s="3"/>
      <c r="KR951" s="3"/>
      <c r="KS951" s="3"/>
      <c r="KT951" s="3"/>
      <c r="KU951" s="3"/>
      <c r="KV951" s="3"/>
      <c r="KW951" s="3"/>
      <c r="KX951" s="3"/>
      <c r="KY951" s="3"/>
      <c r="KZ951" s="3"/>
      <c r="LA951" s="3"/>
      <c r="LB951" s="3"/>
      <c r="LC951" s="3"/>
      <c r="LD951" s="3"/>
      <c r="LE951" s="3"/>
      <c r="LF951" s="3"/>
      <c r="LG951" s="3"/>
      <c r="LH951" s="3"/>
      <c r="LI951" s="3"/>
      <c r="LJ951" s="3"/>
      <c r="LK951" s="3"/>
      <c r="LL951" s="3"/>
      <c r="LM951" s="3"/>
      <c r="LN951" s="3"/>
      <c r="LO951" s="3"/>
      <c r="LP951" s="3"/>
      <c r="LQ951" s="3"/>
      <c r="LR951" s="3"/>
      <c r="LS951" s="3"/>
      <c r="LT951" s="3"/>
      <c r="LU951" s="3"/>
      <c r="LV951" s="3"/>
      <c r="LW951" s="3"/>
      <c r="LX951" s="3"/>
      <c r="LY951" s="3"/>
      <c r="LZ951" s="3"/>
      <c r="MA951" s="3"/>
      <c r="MB951" s="3"/>
      <c r="MC951" s="3"/>
      <c r="MD951" s="3"/>
      <c r="ME951" s="3"/>
      <c r="MF951" s="3"/>
      <c r="MG951" s="3"/>
      <c r="MH951" s="3"/>
      <c r="MI951" s="3"/>
    </row>
    <row r="952" spans="1:347"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c r="HX952" s="3"/>
      <c r="HY952" s="3"/>
      <c r="HZ952" s="3"/>
      <c r="IA952" s="3"/>
      <c r="IB952" s="3"/>
      <c r="IC952" s="3"/>
      <c r="ID952" s="3"/>
      <c r="IE952" s="3"/>
      <c r="IF952" s="3"/>
      <c r="IG952" s="3"/>
      <c r="IH952" s="3"/>
      <c r="II952" s="3"/>
      <c r="IJ952" s="3"/>
      <c r="IK952" s="3"/>
      <c r="IL952" s="3"/>
      <c r="IM952" s="3"/>
      <c r="IN952" s="3"/>
      <c r="IO952" s="3"/>
      <c r="IP952" s="3"/>
      <c r="IQ952" s="3"/>
      <c r="IR952" s="3"/>
      <c r="IS952" s="3"/>
      <c r="IT952" s="3"/>
      <c r="IU952" s="3"/>
      <c r="IV952" s="3"/>
      <c r="IW952" s="3"/>
      <c r="IX952" s="3"/>
      <c r="IY952" s="3"/>
      <c r="IZ952" s="3"/>
      <c r="JA952" s="3"/>
      <c r="JB952" s="3"/>
      <c r="JC952" s="3"/>
      <c r="JD952" s="3"/>
      <c r="JE952" s="3"/>
      <c r="JF952" s="3"/>
      <c r="JG952" s="3"/>
      <c r="JH952" s="3"/>
      <c r="JI952" s="3"/>
      <c r="JJ952" s="3"/>
      <c r="JK952" s="3"/>
      <c r="JL952" s="3"/>
      <c r="JM952" s="3"/>
      <c r="JN952" s="3"/>
      <c r="JO952" s="3"/>
      <c r="JP952" s="3"/>
      <c r="JQ952" s="3"/>
      <c r="JR952" s="3"/>
      <c r="JS952" s="3"/>
      <c r="JT952" s="3"/>
      <c r="JU952" s="3"/>
      <c r="JV952" s="3"/>
      <c r="JW952" s="3"/>
      <c r="JX952" s="3"/>
      <c r="JY952" s="3"/>
      <c r="JZ952" s="3"/>
      <c r="KA952" s="3"/>
      <c r="KB952" s="3"/>
      <c r="KC952" s="3"/>
      <c r="KD952" s="3"/>
      <c r="KE952" s="3"/>
      <c r="KF952" s="3"/>
      <c r="KG952" s="3"/>
      <c r="KH952" s="3"/>
      <c r="KI952" s="3"/>
      <c r="KJ952" s="3"/>
      <c r="KK952" s="3"/>
      <c r="KL952" s="3"/>
      <c r="KM952" s="3"/>
      <c r="KN952" s="3"/>
      <c r="KO952" s="3"/>
      <c r="KP952" s="3"/>
      <c r="KQ952" s="3"/>
      <c r="KR952" s="3"/>
      <c r="KS952" s="3"/>
      <c r="KT952" s="3"/>
      <c r="KU952" s="3"/>
      <c r="KV952" s="3"/>
      <c r="KW952" s="3"/>
      <c r="KX952" s="3"/>
      <c r="KY952" s="3"/>
      <c r="KZ952" s="3"/>
      <c r="LA952" s="3"/>
      <c r="LB952" s="3"/>
      <c r="LC952" s="3"/>
      <c r="LD952" s="3"/>
      <c r="LE952" s="3"/>
      <c r="LF952" s="3"/>
      <c r="LG952" s="3"/>
      <c r="LH952" s="3"/>
      <c r="LI952" s="3"/>
      <c r="LJ952" s="3"/>
      <c r="LK952" s="3"/>
      <c r="LL952" s="3"/>
      <c r="LM952" s="3"/>
      <c r="LN952" s="3"/>
      <c r="LO952" s="3"/>
      <c r="LP952" s="3"/>
      <c r="LQ952" s="3"/>
      <c r="LR952" s="3"/>
      <c r="LS952" s="3"/>
      <c r="LT952" s="3"/>
      <c r="LU952" s="3"/>
      <c r="LV952" s="3"/>
      <c r="LW952" s="3"/>
      <c r="LX952" s="3"/>
      <c r="LY952" s="3"/>
      <c r="LZ952" s="3"/>
      <c r="MA952" s="3"/>
      <c r="MB952" s="3"/>
      <c r="MC952" s="3"/>
      <c r="MD952" s="3"/>
      <c r="ME952" s="3"/>
      <c r="MF952" s="3"/>
      <c r="MG952" s="3"/>
      <c r="MH952" s="3"/>
      <c r="MI952" s="3"/>
    </row>
    <row r="953" spans="1:347"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c r="HX953" s="3"/>
      <c r="HY953" s="3"/>
      <c r="HZ953" s="3"/>
      <c r="IA953" s="3"/>
      <c r="IB953" s="3"/>
      <c r="IC953" s="3"/>
      <c r="ID953" s="3"/>
      <c r="IE953" s="3"/>
      <c r="IF953" s="3"/>
      <c r="IG953" s="3"/>
      <c r="IH953" s="3"/>
      <c r="II953" s="3"/>
      <c r="IJ953" s="3"/>
      <c r="IK953" s="3"/>
      <c r="IL953" s="3"/>
      <c r="IM953" s="3"/>
      <c r="IN953" s="3"/>
      <c r="IO953" s="3"/>
      <c r="IP953" s="3"/>
      <c r="IQ953" s="3"/>
      <c r="IR953" s="3"/>
      <c r="IS953" s="3"/>
      <c r="IT953" s="3"/>
      <c r="IU953" s="3"/>
      <c r="IV953" s="3"/>
      <c r="IW953" s="3"/>
      <c r="IX953" s="3"/>
      <c r="IY953" s="3"/>
      <c r="IZ953" s="3"/>
      <c r="JA953" s="3"/>
      <c r="JB953" s="3"/>
      <c r="JC953" s="3"/>
      <c r="JD953" s="3"/>
      <c r="JE953" s="3"/>
      <c r="JF953" s="3"/>
      <c r="JG953" s="3"/>
      <c r="JH953" s="3"/>
      <c r="JI953" s="3"/>
      <c r="JJ953" s="3"/>
      <c r="JK953" s="3"/>
      <c r="JL953" s="3"/>
      <c r="JM953" s="3"/>
      <c r="JN953" s="3"/>
      <c r="JO953" s="3"/>
      <c r="JP953" s="3"/>
      <c r="JQ953" s="3"/>
      <c r="JR953" s="3"/>
      <c r="JS953" s="3"/>
      <c r="JT953" s="3"/>
      <c r="JU953" s="3"/>
      <c r="JV953" s="3"/>
      <c r="JW953" s="3"/>
      <c r="JX953" s="3"/>
      <c r="JY953" s="3"/>
      <c r="JZ953" s="3"/>
      <c r="KA953" s="3"/>
      <c r="KB953" s="3"/>
      <c r="KC953" s="3"/>
      <c r="KD953" s="3"/>
      <c r="KE953" s="3"/>
      <c r="KF953" s="3"/>
      <c r="KG953" s="3"/>
      <c r="KH953" s="3"/>
      <c r="KI953" s="3"/>
      <c r="KJ953" s="3"/>
      <c r="KK953" s="3"/>
      <c r="KL953" s="3"/>
      <c r="KM953" s="3"/>
      <c r="KN953" s="3"/>
      <c r="KO953" s="3"/>
      <c r="KP953" s="3"/>
      <c r="KQ953" s="3"/>
      <c r="KR953" s="3"/>
      <c r="KS953" s="3"/>
      <c r="KT953" s="3"/>
      <c r="KU953" s="3"/>
      <c r="KV953" s="3"/>
      <c r="KW953" s="3"/>
      <c r="KX953" s="3"/>
      <c r="KY953" s="3"/>
      <c r="KZ953" s="3"/>
      <c r="LA953" s="3"/>
      <c r="LB953" s="3"/>
      <c r="LC953" s="3"/>
      <c r="LD953" s="3"/>
      <c r="LE953" s="3"/>
      <c r="LF953" s="3"/>
      <c r="LG953" s="3"/>
      <c r="LH953" s="3"/>
      <c r="LI953" s="3"/>
      <c r="LJ953" s="3"/>
      <c r="LK953" s="3"/>
      <c r="LL953" s="3"/>
      <c r="LM953" s="3"/>
      <c r="LN953" s="3"/>
      <c r="LO953" s="3"/>
      <c r="LP953" s="3"/>
      <c r="LQ953" s="3"/>
      <c r="LR953" s="3"/>
      <c r="LS953" s="3"/>
      <c r="LT953" s="3"/>
      <c r="LU953" s="3"/>
      <c r="LV953" s="3"/>
      <c r="LW953" s="3"/>
      <c r="LX953" s="3"/>
      <c r="LY953" s="3"/>
      <c r="LZ953" s="3"/>
      <c r="MA953" s="3"/>
      <c r="MB953" s="3"/>
      <c r="MC953" s="3"/>
      <c r="MD953" s="3"/>
      <c r="ME953" s="3"/>
      <c r="MF953" s="3"/>
      <c r="MG953" s="3"/>
      <c r="MH953" s="3"/>
      <c r="MI953" s="3"/>
    </row>
    <row r="954" spans="1:347"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c r="HX954" s="3"/>
      <c r="HY954" s="3"/>
      <c r="HZ954" s="3"/>
      <c r="IA954" s="3"/>
      <c r="IB954" s="3"/>
      <c r="IC954" s="3"/>
      <c r="ID954" s="3"/>
      <c r="IE954" s="3"/>
      <c r="IF954" s="3"/>
      <c r="IG954" s="3"/>
      <c r="IH954" s="3"/>
      <c r="II954" s="3"/>
      <c r="IJ954" s="3"/>
      <c r="IK954" s="3"/>
      <c r="IL954" s="3"/>
      <c r="IM954" s="3"/>
      <c r="IN954" s="3"/>
      <c r="IO954" s="3"/>
      <c r="IP954" s="3"/>
      <c r="IQ954" s="3"/>
      <c r="IR954" s="3"/>
      <c r="IS954" s="3"/>
      <c r="IT954" s="3"/>
      <c r="IU954" s="3"/>
      <c r="IV954" s="3"/>
      <c r="IW954" s="3"/>
      <c r="IX954" s="3"/>
      <c r="IY954" s="3"/>
      <c r="IZ954" s="3"/>
      <c r="JA954" s="3"/>
      <c r="JB954" s="3"/>
      <c r="JC954" s="3"/>
      <c r="JD954" s="3"/>
      <c r="JE954" s="3"/>
      <c r="JF954" s="3"/>
      <c r="JG954" s="3"/>
      <c r="JH954" s="3"/>
      <c r="JI954" s="3"/>
      <c r="JJ954" s="3"/>
      <c r="JK954" s="3"/>
      <c r="JL954" s="3"/>
      <c r="JM954" s="3"/>
      <c r="JN954" s="3"/>
      <c r="JO954" s="3"/>
      <c r="JP954" s="3"/>
      <c r="JQ954" s="3"/>
      <c r="JR954" s="3"/>
      <c r="JS954" s="3"/>
      <c r="JT954" s="3"/>
      <c r="JU954" s="3"/>
      <c r="JV954" s="3"/>
      <c r="JW954" s="3"/>
      <c r="JX954" s="3"/>
      <c r="JY954" s="3"/>
      <c r="JZ954" s="3"/>
      <c r="KA954" s="3"/>
      <c r="KB954" s="3"/>
      <c r="KC954" s="3"/>
      <c r="KD954" s="3"/>
      <c r="KE954" s="3"/>
      <c r="KF954" s="3"/>
      <c r="KG954" s="3"/>
      <c r="KH954" s="3"/>
      <c r="KI954" s="3"/>
      <c r="KJ954" s="3"/>
      <c r="KK954" s="3"/>
      <c r="KL954" s="3"/>
      <c r="KM954" s="3"/>
      <c r="KN954" s="3"/>
      <c r="KO954" s="3"/>
      <c r="KP954" s="3"/>
      <c r="KQ954" s="3"/>
      <c r="KR954" s="3"/>
      <c r="KS954" s="3"/>
      <c r="KT954" s="3"/>
      <c r="KU954" s="3"/>
      <c r="KV954" s="3"/>
      <c r="KW954" s="3"/>
      <c r="KX954" s="3"/>
      <c r="KY954" s="3"/>
      <c r="KZ954" s="3"/>
      <c r="LA954" s="3"/>
      <c r="LB954" s="3"/>
      <c r="LC954" s="3"/>
      <c r="LD954" s="3"/>
      <c r="LE954" s="3"/>
      <c r="LF954" s="3"/>
      <c r="LG954" s="3"/>
      <c r="LH954" s="3"/>
      <c r="LI954" s="3"/>
      <c r="LJ954" s="3"/>
      <c r="LK954" s="3"/>
      <c r="LL954" s="3"/>
      <c r="LM954" s="3"/>
      <c r="LN954" s="3"/>
      <c r="LO954" s="3"/>
      <c r="LP954" s="3"/>
      <c r="LQ954" s="3"/>
      <c r="LR954" s="3"/>
      <c r="LS954" s="3"/>
      <c r="LT954" s="3"/>
      <c r="LU954" s="3"/>
      <c r="LV954" s="3"/>
      <c r="LW954" s="3"/>
      <c r="LX954" s="3"/>
      <c r="LY954" s="3"/>
      <c r="LZ954" s="3"/>
      <c r="MA954" s="3"/>
      <c r="MB954" s="3"/>
      <c r="MC954" s="3"/>
      <c r="MD954" s="3"/>
      <c r="ME954" s="3"/>
      <c r="MF954" s="3"/>
      <c r="MG954" s="3"/>
      <c r="MH954" s="3"/>
      <c r="MI954" s="3"/>
    </row>
    <row r="955" spans="1:347"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c r="HX955" s="3"/>
      <c r="HY955" s="3"/>
      <c r="HZ955" s="3"/>
      <c r="IA955" s="3"/>
      <c r="IB955" s="3"/>
      <c r="IC955" s="3"/>
      <c r="ID955" s="3"/>
      <c r="IE955" s="3"/>
      <c r="IF955" s="3"/>
      <c r="IG955" s="3"/>
      <c r="IH955" s="3"/>
      <c r="II955" s="3"/>
      <c r="IJ955" s="3"/>
      <c r="IK955" s="3"/>
      <c r="IL955" s="3"/>
      <c r="IM955" s="3"/>
      <c r="IN955" s="3"/>
      <c r="IO955" s="3"/>
      <c r="IP955" s="3"/>
      <c r="IQ955" s="3"/>
      <c r="IR955" s="3"/>
      <c r="IS955" s="3"/>
      <c r="IT955" s="3"/>
      <c r="IU955" s="3"/>
      <c r="IV955" s="3"/>
      <c r="IW955" s="3"/>
      <c r="IX955" s="3"/>
      <c r="IY955" s="3"/>
      <c r="IZ955" s="3"/>
      <c r="JA955" s="3"/>
      <c r="JB955" s="3"/>
      <c r="JC955" s="3"/>
      <c r="JD955" s="3"/>
      <c r="JE955" s="3"/>
      <c r="JF955" s="3"/>
      <c r="JG955" s="3"/>
      <c r="JH955" s="3"/>
      <c r="JI955" s="3"/>
      <c r="JJ955" s="3"/>
      <c r="JK955" s="3"/>
      <c r="JL955" s="3"/>
      <c r="JM955" s="3"/>
      <c r="JN955" s="3"/>
      <c r="JO955" s="3"/>
      <c r="JP955" s="3"/>
      <c r="JQ955" s="3"/>
      <c r="JR955" s="3"/>
      <c r="JS955" s="3"/>
      <c r="JT955" s="3"/>
      <c r="JU955" s="3"/>
      <c r="JV955" s="3"/>
      <c r="JW955" s="3"/>
      <c r="JX955" s="3"/>
      <c r="JY955" s="3"/>
      <c r="JZ955" s="3"/>
      <c r="KA955" s="3"/>
      <c r="KB955" s="3"/>
      <c r="KC955" s="3"/>
      <c r="KD955" s="3"/>
      <c r="KE955" s="3"/>
      <c r="KF955" s="3"/>
      <c r="KG955" s="3"/>
      <c r="KH955" s="3"/>
      <c r="KI955" s="3"/>
      <c r="KJ955" s="3"/>
      <c r="KK955" s="3"/>
      <c r="KL955" s="3"/>
      <c r="KM955" s="3"/>
      <c r="KN955" s="3"/>
      <c r="KO955" s="3"/>
      <c r="KP955" s="3"/>
      <c r="KQ955" s="3"/>
      <c r="KR955" s="3"/>
      <c r="KS955" s="3"/>
      <c r="KT955" s="3"/>
      <c r="KU955" s="3"/>
      <c r="KV955" s="3"/>
      <c r="KW955" s="3"/>
      <c r="KX955" s="3"/>
      <c r="KY955" s="3"/>
      <c r="KZ955" s="3"/>
      <c r="LA955" s="3"/>
      <c r="LB955" s="3"/>
      <c r="LC955" s="3"/>
      <c r="LD955" s="3"/>
      <c r="LE955" s="3"/>
      <c r="LF955" s="3"/>
      <c r="LG955" s="3"/>
      <c r="LH955" s="3"/>
      <c r="LI955" s="3"/>
      <c r="LJ955" s="3"/>
      <c r="LK955" s="3"/>
      <c r="LL955" s="3"/>
      <c r="LM955" s="3"/>
      <c r="LN955" s="3"/>
      <c r="LO955" s="3"/>
      <c r="LP955" s="3"/>
      <c r="LQ955" s="3"/>
      <c r="LR955" s="3"/>
      <c r="LS955" s="3"/>
      <c r="LT955" s="3"/>
      <c r="LU955" s="3"/>
      <c r="LV955" s="3"/>
      <c r="LW955" s="3"/>
      <c r="LX955" s="3"/>
      <c r="LY955" s="3"/>
      <c r="LZ955" s="3"/>
      <c r="MA955" s="3"/>
      <c r="MB955" s="3"/>
      <c r="MC955" s="3"/>
      <c r="MD955" s="3"/>
      <c r="ME955" s="3"/>
      <c r="MF955" s="3"/>
      <c r="MG955" s="3"/>
      <c r="MH955" s="3"/>
      <c r="MI955" s="3"/>
    </row>
    <row r="956" spans="1:347"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c r="HX956" s="3"/>
      <c r="HY956" s="3"/>
      <c r="HZ956" s="3"/>
      <c r="IA956" s="3"/>
      <c r="IB956" s="3"/>
      <c r="IC956" s="3"/>
      <c r="ID956" s="3"/>
      <c r="IE956" s="3"/>
      <c r="IF956" s="3"/>
      <c r="IG956" s="3"/>
      <c r="IH956" s="3"/>
      <c r="II956" s="3"/>
      <c r="IJ956" s="3"/>
      <c r="IK956" s="3"/>
      <c r="IL956" s="3"/>
      <c r="IM956" s="3"/>
      <c r="IN956" s="3"/>
      <c r="IO956" s="3"/>
      <c r="IP956" s="3"/>
      <c r="IQ956" s="3"/>
      <c r="IR956" s="3"/>
      <c r="IS956" s="3"/>
      <c r="IT956" s="3"/>
      <c r="IU956" s="3"/>
      <c r="IV956" s="3"/>
      <c r="IW956" s="3"/>
      <c r="IX956" s="3"/>
      <c r="IY956" s="3"/>
      <c r="IZ956" s="3"/>
      <c r="JA956" s="3"/>
      <c r="JB956" s="3"/>
      <c r="JC956" s="3"/>
      <c r="JD956" s="3"/>
      <c r="JE956" s="3"/>
      <c r="JF956" s="3"/>
      <c r="JG956" s="3"/>
      <c r="JH956" s="3"/>
      <c r="JI956" s="3"/>
      <c r="JJ956" s="3"/>
      <c r="JK956" s="3"/>
      <c r="JL956" s="3"/>
      <c r="JM956" s="3"/>
      <c r="JN956" s="3"/>
      <c r="JO956" s="3"/>
      <c r="JP956" s="3"/>
      <c r="JQ956" s="3"/>
      <c r="JR956" s="3"/>
      <c r="JS956" s="3"/>
      <c r="JT956" s="3"/>
      <c r="JU956" s="3"/>
      <c r="JV956" s="3"/>
      <c r="JW956" s="3"/>
      <c r="JX956" s="3"/>
      <c r="JY956" s="3"/>
      <c r="JZ956" s="3"/>
      <c r="KA956" s="3"/>
      <c r="KB956" s="3"/>
      <c r="KC956" s="3"/>
      <c r="KD956" s="3"/>
      <c r="KE956" s="3"/>
      <c r="KF956" s="3"/>
      <c r="KG956" s="3"/>
      <c r="KH956" s="3"/>
      <c r="KI956" s="3"/>
      <c r="KJ956" s="3"/>
      <c r="KK956" s="3"/>
      <c r="KL956" s="3"/>
      <c r="KM956" s="3"/>
      <c r="KN956" s="3"/>
      <c r="KO956" s="3"/>
      <c r="KP956" s="3"/>
      <c r="KQ956" s="3"/>
      <c r="KR956" s="3"/>
      <c r="KS956" s="3"/>
      <c r="KT956" s="3"/>
      <c r="KU956" s="3"/>
      <c r="KV956" s="3"/>
      <c r="KW956" s="3"/>
      <c r="KX956" s="3"/>
      <c r="KY956" s="3"/>
      <c r="KZ956" s="3"/>
      <c r="LA956" s="3"/>
      <c r="LB956" s="3"/>
      <c r="LC956" s="3"/>
      <c r="LD956" s="3"/>
      <c r="LE956" s="3"/>
      <c r="LF956" s="3"/>
      <c r="LG956" s="3"/>
      <c r="LH956" s="3"/>
      <c r="LI956" s="3"/>
      <c r="LJ956" s="3"/>
      <c r="LK956" s="3"/>
      <c r="LL956" s="3"/>
      <c r="LM956" s="3"/>
      <c r="LN956" s="3"/>
      <c r="LO956" s="3"/>
      <c r="LP956" s="3"/>
      <c r="LQ956" s="3"/>
      <c r="LR956" s="3"/>
      <c r="LS956" s="3"/>
      <c r="LT956" s="3"/>
      <c r="LU956" s="3"/>
      <c r="LV956" s="3"/>
      <c r="LW956" s="3"/>
      <c r="LX956" s="3"/>
      <c r="LY956" s="3"/>
      <c r="LZ956" s="3"/>
      <c r="MA956" s="3"/>
      <c r="MB956" s="3"/>
      <c r="MC956" s="3"/>
      <c r="MD956" s="3"/>
      <c r="ME956" s="3"/>
      <c r="MF956" s="3"/>
      <c r="MG956" s="3"/>
      <c r="MH956" s="3"/>
      <c r="MI956" s="3"/>
    </row>
    <row r="957" spans="1:347"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c r="HX957" s="3"/>
      <c r="HY957" s="3"/>
      <c r="HZ957" s="3"/>
      <c r="IA957" s="3"/>
      <c r="IB957" s="3"/>
      <c r="IC957" s="3"/>
      <c r="ID957" s="3"/>
      <c r="IE957" s="3"/>
      <c r="IF957" s="3"/>
      <c r="IG957" s="3"/>
      <c r="IH957" s="3"/>
      <c r="II957" s="3"/>
      <c r="IJ957" s="3"/>
      <c r="IK957" s="3"/>
      <c r="IL957" s="3"/>
      <c r="IM957" s="3"/>
      <c r="IN957" s="3"/>
      <c r="IO957" s="3"/>
      <c r="IP957" s="3"/>
      <c r="IQ957" s="3"/>
      <c r="IR957" s="3"/>
      <c r="IS957" s="3"/>
      <c r="IT957" s="3"/>
      <c r="IU957" s="3"/>
      <c r="IV957" s="3"/>
      <c r="IW957" s="3"/>
      <c r="IX957" s="3"/>
      <c r="IY957" s="3"/>
      <c r="IZ957" s="3"/>
      <c r="JA957" s="3"/>
      <c r="JB957" s="3"/>
      <c r="JC957" s="3"/>
      <c r="JD957" s="3"/>
      <c r="JE957" s="3"/>
      <c r="JF957" s="3"/>
      <c r="JG957" s="3"/>
      <c r="JH957" s="3"/>
      <c r="JI957" s="3"/>
      <c r="JJ957" s="3"/>
      <c r="JK957" s="3"/>
      <c r="JL957" s="3"/>
      <c r="JM957" s="3"/>
      <c r="JN957" s="3"/>
      <c r="JO957" s="3"/>
      <c r="JP957" s="3"/>
      <c r="JQ957" s="3"/>
      <c r="JR957" s="3"/>
      <c r="JS957" s="3"/>
      <c r="JT957" s="3"/>
      <c r="JU957" s="3"/>
      <c r="JV957" s="3"/>
      <c r="JW957" s="3"/>
      <c r="JX957" s="3"/>
      <c r="JY957" s="3"/>
      <c r="JZ957" s="3"/>
      <c r="KA957" s="3"/>
      <c r="KB957" s="3"/>
      <c r="KC957" s="3"/>
      <c r="KD957" s="3"/>
      <c r="KE957" s="3"/>
      <c r="KF957" s="3"/>
      <c r="KG957" s="3"/>
      <c r="KH957" s="3"/>
      <c r="KI957" s="3"/>
      <c r="KJ957" s="3"/>
      <c r="KK957" s="3"/>
      <c r="KL957" s="3"/>
      <c r="KM957" s="3"/>
      <c r="KN957" s="3"/>
      <c r="KO957" s="3"/>
      <c r="KP957" s="3"/>
      <c r="KQ957" s="3"/>
      <c r="KR957" s="3"/>
      <c r="KS957" s="3"/>
      <c r="KT957" s="3"/>
      <c r="KU957" s="3"/>
      <c r="KV957" s="3"/>
      <c r="KW957" s="3"/>
      <c r="KX957" s="3"/>
      <c r="KY957" s="3"/>
      <c r="KZ957" s="3"/>
      <c r="LA957" s="3"/>
      <c r="LB957" s="3"/>
      <c r="LC957" s="3"/>
      <c r="LD957" s="3"/>
      <c r="LE957" s="3"/>
      <c r="LF957" s="3"/>
      <c r="LG957" s="3"/>
      <c r="LH957" s="3"/>
      <c r="LI957" s="3"/>
      <c r="LJ957" s="3"/>
      <c r="LK957" s="3"/>
      <c r="LL957" s="3"/>
      <c r="LM957" s="3"/>
      <c r="LN957" s="3"/>
      <c r="LO957" s="3"/>
      <c r="LP957" s="3"/>
      <c r="LQ957" s="3"/>
      <c r="LR957" s="3"/>
      <c r="LS957" s="3"/>
      <c r="LT957" s="3"/>
      <c r="LU957" s="3"/>
      <c r="LV957" s="3"/>
      <c r="LW957" s="3"/>
      <c r="LX957" s="3"/>
      <c r="LY957" s="3"/>
      <c r="LZ957" s="3"/>
      <c r="MA957" s="3"/>
      <c r="MB957" s="3"/>
      <c r="MC957" s="3"/>
      <c r="MD957" s="3"/>
      <c r="ME957" s="3"/>
      <c r="MF957" s="3"/>
      <c r="MG957" s="3"/>
      <c r="MH957" s="3"/>
      <c r="MI957" s="3"/>
    </row>
    <row r="958" spans="1:347"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c r="HX958" s="3"/>
      <c r="HY958" s="3"/>
      <c r="HZ958" s="3"/>
      <c r="IA958" s="3"/>
      <c r="IB958" s="3"/>
      <c r="IC958" s="3"/>
      <c r="ID958" s="3"/>
      <c r="IE958" s="3"/>
      <c r="IF958" s="3"/>
      <c r="IG958" s="3"/>
      <c r="IH958" s="3"/>
      <c r="II958" s="3"/>
      <c r="IJ958" s="3"/>
      <c r="IK958" s="3"/>
      <c r="IL958" s="3"/>
      <c r="IM958" s="3"/>
      <c r="IN958" s="3"/>
      <c r="IO958" s="3"/>
      <c r="IP958" s="3"/>
      <c r="IQ958" s="3"/>
      <c r="IR958" s="3"/>
      <c r="IS958" s="3"/>
      <c r="IT958" s="3"/>
      <c r="IU958" s="3"/>
      <c r="IV958" s="3"/>
      <c r="IW958" s="3"/>
      <c r="IX958" s="3"/>
      <c r="IY958" s="3"/>
      <c r="IZ958" s="3"/>
      <c r="JA958" s="3"/>
      <c r="JB958" s="3"/>
      <c r="JC958" s="3"/>
      <c r="JD958" s="3"/>
      <c r="JE958" s="3"/>
      <c r="JF958" s="3"/>
      <c r="JG958" s="3"/>
      <c r="JH958" s="3"/>
      <c r="JI958" s="3"/>
      <c r="JJ958" s="3"/>
      <c r="JK958" s="3"/>
      <c r="JL958" s="3"/>
      <c r="JM958" s="3"/>
      <c r="JN958" s="3"/>
      <c r="JO958" s="3"/>
      <c r="JP958" s="3"/>
      <c r="JQ958" s="3"/>
      <c r="JR958" s="3"/>
      <c r="JS958" s="3"/>
      <c r="JT958" s="3"/>
      <c r="JU958" s="3"/>
      <c r="JV958" s="3"/>
      <c r="JW958" s="3"/>
      <c r="JX958" s="3"/>
      <c r="JY958" s="3"/>
      <c r="JZ958" s="3"/>
      <c r="KA958" s="3"/>
      <c r="KB958" s="3"/>
      <c r="KC958" s="3"/>
      <c r="KD958" s="3"/>
      <c r="KE958" s="3"/>
      <c r="KF958" s="3"/>
      <c r="KG958" s="3"/>
      <c r="KH958" s="3"/>
      <c r="KI958" s="3"/>
      <c r="KJ958" s="3"/>
      <c r="KK958" s="3"/>
      <c r="KL958" s="3"/>
      <c r="KM958" s="3"/>
      <c r="KN958" s="3"/>
      <c r="KO958" s="3"/>
      <c r="KP958" s="3"/>
      <c r="KQ958" s="3"/>
      <c r="KR958" s="3"/>
      <c r="KS958" s="3"/>
      <c r="KT958" s="3"/>
      <c r="KU958" s="3"/>
      <c r="KV958" s="3"/>
      <c r="KW958" s="3"/>
      <c r="KX958" s="3"/>
      <c r="KY958" s="3"/>
      <c r="KZ958" s="3"/>
      <c r="LA958" s="3"/>
      <c r="LB958" s="3"/>
      <c r="LC958" s="3"/>
      <c r="LD958" s="3"/>
      <c r="LE958" s="3"/>
      <c r="LF958" s="3"/>
      <c r="LG958" s="3"/>
      <c r="LH958" s="3"/>
      <c r="LI958" s="3"/>
      <c r="LJ958" s="3"/>
      <c r="LK958" s="3"/>
      <c r="LL958" s="3"/>
      <c r="LM958" s="3"/>
      <c r="LN958" s="3"/>
      <c r="LO958" s="3"/>
      <c r="LP958" s="3"/>
      <c r="LQ958" s="3"/>
      <c r="LR958" s="3"/>
      <c r="LS958" s="3"/>
      <c r="LT958" s="3"/>
      <c r="LU958" s="3"/>
      <c r="LV958" s="3"/>
      <c r="LW958" s="3"/>
      <c r="LX958" s="3"/>
      <c r="LY958" s="3"/>
      <c r="LZ958" s="3"/>
      <c r="MA958" s="3"/>
      <c r="MB958" s="3"/>
      <c r="MC958" s="3"/>
      <c r="MD958" s="3"/>
      <c r="ME958" s="3"/>
      <c r="MF958" s="3"/>
      <c r="MG958" s="3"/>
      <c r="MH958" s="3"/>
      <c r="MI958" s="3"/>
    </row>
    <row r="959" spans="1:347"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c r="HX959" s="3"/>
      <c r="HY959" s="3"/>
      <c r="HZ959" s="3"/>
      <c r="IA959" s="3"/>
      <c r="IB959" s="3"/>
      <c r="IC959" s="3"/>
      <c r="ID959" s="3"/>
      <c r="IE959" s="3"/>
      <c r="IF959" s="3"/>
      <c r="IG959" s="3"/>
      <c r="IH959" s="3"/>
      <c r="II959" s="3"/>
      <c r="IJ959" s="3"/>
      <c r="IK959" s="3"/>
      <c r="IL959" s="3"/>
      <c r="IM959" s="3"/>
      <c r="IN959" s="3"/>
      <c r="IO959" s="3"/>
      <c r="IP959" s="3"/>
      <c r="IQ959" s="3"/>
      <c r="IR959" s="3"/>
      <c r="IS959" s="3"/>
      <c r="IT959" s="3"/>
      <c r="IU959" s="3"/>
      <c r="IV959" s="3"/>
      <c r="IW959" s="3"/>
      <c r="IX959" s="3"/>
      <c r="IY959" s="3"/>
      <c r="IZ959" s="3"/>
      <c r="JA959" s="3"/>
      <c r="JB959" s="3"/>
      <c r="JC959" s="3"/>
      <c r="JD959" s="3"/>
      <c r="JE959" s="3"/>
      <c r="JF959" s="3"/>
      <c r="JG959" s="3"/>
      <c r="JH959" s="3"/>
      <c r="JI959" s="3"/>
      <c r="JJ959" s="3"/>
      <c r="JK959" s="3"/>
      <c r="JL959" s="3"/>
      <c r="JM959" s="3"/>
      <c r="JN959" s="3"/>
      <c r="JO959" s="3"/>
      <c r="JP959" s="3"/>
      <c r="JQ959" s="3"/>
      <c r="JR959" s="3"/>
      <c r="JS959" s="3"/>
      <c r="JT959" s="3"/>
      <c r="JU959" s="3"/>
      <c r="JV959" s="3"/>
      <c r="JW959" s="3"/>
      <c r="JX959" s="3"/>
      <c r="JY959" s="3"/>
      <c r="JZ959" s="3"/>
      <c r="KA959" s="3"/>
      <c r="KB959" s="3"/>
      <c r="KC959" s="3"/>
      <c r="KD959" s="3"/>
      <c r="KE959" s="3"/>
      <c r="KF959" s="3"/>
      <c r="KG959" s="3"/>
      <c r="KH959" s="3"/>
      <c r="KI959" s="3"/>
      <c r="KJ959" s="3"/>
      <c r="KK959" s="3"/>
      <c r="KL959" s="3"/>
      <c r="KM959" s="3"/>
      <c r="KN959" s="3"/>
      <c r="KO959" s="3"/>
      <c r="KP959" s="3"/>
      <c r="KQ959" s="3"/>
      <c r="KR959" s="3"/>
      <c r="KS959" s="3"/>
      <c r="KT959" s="3"/>
      <c r="KU959" s="3"/>
      <c r="KV959" s="3"/>
      <c r="KW959" s="3"/>
      <c r="KX959" s="3"/>
      <c r="KY959" s="3"/>
      <c r="KZ959" s="3"/>
      <c r="LA959" s="3"/>
      <c r="LB959" s="3"/>
      <c r="LC959" s="3"/>
      <c r="LD959" s="3"/>
      <c r="LE959" s="3"/>
      <c r="LF959" s="3"/>
      <c r="LG959" s="3"/>
      <c r="LH959" s="3"/>
      <c r="LI959" s="3"/>
      <c r="LJ959" s="3"/>
      <c r="LK959" s="3"/>
      <c r="LL959" s="3"/>
      <c r="LM959" s="3"/>
      <c r="LN959" s="3"/>
      <c r="LO959" s="3"/>
      <c r="LP959" s="3"/>
      <c r="LQ959" s="3"/>
      <c r="LR959" s="3"/>
      <c r="LS959" s="3"/>
      <c r="LT959" s="3"/>
      <c r="LU959" s="3"/>
      <c r="LV959" s="3"/>
      <c r="LW959" s="3"/>
      <c r="LX959" s="3"/>
      <c r="LY959" s="3"/>
      <c r="LZ959" s="3"/>
      <c r="MA959" s="3"/>
      <c r="MB959" s="3"/>
      <c r="MC959" s="3"/>
      <c r="MD959" s="3"/>
      <c r="ME959" s="3"/>
      <c r="MF959" s="3"/>
      <c r="MG959" s="3"/>
      <c r="MH959" s="3"/>
      <c r="MI959" s="3"/>
    </row>
    <row r="960" spans="1:347"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c r="HX960" s="3"/>
      <c r="HY960" s="3"/>
      <c r="HZ960" s="3"/>
      <c r="IA960" s="3"/>
      <c r="IB960" s="3"/>
      <c r="IC960" s="3"/>
      <c r="ID960" s="3"/>
      <c r="IE960" s="3"/>
      <c r="IF960" s="3"/>
      <c r="IG960" s="3"/>
      <c r="IH960" s="3"/>
      <c r="II960" s="3"/>
      <c r="IJ960" s="3"/>
      <c r="IK960" s="3"/>
      <c r="IL960" s="3"/>
      <c r="IM960" s="3"/>
      <c r="IN960" s="3"/>
      <c r="IO960" s="3"/>
      <c r="IP960" s="3"/>
      <c r="IQ960" s="3"/>
      <c r="IR960" s="3"/>
      <c r="IS960" s="3"/>
      <c r="IT960" s="3"/>
      <c r="IU960" s="3"/>
      <c r="IV960" s="3"/>
      <c r="IW960" s="3"/>
      <c r="IX960" s="3"/>
      <c r="IY960" s="3"/>
      <c r="IZ960" s="3"/>
      <c r="JA960" s="3"/>
      <c r="JB960" s="3"/>
      <c r="JC960" s="3"/>
      <c r="JD960" s="3"/>
      <c r="JE960" s="3"/>
      <c r="JF960" s="3"/>
      <c r="JG960" s="3"/>
      <c r="JH960" s="3"/>
      <c r="JI960" s="3"/>
      <c r="JJ960" s="3"/>
      <c r="JK960" s="3"/>
      <c r="JL960" s="3"/>
      <c r="JM960" s="3"/>
      <c r="JN960" s="3"/>
      <c r="JO960" s="3"/>
      <c r="JP960" s="3"/>
      <c r="JQ960" s="3"/>
      <c r="JR960" s="3"/>
      <c r="JS960" s="3"/>
      <c r="JT960" s="3"/>
      <c r="JU960" s="3"/>
      <c r="JV960" s="3"/>
      <c r="JW960" s="3"/>
      <c r="JX960" s="3"/>
      <c r="JY960" s="3"/>
      <c r="JZ960" s="3"/>
      <c r="KA960" s="3"/>
      <c r="KB960" s="3"/>
      <c r="KC960" s="3"/>
      <c r="KD960" s="3"/>
      <c r="KE960" s="3"/>
      <c r="KF960" s="3"/>
      <c r="KG960" s="3"/>
      <c r="KH960" s="3"/>
      <c r="KI960" s="3"/>
      <c r="KJ960" s="3"/>
      <c r="KK960" s="3"/>
      <c r="KL960" s="3"/>
      <c r="KM960" s="3"/>
      <c r="KN960" s="3"/>
      <c r="KO960" s="3"/>
      <c r="KP960" s="3"/>
      <c r="KQ960" s="3"/>
      <c r="KR960" s="3"/>
      <c r="KS960" s="3"/>
      <c r="KT960" s="3"/>
      <c r="KU960" s="3"/>
      <c r="KV960" s="3"/>
      <c r="KW960" s="3"/>
      <c r="KX960" s="3"/>
      <c r="KY960" s="3"/>
      <c r="KZ960" s="3"/>
      <c r="LA960" s="3"/>
      <c r="LB960" s="3"/>
      <c r="LC960" s="3"/>
      <c r="LD960" s="3"/>
      <c r="LE960" s="3"/>
      <c r="LF960" s="3"/>
      <c r="LG960" s="3"/>
      <c r="LH960" s="3"/>
      <c r="LI960" s="3"/>
      <c r="LJ960" s="3"/>
      <c r="LK960" s="3"/>
      <c r="LL960" s="3"/>
      <c r="LM960" s="3"/>
      <c r="LN960" s="3"/>
      <c r="LO960" s="3"/>
      <c r="LP960" s="3"/>
      <c r="LQ960" s="3"/>
      <c r="LR960" s="3"/>
      <c r="LS960" s="3"/>
      <c r="LT960" s="3"/>
      <c r="LU960" s="3"/>
      <c r="LV960" s="3"/>
      <c r="LW960" s="3"/>
      <c r="LX960" s="3"/>
      <c r="LY960" s="3"/>
      <c r="LZ960" s="3"/>
      <c r="MA960" s="3"/>
      <c r="MB960" s="3"/>
      <c r="MC960" s="3"/>
      <c r="MD960" s="3"/>
      <c r="ME960" s="3"/>
      <c r="MF960" s="3"/>
      <c r="MG960" s="3"/>
      <c r="MH960" s="3"/>
      <c r="MI960" s="3"/>
    </row>
    <row r="961" spans="1:347"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c r="HX961" s="3"/>
      <c r="HY961" s="3"/>
      <c r="HZ961" s="3"/>
      <c r="IA961" s="3"/>
      <c r="IB961" s="3"/>
      <c r="IC961" s="3"/>
      <c r="ID961" s="3"/>
      <c r="IE961" s="3"/>
      <c r="IF961" s="3"/>
      <c r="IG961" s="3"/>
      <c r="IH961" s="3"/>
      <c r="II961" s="3"/>
      <c r="IJ961" s="3"/>
      <c r="IK961" s="3"/>
      <c r="IL961" s="3"/>
      <c r="IM961" s="3"/>
      <c r="IN961" s="3"/>
      <c r="IO961" s="3"/>
      <c r="IP961" s="3"/>
      <c r="IQ961" s="3"/>
      <c r="IR961" s="3"/>
      <c r="IS961" s="3"/>
      <c r="IT961" s="3"/>
      <c r="IU961" s="3"/>
      <c r="IV961" s="3"/>
      <c r="IW961" s="3"/>
      <c r="IX961" s="3"/>
      <c r="IY961" s="3"/>
      <c r="IZ961" s="3"/>
      <c r="JA961" s="3"/>
      <c r="JB961" s="3"/>
      <c r="JC961" s="3"/>
      <c r="JD961" s="3"/>
      <c r="JE961" s="3"/>
      <c r="JF961" s="3"/>
      <c r="JG961" s="3"/>
      <c r="JH961" s="3"/>
      <c r="JI961" s="3"/>
      <c r="JJ961" s="3"/>
      <c r="JK961" s="3"/>
      <c r="JL961" s="3"/>
      <c r="JM961" s="3"/>
      <c r="JN961" s="3"/>
      <c r="JO961" s="3"/>
      <c r="JP961" s="3"/>
      <c r="JQ961" s="3"/>
      <c r="JR961" s="3"/>
      <c r="JS961" s="3"/>
      <c r="JT961" s="3"/>
      <c r="JU961" s="3"/>
      <c r="JV961" s="3"/>
      <c r="JW961" s="3"/>
      <c r="JX961" s="3"/>
      <c r="JY961" s="3"/>
      <c r="JZ961" s="3"/>
      <c r="KA961" s="3"/>
      <c r="KB961" s="3"/>
      <c r="KC961" s="3"/>
      <c r="KD961" s="3"/>
      <c r="KE961" s="3"/>
      <c r="KF961" s="3"/>
      <c r="KG961" s="3"/>
      <c r="KH961" s="3"/>
      <c r="KI961" s="3"/>
      <c r="KJ961" s="3"/>
      <c r="KK961" s="3"/>
      <c r="KL961" s="3"/>
      <c r="KM961" s="3"/>
      <c r="KN961" s="3"/>
      <c r="KO961" s="3"/>
      <c r="KP961" s="3"/>
      <c r="KQ961" s="3"/>
      <c r="KR961" s="3"/>
      <c r="KS961" s="3"/>
      <c r="KT961" s="3"/>
      <c r="KU961" s="3"/>
      <c r="KV961" s="3"/>
      <c r="KW961" s="3"/>
      <c r="KX961" s="3"/>
      <c r="KY961" s="3"/>
      <c r="KZ961" s="3"/>
      <c r="LA961" s="3"/>
      <c r="LB961" s="3"/>
      <c r="LC961" s="3"/>
      <c r="LD961" s="3"/>
      <c r="LE961" s="3"/>
      <c r="LF961" s="3"/>
      <c r="LG961" s="3"/>
      <c r="LH961" s="3"/>
      <c r="LI961" s="3"/>
      <c r="LJ961" s="3"/>
      <c r="LK961" s="3"/>
      <c r="LL961" s="3"/>
      <c r="LM961" s="3"/>
      <c r="LN961" s="3"/>
      <c r="LO961" s="3"/>
      <c r="LP961" s="3"/>
      <c r="LQ961" s="3"/>
      <c r="LR961" s="3"/>
      <c r="LS961" s="3"/>
      <c r="LT961" s="3"/>
      <c r="LU961" s="3"/>
      <c r="LV961" s="3"/>
      <c r="LW961" s="3"/>
      <c r="LX961" s="3"/>
      <c r="LY961" s="3"/>
      <c r="LZ961" s="3"/>
      <c r="MA961" s="3"/>
      <c r="MB961" s="3"/>
      <c r="MC961" s="3"/>
      <c r="MD961" s="3"/>
      <c r="ME961" s="3"/>
      <c r="MF961" s="3"/>
      <c r="MG961" s="3"/>
      <c r="MH961" s="3"/>
      <c r="MI961" s="3"/>
    </row>
    <row r="962" spans="1:347"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c r="HX962" s="3"/>
      <c r="HY962" s="3"/>
      <c r="HZ962" s="3"/>
      <c r="IA962" s="3"/>
      <c r="IB962" s="3"/>
      <c r="IC962" s="3"/>
      <c r="ID962" s="3"/>
      <c r="IE962" s="3"/>
      <c r="IF962" s="3"/>
      <c r="IG962" s="3"/>
      <c r="IH962" s="3"/>
      <c r="II962" s="3"/>
      <c r="IJ962" s="3"/>
      <c r="IK962" s="3"/>
      <c r="IL962" s="3"/>
      <c r="IM962" s="3"/>
      <c r="IN962" s="3"/>
      <c r="IO962" s="3"/>
      <c r="IP962" s="3"/>
      <c r="IQ962" s="3"/>
      <c r="IR962" s="3"/>
      <c r="IS962" s="3"/>
      <c r="IT962" s="3"/>
      <c r="IU962" s="3"/>
      <c r="IV962" s="3"/>
      <c r="IW962" s="3"/>
      <c r="IX962" s="3"/>
      <c r="IY962" s="3"/>
      <c r="IZ962" s="3"/>
      <c r="JA962" s="3"/>
      <c r="JB962" s="3"/>
      <c r="JC962" s="3"/>
      <c r="JD962" s="3"/>
      <c r="JE962" s="3"/>
      <c r="JF962" s="3"/>
      <c r="JG962" s="3"/>
      <c r="JH962" s="3"/>
      <c r="JI962" s="3"/>
      <c r="JJ962" s="3"/>
      <c r="JK962" s="3"/>
      <c r="JL962" s="3"/>
      <c r="JM962" s="3"/>
      <c r="JN962" s="3"/>
      <c r="JO962" s="3"/>
      <c r="JP962" s="3"/>
      <c r="JQ962" s="3"/>
      <c r="JR962" s="3"/>
      <c r="JS962" s="3"/>
      <c r="JT962" s="3"/>
      <c r="JU962" s="3"/>
      <c r="JV962" s="3"/>
      <c r="JW962" s="3"/>
      <c r="JX962" s="3"/>
      <c r="JY962" s="3"/>
      <c r="JZ962" s="3"/>
      <c r="KA962" s="3"/>
      <c r="KB962" s="3"/>
      <c r="KC962" s="3"/>
      <c r="KD962" s="3"/>
      <c r="KE962" s="3"/>
      <c r="KF962" s="3"/>
      <c r="KG962" s="3"/>
      <c r="KH962" s="3"/>
      <c r="KI962" s="3"/>
      <c r="KJ962" s="3"/>
      <c r="KK962" s="3"/>
      <c r="KL962" s="3"/>
      <c r="KM962" s="3"/>
      <c r="KN962" s="3"/>
      <c r="KO962" s="3"/>
      <c r="KP962" s="3"/>
      <c r="KQ962" s="3"/>
      <c r="KR962" s="3"/>
      <c r="KS962" s="3"/>
      <c r="KT962" s="3"/>
      <c r="KU962" s="3"/>
      <c r="KV962" s="3"/>
      <c r="KW962" s="3"/>
      <c r="KX962" s="3"/>
      <c r="KY962" s="3"/>
      <c r="KZ962" s="3"/>
      <c r="LA962" s="3"/>
      <c r="LB962" s="3"/>
      <c r="LC962" s="3"/>
      <c r="LD962" s="3"/>
      <c r="LE962" s="3"/>
      <c r="LF962" s="3"/>
      <c r="LG962" s="3"/>
      <c r="LH962" s="3"/>
      <c r="LI962" s="3"/>
      <c r="LJ962" s="3"/>
      <c r="LK962" s="3"/>
      <c r="LL962" s="3"/>
      <c r="LM962" s="3"/>
      <c r="LN962" s="3"/>
      <c r="LO962" s="3"/>
      <c r="LP962" s="3"/>
      <c r="LQ962" s="3"/>
      <c r="LR962" s="3"/>
      <c r="LS962" s="3"/>
      <c r="LT962" s="3"/>
      <c r="LU962" s="3"/>
      <c r="LV962" s="3"/>
      <c r="LW962" s="3"/>
      <c r="LX962" s="3"/>
      <c r="LY962" s="3"/>
      <c r="LZ962" s="3"/>
      <c r="MA962" s="3"/>
      <c r="MB962" s="3"/>
      <c r="MC962" s="3"/>
      <c r="MD962" s="3"/>
      <c r="ME962" s="3"/>
      <c r="MF962" s="3"/>
      <c r="MG962" s="3"/>
      <c r="MH962" s="3"/>
      <c r="MI962" s="3"/>
    </row>
    <row r="963" spans="1:347"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c r="HX963" s="3"/>
      <c r="HY963" s="3"/>
      <c r="HZ963" s="3"/>
      <c r="IA963" s="3"/>
      <c r="IB963" s="3"/>
      <c r="IC963" s="3"/>
      <c r="ID963" s="3"/>
      <c r="IE963" s="3"/>
      <c r="IF963" s="3"/>
      <c r="IG963" s="3"/>
      <c r="IH963" s="3"/>
      <c r="II963" s="3"/>
      <c r="IJ963" s="3"/>
      <c r="IK963" s="3"/>
      <c r="IL963" s="3"/>
      <c r="IM963" s="3"/>
      <c r="IN963" s="3"/>
      <c r="IO963" s="3"/>
      <c r="IP963" s="3"/>
      <c r="IQ963" s="3"/>
      <c r="IR963" s="3"/>
      <c r="IS963" s="3"/>
      <c r="IT963" s="3"/>
      <c r="IU963" s="3"/>
      <c r="IV963" s="3"/>
      <c r="IW963" s="3"/>
      <c r="IX963" s="3"/>
      <c r="IY963" s="3"/>
      <c r="IZ963" s="3"/>
      <c r="JA963" s="3"/>
      <c r="JB963" s="3"/>
      <c r="JC963" s="3"/>
      <c r="JD963" s="3"/>
      <c r="JE963" s="3"/>
      <c r="JF963" s="3"/>
      <c r="JG963" s="3"/>
      <c r="JH963" s="3"/>
      <c r="JI963" s="3"/>
      <c r="JJ963" s="3"/>
      <c r="JK963" s="3"/>
      <c r="JL963" s="3"/>
      <c r="JM963" s="3"/>
      <c r="JN963" s="3"/>
      <c r="JO963" s="3"/>
      <c r="JP963" s="3"/>
      <c r="JQ963" s="3"/>
      <c r="JR963" s="3"/>
      <c r="JS963" s="3"/>
      <c r="JT963" s="3"/>
      <c r="JU963" s="3"/>
      <c r="JV963" s="3"/>
      <c r="JW963" s="3"/>
      <c r="JX963" s="3"/>
      <c r="JY963" s="3"/>
      <c r="JZ963" s="3"/>
      <c r="KA963" s="3"/>
      <c r="KB963" s="3"/>
      <c r="KC963" s="3"/>
      <c r="KD963" s="3"/>
      <c r="KE963" s="3"/>
      <c r="KF963" s="3"/>
      <c r="KG963" s="3"/>
      <c r="KH963" s="3"/>
      <c r="KI963" s="3"/>
      <c r="KJ963" s="3"/>
      <c r="KK963" s="3"/>
      <c r="KL963" s="3"/>
      <c r="KM963" s="3"/>
      <c r="KN963" s="3"/>
      <c r="KO963" s="3"/>
      <c r="KP963" s="3"/>
      <c r="KQ963" s="3"/>
      <c r="KR963" s="3"/>
      <c r="KS963" s="3"/>
      <c r="KT963" s="3"/>
      <c r="KU963" s="3"/>
      <c r="KV963" s="3"/>
      <c r="KW963" s="3"/>
      <c r="KX963" s="3"/>
      <c r="KY963" s="3"/>
      <c r="KZ963" s="3"/>
      <c r="LA963" s="3"/>
      <c r="LB963" s="3"/>
      <c r="LC963" s="3"/>
      <c r="LD963" s="3"/>
      <c r="LE963" s="3"/>
      <c r="LF963" s="3"/>
      <c r="LG963" s="3"/>
      <c r="LH963" s="3"/>
      <c r="LI963" s="3"/>
      <c r="LJ963" s="3"/>
      <c r="LK963" s="3"/>
      <c r="LL963" s="3"/>
      <c r="LM963" s="3"/>
      <c r="LN963" s="3"/>
      <c r="LO963" s="3"/>
      <c r="LP963" s="3"/>
      <c r="LQ963" s="3"/>
      <c r="LR963" s="3"/>
      <c r="LS963" s="3"/>
      <c r="LT963" s="3"/>
      <c r="LU963" s="3"/>
      <c r="LV963" s="3"/>
      <c r="LW963" s="3"/>
      <c r="LX963" s="3"/>
      <c r="LY963" s="3"/>
      <c r="LZ963" s="3"/>
      <c r="MA963" s="3"/>
      <c r="MB963" s="3"/>
      <c r="MC963" s="3"/>
      <c r="MD963" s="3"/>
      <c r="ME963" s="3"/>
      <c r="MF963" s="3"/>
      <c r="MG963" s="3"/>
      <c r="MH963" s="3"/>
      <c r="MI963" s="3"/>
    </row>
    <row r="964" spans="1:347"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c r="HX964" s="3"/>
      <c r="HY964" s="3"/>
      <c r="HZ964" s="3"/>
      <c r="IA964" s="3"/>
      <c r="IB964" s="3"/>
      <c r="IC964" s="3"/>
      <c r="ID964" s="3"/>
      <c r="IE964" s="3"/>
      <c r="IF964" s="3"/>
      <c r="IG964" s="3"/>
      <c r="IH964" s="3"/>
      <c r="II964" s="3"/>
      <c r="IJ964" s="3"/>
      <c r="IK964" s="3"/>
      <c r="IL964" s="3"/>
      <c r="IM964" s="3"/>
      <c r="IN964" s="3"/>
      <c r="IO964" s="3"/>
      <c r="IP964" s="3"/>
      <c r="IQ964" s="3"/>
      <c r="IR964" s="3"/>
      <c r="IS964" s="3"/>
      <c r="IT964" s="3"/>
      <c r="IU964" s="3"/>
      <c r="IV964" s="3"/>
      <c r="IW964" s="3"/>
      <c r="IX964" s="3"/>
      <c r="IY964" s="3"/>
      <c r="IZ964" s="3"/>
      <c r="JA964" s="3"/>
      <c r="JB964" s="3"/>
      <c r="JC964" s="3"/>
      <c r="JD964" s="3"/>
      <c r="JE964" s="3"/>
      <c r="JF964" s="3"/>
      <c r="JG964" s="3"/>
      <c r="JH964" s="3"/>
      <c r="JI964" s="3"/>
      <c r="JJ964" s="3"/>
      <c r="JK964" s="3"/>
      <c r="JL964" s="3"/>
      <c r="JM964" s="3"/>
      <c r="JN964" s="3"/>
      <c r="JO964" s="3"/>
      <c r="JP964" s="3"/>
      <c r="JQ964" s="3"/>
      <c r="JR964" s="3"/>
      <c r="JS964" s="3"/>
      <c r="JT964" s="3"/>
      <c r="JU964" s="3"/>
      <c r="JV964" s="3"/>
      <c r="JW964" s="3"/>
      <c r="JX964" s="3"/>
      <c r="JY964" s="3"/>
      <c r="JZ964" s="3"/>
      <c r="KA964" s="3"/>
      <c r="KB964" s="3"/>
      <c r="KC964" s="3"/>
      <c r="KD964" s="3"/>
      <c r="KE964" s="3"/>
      <c r="KF964" s="3"/>
      <c r="KG964" s="3"/>
      <c r="KH964" s="3"/>
      <c r="KI964" s="3"/>
      <c r="KJ964" s="3"/>
      <c r="KK964" s="3"/>
      <c r="KL964" s="3"/>
      <c r="KM964" s="3"/>
      <c r="KN964" s="3"/>
      <c r="KO964" s="3"/>
      <c r="KP964" s="3"/>
      <c r="KQ964" s="3"/>
      <c r="KR964" s="3"/>
      <c r="KS964" s="3"/>
      <c r="KT964" s="3"/>
      <c r="KU964" s="3"/>
      <c r="KV964" s="3"/>
      <c r="KW964" s="3"/>
      <c r="KX964" s="3"/>
      <c r="KY964" s="3"/>
      <c r="KZ964" s="3"/>
      <c r="LA964" s="3"/>
      <c r="LB964" s="3"/>
      <c r="LC964" s="3"/>
      <c r="LD964" s="3"/>
      <c r="LE964" s="3"/>
      <c r="LF964" s="3"/>
      <c r="LG964" s="3"/>
      <c r="LH964" s="3"/>
      <c r="LI964" s="3"/>
      <c r="LJ964" s="3"/>
      <c r="LK964" s="3"/>
      <c r="LL964" s="3"/>
      <c r="LM964" s="3"/>
      <c r="LN964" s="3"/>
      <c r="LO964" s="3"/>
      <c r="LP964" s="3"/>
      <c r="LQ964" s="3"/>
      <c r="LR964" s="3"/>
      <c r="LS964" s="3"/>
      <c r="LT964" s="3"/>
      <c r="LU964" s="3"/>
      <c r="LV964" s="3"/>
      <c r="LW964" s="3"/>
      <c r="LX964" s="3"/>
      <c r="LY964" s="3"/>
      <c r="LZ964" s="3"/>
      <c r="MA964" s="3"/>
      <c r="MB964" s="3"/>
      <c r="MC964" s="3"/>
      <c r="MD964" s="3"/>
      <c r="ME964" s="3"/>
      <c r="MF964" s="3"/>
      <c r="MG964" s="3"/>
      <c r="MH964" s="3"/>
      <c r="MI964" s="3"/>
    </row>
    <row r="965" spans="1:347"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c r="HX965" s="3"/>
      <c r="HY965" s="3"/>
      <c r="HZ965" s="3"/>
      <c r="IA965" s="3"/>
      <c r="IB965" s="3"/>
      <c r="IC965" s="3"/>
      <c r="ID965" s="3"/>
      <c r="IE965" s="3"/>
      <c r="IF965" s="3"/>
      <c r="IG965" s="3"/>
      <c r="IH965" s="3"/>
      <c r="II965" s="3"/>
      <c r="IJ965" s="3"/>
      <c r="IK965" s="3"/>
      <c r="IL965" s="3"/>
      <c r="IM965" s="3"/>
      <c r="IN965" s="3"/>
      <c r="IO965" s="3"/>
      <c r="IP965" s="3"/>
      <c r="IQ965" s="3"/>
      <c r="IR965" s="3"/>
      <c r="IS965" s="3"/>
      <c r="IT965" s="3"/>
      <c r="IU965" s="3"/>
      <c r="IV965" s="3"/>
      <c r="IW965" s="3"/>
      <c r="IX965" s="3"/>
      <c r="IY965" s="3"/>
      <c r="IZ965" s="3"/>
      <c r="JA965" s="3"/>
      <c r="JB965" s="3"/>
      <c r="JC965" s="3"/>
      <c r="JD965" s="3"/>
      <c r="JE965" s="3"/>
      <c r="JF965" s="3"/>
      <c r="JG965" s="3"/>
      <c r="JH965" s="3"/>
      <c r="JI965" s="3"/>
      <c r="JJ965" s="3"/>
      <c r="JK965" s="3"/>
      <c r="JL965" s="3"/>
      <c r="JM965" s="3"/>
      <c r="JN965" s="3"/>
      <c r="JO965" s="3"/>
      <c r="JP965" s="3"/>
      <c r="JQ965" s="3"/>
      <c r="JR965" s="3"/>
      <c r="JS965" s="3"/>
      <c r="JT965" s="3"/>
      <c r="JU965" s="3"/>
      <c r="JV965" s="3"/>
      <c r="JW965" s="3"/>
      <c r="JX965" s="3"/>
      <c r="JY965" s="3"/>
      <c r="JZ965" s="3"/>
      <c r="KA965" s="3"/>
      <c r="KB965" s="3"/>
      <c r="KC965" s="3"/>
      <c r="KD965" s="3"/>
      <c r="KE965" s="3"/>
      <c r="KF965" s="3"/>
      <c r="KG965" s="3"/>
      <c r="KH965" s="3"/>
      <c r="KI965" s="3"/>
      <c r="KJ965" s="3"/>
      <c r="KK965" s="3"/>
      <c r="KL965" s="3"/>
      <c r="KM965" s="3"/>
      <c r="KN965" s="3"/>
      <c r="KO965" s="3"/>
      <c r="KP965" s="3"/>
      <c r="KQ965" s="3"/>
      <c r="KR965" s="3"/>
      <c r="KS965" s="3"/>
      <c r="KT965" s="3"/>
      <c r="KU965" s="3"/>
      <c r="KV965" s="3"/>
      <c r="KW965" s="3"/>
      <c r="KX965" s="3"/>
      <c r="KY965" s="3"/>
      <c r="KZ965" s="3"/>
      <c r="LA965" s="3"/>
      <c r="LB965" s="3"/>
      <c r="LC965" s="3"/>
      <c r="LD965" s="3"/>
      <c r="LE965" s="3"/>
      <c r="LF965" s="3"/>
      <c r="LG965" s="3"/>
      <c r="LH965" s="3"/>
      <c r="LI965" s="3"/>
      <c r="LJ965" s="3"/>
      <c r="LK965" s="3"/>
      <c r="LL965" s="3"/>
      <c r="LM965" s="3"/>
      <c r="LN965" s="3"/>
      <c r="LO965" s="3"/>
      <c r="LP965" s="3"/>
      <c r="LQ965" s="3"/>
      <c r="LR965" s="3"/>
      <c r="LS965" s="3"/>
      <c r="LT965" s="3"/>
      <c r="LU965" s="3"/>
      <c r="LV965" s="3"/>
      <c r="LW965" s="3"/>
      <c r="LX965" s="3"/>
      <c r="LY965" s="3"/>
      <c r="LZ965" s="3"/>
      <c r="MA965" s="3"/>
      <c r="MB965" s="3"/>
      <c r="MC965" s="3"/>
      <c r="MD965" s="3"/>
      <c r="ME965" s="3"/>
      <c r="MF965" s="3"/>
      <c r="MG965" s="3"/>
      <c r="MH965" s="3"/>
      <c r="MI965" s="3"/>
    </row>
    <row r="966" spans="1:347"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c r="HX966" s="3"/>
      <c r="HY966" s="3"/>
      <c r="HZ966" s="3"/>
      <c r="IA966" s="3"/>
      <c r="IB966" s="3"/>
      <c r="IC966" s="3"/>
      <c r="ID966" s="3"/>
      <c r="IE966" s="3"/>
      <c r="IF966" s="3"/>
      <c r="IG966" s="3"/>
      <c r="IH966" s="3"/>
      <c r="II966" s="3"/>
      <c r="IJ966" s="3"/>
      <c r="IK966" s="3"/>
      <c r="IL966" s="3"/>
      <c r="IM966" s="3"/>
      <c r="IN966" s="3"/>
      <c r="IO966" s="3"/>
      <c r="IP966" s="3"/>
      <c r="IQ966" s="3"/>
      <c r="IR966" s="3"/>
      <c r="IS966" s="3"/>
      <c r="IT966" s="3"/>
      <c r="IU966" s="3"/>
      <c r="IV966" s="3"/>
      <c r="IW966" s="3"/>
      <c r="IX966" s="3"/>
      <c r="IY966" s="3"/>
      <c r="IZ966" s="3"/>
      <c r="JA966" s="3"/>
      <c r="JB966" s="3"/>
      <c r="JC966" s="3"/>
      <c r="JD966" s="3"/>
      <c r="JE966" s="3"/>
      <c r="JF966" s="3"/>
      <c r="JG966" s="3"/>
      <c r="JH966" s="3"/>
      <c r="JI966" s="3"/>
      <c r="JJ966" s="3"/>
      <c r="JK966" s="3"/>
      <c r="JL966" s="3"/>
      <c r="JM966" s="3"/>
      <c r="JN966" s="3"/>
      <c r="JO966" s="3"/>
      <c r="JP966" s="3"/>
      <c r="JQ966" s="3"/>
      <c r="JR966" s="3"/>
      <c r="JS966" s="3"/>
      <c r="JT966" s="3"/>
      <c r="JU966" s="3"/>
      <c r="JV966" s="3"/>
      <c r="JW966" s="3"/>
      <c r="JX966" s="3"/>
      <c r="JY966" s="3"/>
      <c r="JZ966" s="3"/>
      <c r="KA966" s="3"/>
      <c r="KB966" s="3"/>
      <c r="KC966" s="3"/>
      <c r="KD966" s="3"/>
      <c r="KE966" s="3"/>
      <c r="KF966" s="3"/>
      <c r="KG966" s="3"/>
      <c r="KH966" s="3"/>
      <c r="KI966" s="3"/>
      <c r="KJ966" s="3"/>
      <c r="KK966" s="3"/>
      <c r="KL966" s="3"/>
      <c r="KM966" s="3"/>
      <c r="KN966" s="3"/>
      <c r="KO966" s="3"/>
      <c r="KP966" s="3"/>
      <c r="KQ966" s="3"/>
      <c r="KR966" s="3"/>
      <c r="KS966" s="3"/>
      <c r="KT966" s="3"/>
      <c r="KU966" s="3"/>
      <c r="KV966" s="3"/>
      <c r="KW966" s="3"/>
      <c r="KX966" s="3"/>
      <c r="KY966" s="3"/>
      <c r="KZ966" s="3"/>
      <c r="LA966" s="3"/>
      <c r="LB966" s="3"/>
      <c r="LC966" s="3"/>
      <c r="LD966" s="3"/>
      <c r="LE966" s="3"/>
      <c r="LF966" s="3"/>
      <c r="LG966" s="3"/>
      <c r="LH966" s="3"/>
      <c r="LI966" s="3"/>
      <c r="LJ966" s="3"/>
      <c r="LK966" s="3"/>
      <c r="LL966" s="3"/>
      <c r="LM966" s="3"/>
      <c r="LN966" s="3"/>
      <c r="LO966" s="3"/>
      <c r="LP966" s="3"/>
      <c r="LQ966" s="3"/>
      <c r="LR966" s="3"/>
      <c r="LS966" s="3"/>
      <c r="LT966" s="3"/>
      <c r="LU966" s="3"/>
      <c r="LV966" s="3"/>
      <c r="LW966" s="3"/>
      <c r="LX966" s="3"/>
      <c r="LY966" s="3"/>
      <c r="LZ966" s="3"/>
      <c r="MA966" s="3"/>
      <c r="MB966" s="3"/>
      <c r="MC966" s="3"/>
      <c r="MD966" s="3"/>
      <c r="ME966" s="3"/>
      <c r="MF966" s="3"/>
      <c r="MG966" s="3"/>
      <c r="MH966" s="3"/>
      <c r="MI966" s="3"/>
    </row>
    <row r="967" spans="1:347"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c r="HX967" s="3"/>
      <c r="HY967" s="3"/>
      <c r="HZ967" s="3"/>
      <c r="IA967" s="3"/>
      <c r="IB967" s="3"/>
      <c r="IC967" s="3"/>
      <c r="ID967" s="3"/>
      <c r="IE967" s="3"/>
      <c r="IF967" s="3"/>
      <c r="IG967" s="3"/>
      <c r="IH967" s="3"/>
      <c r="II967" s="3"/>
      <c r="IJ967" s="3"/>
      <c r="IK967" s="3"/>
      <c r="IL967" s="3"/>
      <c r="IM967" s="3"/>
      <c r="IN967" s="3"/>
      <c r="IO967" s="3"/>
      <c r="IP967" s="3"/>
      <c r="IQ967" s="3"/>
      <c r="IR967" s="3"/>
      <c r="IS967" s="3"/>
      <c r="IT967" s="3"/>
      <c r="IU967" s="3"/>
      <c r="IV967" s="3"/>
      <c r="IW967" s="3"/>
      <c r="IX967" s="3"/>
      <c r="IY967" s="3"/>
      <c r="IZ967" s="3"/>
      <c r="JA967" s="3"/>
      <c r="JB967" s="3"/>
      <c r="JC967" s="3"/>
      <c r="JD967" s="3"/>
      <c r="JE967" s="3"/>
      <c r="JF967" s="3"/>
      <c r="JG967" s="3"/>
      <c r="JH967" s="3"/>
      <c r="JI967" s="3"/>
      <c r="JJ967" s="3"/>
      <c r="JK967" s="3"/>
      <c r="JL967" s="3"/>
      <c r="JM967" s="3"/>
      <c r="JN967" s="3"/>
      <c r="JO967" s="3"/>
      <c r="JP967" s="3"/>
      <c r="JQ967" s="3"/>
      <c r="JR967" s="3"/>
      <c r="JS967" s="3"/>
      <c r="JT967" s="3"/>
      <c r="JU967" s="3"/>
      <c r="JV967" s="3"/>
      <c r="JW967" s="3"/>
      <c r="JX967" s="3"/>
      <c r="JY967" s="3"/>
      <c r="JZ967" s="3"/>
      <c r="KA967" s="3"/>
      <c r="KB967" s="3"/>
      <c r="KC967" s="3"/>
      <c r="KD967" s="3"/>
      <c r="KE967" s="3"/>
      <c r="KF967" s="3"/>
      <c r="KG967" s="3"/>
      <c r="KH967" s="3"/>
      <c r="KI967" s="3"/>
      <c r="KJ967" s="3"/>
      <c r="KK967" s="3"/>
      <c r="KL967" s="3"/>
      <c r="KM967" s="3"/>
      <c r="KN967" s="3"/>
      <c r="KO967" s="3"/>
      <c r="KP967" s="3"/>
      <c r="KQ967" s="3"/>
      <c r="KR967" s="3"/>
      <c r="KS967" s="3"/>
      <c r="KT967" s="3"/>
      <c r="KU967" s="3"/>
      <c r="KV967" s="3"/>
      <c r="KW967" s="3"/>
      <c r="KX967" s="3"/>
      <c r="KY967" s="3"/>
      <c r="KZ967" s="3"/>
      <c r="LA967" s="3"/>
      <c r="LB967" s="3"/>
      <c r="LC967" s="3"/>
      <c r="LD967" s="3"/>
      <c r="LE967" s="3"/>
      <c r="LF967" s="3"/>
      <c r="LG967" s="3"/>
      <c r="LH967" s="3"/>
      <c r="LI967" s="3"/>
      <c r="LJ967" s="3"/>
      <c r="LK967" s="3"/>
      <c r="LL967" s="3"/>
      <c r="LM967" s="3"/>
      <c r="LN967" s="3"/>
      <c r="LO967" s="3"/>
      <c r="LP967" s="3"/>
      <c r="LQ967" s="3"/>
      <c r="LR967" s="3"/>
      <c r="LS967" s="3"/>
      <c r="LT967" s="3"/>
      <c r="LU967" s="3"/>
      <c r="LV967" s="3"/>
      <c r="LW967" s="3"/>
      <c r="LX967" s="3"/>
      <c r="LY967" s="3"/>
      <c r="LZ967" s="3"/>
      <c r="MA967" s="3"/>
      <c r="MB967" s="3"/>
      <c r="MC967" s="3"/>
      <c r="MD967" s="3"/>
      <c r="ME967" s="3"/>
      <c r="MF967" s="3"/>
      <c r="MG967" s="3"/>
      <c r="MH967" s="3"/>
      <c r="MI967" s="3"/>
    </row>
    <row r="968" spans="1:347"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c r="HX968" s="3"/>
      <c r="HY968" s="3"/>
      <c r="HZ968" s="3"/>
      <c r="IA968" s="3"/>
      <c r="IB968" s="3"/>
      <c r="IC968" s="3"/>
      <c r="ID968" s="3"/>
      <c r="IE968" s="3"/>
      <c r="IF968" s="3"/>
      <c r="IG968" s="3"/>
      <c r="IH968" s="3"/>
      <c r="II968" s="3"/>
      <c r="IJ968" s="3"/>
      <c r="IK968" s="3"/>
      <c r="IL968" s="3"/>
      <c r="IM968" s="3"/>
      <c r="IN968" s="3"/>
      <c r="IO968" s="3"/>
      <c r="IP968" s="3"/>
      <c r="IQ968" s="3"/>
      <c r="IR968" s="3"/>
      <c r="IS968" s="3"/>
      <c r="IT968" s="3"/>
      <c r="IU968" s="3"/>
      <c r="IV968" s="3"/>
      <c r="IW968" s="3"/>
      <c r="IX968" s="3"/>
      <c r="IY968" s="3"/>
      <c r="IZ968" s="3"/>
      <c r="JA968" s="3"/>
      <c r="JB968" s="3"/>
      <c r="JC968" s="3"/>
      <c r="JD968" s="3"/>
      <c r="JE968" s="3"/>
      <c r="JF968" s="3"/>
      <c r="JG968" s="3"/>
      <c r="JH968" s="3"/>
      <c r="JI968" s="3"/>
      <c r="JJ968" s="3"/>
      <c r="JK968" s="3"/>
      <c r="JL968" s="3"/>
      <c r="JM968" s="3"/>
      <c r="JN968" s="3"/>
      <c r="JO968" s="3"/>
      <c r="JP968" s="3"/>
      <c r="JQ968" s="3"/>
      <c r="JR968" s="3"/>
      <c r="JS968" s="3"/>
      <c r="JT968" s="3"/>
      <c r="JU968" s="3"/>
      <c r="JV968" s="3"/>
      <c r="JW968" s="3"/>
      <c r="JX968" s="3"/>
      <c r="JY968" s="3"/>
      <c r="JZ968" s="3"/>
      <c r="KA968" s="3"/>
      <c r="KB968" s="3"/>
      <c r="KC968" s="3"/>
      <c r="KD968" s="3"/>
      <c r="KE968" s="3"/>
      <c r="KF968" s="3"/>
      <c r="KG968" s="3"/>
      <c r="KH968" s="3"/>
      <c r="KI968" s="3"/>
      <c r="KJ968" s="3"/>
      <c r="KK968" s="3"/>
      <c r="KL968" s="3"/>
      <c r="KM968" s="3"/>
      <c r="KN968" s="3"/>
      <c r="KO968" s="3"/>
      <c r="KP968" s="3"/>
      <c r="KQ968" s="3"/>
      <c r="KR968" s="3"/>
      <c r="KS968" s="3"/>
      <c r="KT968" s="3"/>
      <c r="KU968" s="3"/>
      <c r="KV968" s="3"/>
      <c r="KW968" s="3"/>
      <c r="KX968" s="3"/>
      <c r="KY968" s="3"/>
      <c r="KZ968" s="3"/>
      <c r="LA968" s="3"/>
      <c r="LB968" s="3"/>
      <c r="LC968" s="3"/>
      <c r="LD968" s="3"/>
      <c r="LE968" s="3"/>
      <c r="LF968" s="3"/>
      <c r="LG968" s="3"/>
      <c r="LH968" s="3"/>
      <c r="LI968" s="3"/>
      <c r="LJ968" s="3"/>
      <c r="LK968" s="3"/>
      <c r="LL968" s="3"/>
      <c r="LM968" s="3"/>
      <c r="LN968" s="3"/>
      <c r="LO968" s="3"/>
      <c r="LP968" s="3"/>
      <c r="LQ968" s="3"/>
      <c r="LR968" s="3"/>
      <c r="LS968" s="3"/>
      <c r="LT968" s="3"/>
      <c r="LU968" s="3"/>
      <c r="LV968" s="3"/>
      <c r="LW968" s="3"/>
      <c r="LX968" s="3"/>
      <c r="LY968" s="3"/>
      <c r="LZ968" s="3"/>
      <c r="MA968" s="3"/>
      <c r="MB968" s="3"/>
      <c r="MC968" s="3"/>
      <c r="MD968" s="3"/>
      <c r="ME968" s="3"/>
      <c r="MF968" s="3"/>
      <c r="MG968" s="3"/>
      <c r="MH968" s="3"/>
      <c r="MI968" s="3"/>
    </row>
    <row r="969" spans="1:347"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c r="HX969" s="3"/>
      <c r="HY969" s="3"/>
      <c r="HZ969" s="3"/>
      <c r="IA969" s="3"/>
      <c r="IB969" s="3"/>
      <c r="IC969" s="3"/>
      <c r="ID969" s="3"/>
      <c r="IE969" s="3"/>
      <c r="IF969" s="3"/>
      <c r="IG969" s="3"/>
      <c r="IH969" s="3"/>
      <c r="II969" s="3"/>
      <c r="IJ969" s="3"/>
      <c r="IK969" s="3"/>
      <c r="IL969" s="3"/>
      <c r="IM969" s="3"/>
      <c r="IN969" s="3"/>
      <c r="IO969" s="3"/>
      <c r="IP969" s="3"/>
      <c r="IQ969" s="3"/>
      <c r="IR969" s="3"/>
      <c r="IS969" s="3"/>
      <c r="IT969" s="3"/>
      <c r="IU969" s="3"/>
      <c r="IV969" s="3"/>
      <c r="IW969" s="3"/>
      <c r="IX969" s="3"/>
      <c r="IY969" s="3"/>
      <c r="IZ969" s="3"/>
      <c r="JA969" s="3"/>
      <c r="JB969" s="3"/>
      <c r="JC969" s="3"/>
      <c r="JD969" s="3"/>
      <c r="JE969" s="3"/>
      <c r="JF969" s="3"/>
      <c r="JG969" s="3"/>
      <c r="JH969" s="3"/>
      <c r="JI969" s="3"/>
      <c r="JJ969" s="3"/>
      <c r="JK969" s="3"/>
      <c r="JL969" s="3"/>
      <c r="JM969" s="3"/>
      <c r="JN969" s="3"/>
      <c r="JO969" s="3"/>
      <c r="JP969" s="3"/>
      <c r="JQ969" s="3"/>
      <c r="JR969" s="3"/>
      <c r="JS969" s="3"/>
      <c r="JT969" s="3"/>
      <c r="JU969" s="3"/>
      <c r="JV969" s="3"/>
      <c r="JW969" s="3"/>
      <c r="JX969" s="3"/>
      <c r="JY969" s="3"/>
      <c r="JZ969" s="3"/>
      <c r="KA969" s="3"/>
      <c r="KB969" s="3"/>
      <c r="KC969" s="3"/>
      <c r="KD969" s="3"/>
      <c r="KE969" s="3"/>
      <c r="KF969" s="3"/>
      <c r="KG969" s="3"/>
      <c r="KH969" s="3"/>
      <c r="KI969" s="3"/>
      <c r="KJ969" s="3"/>
      <c r="KK969" s="3"/>
      <c r="KL969" s="3"/>
      <c r="KM969" s="3"/>
      <c r="KN969" s="3"/>
      <c r="KO969" s="3"/>
      <c r="KP969" s="3"/>
      <c r="KQ969" s="3"/>
      <c r="KR969" s="3"/>
      <c r="KS969" s="3"/>
      <c r="KT969" s="3"/>
      <c r="KU969" s="3"/>
      <c r="KV969" s="3"/>
      <c r="KW969" s="3"/>
      <c r="KX969" s="3"/>
      <c r="KY969" s="3"/>
      <c r="KZ969" s="3"/>
      <c r="LA969" s="3"/>
      <c r="LB969" s="3"/>
      <c r="LC969" s="3"/>
      <c r="LD969" s="3"/>
      <c r="LE969" s="3"/>
      <c r="LF969" s="3"/>
      <c r="LG969" s="3"/>
      <c r="LH969" s="3"/>
      <c r="LI969" s="3"/>
      <c r="LJ969" s="3"/>
      <c r="LK969" s="3"/>
      <c r="LL969" s="3"/>
      <c r="LM969" s="3"/>
      <c r="LN969" s="3"/>
      <c r="LO969" s="3"/>
      <c r="LP969" s="3"/>
      <c r="LQ969" s="3"/>
      <c r="LR969" s="3"/>
      <c r="LS969" s="3"/>
      <c r="LT969" s="3"/>
      <c r="LU969" s="3"/>
      <c r="LV969" s="3"/>
      <c r="LW969" s="3"/>
      <c r="LX969" s="3"/>
      <c r="LY969" s="3"/>
      <c r="LZ969" s="3"/>
      <c r="MA969" s="3"/>
      <c r="MB969" s="3"/>
      <c r="MC969" s="3"/>
      <c r="MD969" s="3"/>
      <c r="ME969" s="3"/>
      <c r="MF969" s="3"/>
      <c r="MG969" s="3"/>
      <c r="MH969" s="3"/>
      <c r="MI969" s="3"/>
    </row>
    <row r="970" spans="1:347"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c r="HX970" s="3"/>
      <c r="HY970" s="3"/>
      <c r="HZ970" s="3"/>
      <c r="IA970" s="3"/>
      <c r="IB970" s="3"/>
      <c r="IC970" s="3"/>
      <c r="ID970" s="3"/>
      <c r="IE970" s="3"/>
      <c r="IF970" s="3"/>
      <c r="IG970" s="3"/>
      <c r="IH970" s="3"/>
      <c r="II970" s="3"/>
      <c r="IJ970" s="3"/>
      <c r="IK970" s="3"/>
      <c r="IL970" s="3"/>
      <c r="IM970" s="3"/>
      <c r="IN970" s="3"/>
      <c r="IO970" s="3"/>
      <c r="IP970" s="3"/>
      <c r="IQ970" s="3"/>
      <c r="IR970" s="3"/>
      <c r="IS970" s="3"/>
      <c r="IT970" s="3"/>
      <c r="IU970" s="3"/>
      <c r="IV970" s="3"/>
      <c r="IW970" s="3"/>
      <c r="IX970" s="3"/>
      <c r="IY970" s="3"/>
      <c r="IZ970" s="3"/>
      <c r="JA970" s="3"/>
      <c r="JB970" s="3"/>
      <c r="JC970" s="3"/>
      <c r="JD970" s="3"/>
      <c r="JE970" s="3"/>
      <c r="JF970" s="3"/>
      <c r="JG970" s="3"/>
      <c r="JH970" s="3"/>
      <c r="JI970" s="3"/>
      <c r="JJ970" s="3"/>
      <c r="JK970" s="3"/>
      <c r="JL970" s="3"/>
      <c r="JM970" s="3"/>
      <c r="JN970" s="3"/>
      <c r="JO970" s="3"/>
      <c r="JP970" s="3"/>
      <c r="JQ970" s="3"/>
      <c r="JR970" s="3"/>
      <c r="JS970" s="3"/>
      <c r="JT970" s="3"/>
      <c r="JU970" s="3"/>
      <c r="JV970" s="3"/>
      <c r="JW970" s="3"/>
      <c r="JX970" s="3"/>
      <c r="JY970" s="3"/>
      <c r="JZ970" s="3"/>
      <c r="KA970" s="3"/>
      <c r="KB970" s="3"/>
      <c r="KC970" s="3"/>
      <c r="KD970" s="3"/>
      <c r="KE970" s="3"/>
      <c r="KF970" s="3"/>
      <c r="KG970" s="3"/>
      <c r="KH970" s="3"/>
      <c r="KI970" s="3"/>
      <c r="KJ970" s="3"/>
      <c r="KK970" s="3"/>
      <c r="KL970" s="3"/>
      <c r="KM970" s="3"/>
      <c r="KN970" s="3"/>
      <c r="KO970" s="3"/>
      <c r="KP970" s="3"/>
      <c r="KQ970" s="3"/>
      <c r="KR970" s="3"/>
      <c r="KS970" s="3"/>
      <c r="KT970" s="3"/>
      <c r="KU970" s="3"/>
      <c r="KV970" s="3"/>
      <c r="KW970" s="3"/>
      <c r="KX970" s="3"/>
      <c r="KY970" s="3"/>
      <c r="KZ970" s="3"/>
      <c r="LA970" s="3"/>
      <c r="LB970" s="3"/>
      <c r="LC970" s="3"/>
      <c r="LD970" s="3"/>
      <c r="LE970" s="3"/>
      <c r="LF970" s="3"/>
      <c r="LG970" s="3"/>
      <c r="LH970" s="3"/>
      <c r="LI970" s="3"/>
      <c r="LJ970" s="3"/>
      <c r="LK970" s="3"/>
      <c r="LL970" s="3"/>
      <c r="LM970" s="3"/>
      <c r="LN970" s="3"/>
      <c r="LO970" s="3"/>
      <c r="LP970" s="3"/>
      <c r="LQ970" s="3"/>
      <c r="LR970" s="3"/>
      <c r="LS970" s="3"/>
      <c r="LT970" s="3"/>
      <c r="LU970" s="3"/>
      <c r="LV970" s="3"/>
      <c r="LW970" s="3"/>
      <c r="LX970" s="3"/>
      <c r="LY970" s="3"/>
      <c r="LZ970" s="3"/>
      <c r="MA970" s="3"/>
      <c r="MB970" s="3"/>
      <c r="MC970" s="3"/>
      <c r="MD970" s="3"/>
      <c r="ME970" s="3"/>
      <c r="MF970" s="3"/>
      <c r="MG970" s="3"/>
      <c r="MH970" s="3"/>
      <c r="MI970" s="3"/>
    </row>
    <row r="971" spans="1:347"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c r="HX971" s="3"/>
      <c r="HY971" s="3"/>
      <c r="HZ971" s="3"/>
      <c r="IA971" s="3"/>
      <c r="IB971" s="3"/>
      <c r="IC971" s="3"/>
      <c r="ID971" s="3"/>
      <c r="IE971" s="3"/>
      <c r="IF971" s="3"/>
      <c r="IG971" s="3"/>
      <c r="IH971" s="3"/>
      <c r="II971" s="3"/>
      <c r="IJ971" s="3"/>
      <c r="IK971" s="3"/>
      <c r="IL971" s="3"/>
      <c r="IM971" s="3"/>
      <c r="IN971" s="3"/>
      <c r="IO971" s="3"/>
      <c r="IP971" s="3"/>
      <c r="IQ971" s="3"/>
      <c r="IR971" s="3"/>
      <c r="IS971" s="3"/>
      <c r="IT971" s="3"/>
      <c r="IU971" s="3"/>
      <c r="IV971" s="3"/>
      <c r="IW971" s="3"/>
      <c r="IX971" s="3"/>
      <c r="IY971" s="3"/>
      <c r="IZ971" s="3"/>
      <c r="JA971" s="3"/>
      <c r="JB971" s="3"/>
      <c r="JC971" s="3"/>
      <c r="JD971" s="3"/>
      <c r="JE971" s="3"/>
      <c r="JF971" s="3"/>
      <c r="JG971" s="3"/>
      <c r="JH971" s="3"/>
      <c r="JI971" s="3"/>
      <c r="JJ971" s="3"/>
      <c r="JK971" s="3"/>
      <c r="JL971" s="3"/>
      <c r="JM971" s="3"/>
      <c r="JN971" s="3"/>
      <c r="JO971" s="3"/>
      <c r="JP971" s="3"/>
      <c r="JQ971" s="3"/>
      <c r="JR971" s="3"/>
      <c r="JS971" s="3"/>
      <c r="JT971" s="3"/>
      <c r="JU971" s="3"/>
      <c r="JV971" s="3"/>
      <c r="JW971" s="3"/>
      <c r="JX971" s="3"/>
      <c r="JY971" s="3"/>
      <c r="JZ971" s="3"/>
      <c r="KA971" s="3"/>
      <c r="KB971" s="3"/>
      <c r="KC971" s="3"/>
      <c r="KD971" s="3"/>
      <c r="KE971" s="3"/>
      <c r="KF971" s="3"/>
      <c r="KG971" s="3"/>
      <c r="KH971" s="3"/>
      <c r="KI971" s="3"/>
      <c r="KJ971" s="3"/>
      <c r="KK971" s="3"/>
      <c r="KL971" s="3"/>
      <c r="KM971" s="3"/>
      <c r="KN971" s="3"/>
      <c r="KO971" s="3"/>
      <c r="KP971" s="3"/>
      <c r="KQ971" s="3"/>
      <c r="KR971" s="3"/>
      <c r="KS971" s="3"/>
      <c r="KT971" s="3"/>
      <c r="KU971" s="3"/>
      <c r="KV971" s="3"/>
      <c r="KW971" s="3"/>
      <c r="KX971" s="3"/>
      <c r="KY971" s="3"/>
      <c r="KZ971" s="3"/>
      <c r="LA971" s="3"/>
      <c r="LB971" s="3"/>
      <c r="LC971" s="3"/>
      <c r="LD971" s="3"/>
      <c r="LE971" s="3"/>
      <c r="LF971" s="3"/>
      <c r="LG971" s="3"/>
      <c r="LH971" s="3"/>
      <c r="LI971" s="3"/>
      <c r="LJ971" s="3"/>
      <c r="LK971" s="3"/>
      <c r="LL971" s="3"/>
      <c r="LM971" s="3"/>
      <c r="LN971" s="3"/>
      <c r="LO971" s="3"/>
      <c r="LP971" s="3"/>
      <c r="LQ971" s="3"/>
      <c r="LR971" s="3"/>
      <c r="LS971" s="3"/>
      <c r="LT971" s="3"/>
      <c r="LU971" s="3"/>
      <c r="LV971" s="3"/>
      <c r="LW971" s="3"/>
      <c r="LX971" s="3"/>
      <c r="LY971" s="3"/>
      <c r="LZ971" s="3"/>
      <c r="MA971" s="3"/>
      <c r="MB971" s="3"/>
      <c r="MC971" s="3"/>
      <c r="MD971" s="3"/>
      <c r="ME971" s="3"/>
      <c r="MF971" s="3"/>
      <c r="MG971" s="3"/>
      <c r="MH971" s="3"/>
      <c r="MI971" s="3"/>
    </row>
    <row r="972" spans="1:347"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c r="HX972" s="3"/>
      <c r="HY972" s="3"/>
      <c r="HZ972" s="3"/>
      <c r="IA972" s="3"/>
      <c r="IB972" s="3"/>
      <c r="IC972" s="3"/>
      <c r="ID972" s="3"/>
      <c r="IE972" s="3"/>
      <c r="IF972" s="3"/>
      <c r="IG972" s="3"/>
      <c r="IH972" s="3"/>
      <c r="II972" s="3"/>
      <c r="IJ972" s="3"/>
      <c r="IK972" s="3"/>
      <c r="IL972" s="3"/>
      <c r="IM972" s="3"/>
      <c r="IN972" s="3"/>
      <c r="IO972" s="3"/>
      <c r="IP972" s="3"/>
      <c r="IQ972" s="3"/>
      <c r="IR972" s="3"/>
      <c r="IS972" s="3"/>
      <c r="IT972" s="3"/>
      <c r="IU972" s="3"/>
      <c r="IV972" s="3"/>
      <c r="IW972" s="3"/>
      <c r="IX972" s="3"/>
      <c r="IY972" s="3"/>
      <c r="IZ972" s="3"/>
      <c r="JA972" s="3"/>
      <c r="JB972" s="3"/>
      <c r="JC972" s="3"/>
      <c r="JD972" s="3"/>
      <c r="JE972" s="3"/>
      <c r="JF972" s="3"/>
      <c r="JG972" s="3"/>
      <c r="JH972" s="3"/>
      <c r="JI972" s="3"/>
      <c r="JJ972" s="3"/>
      <c r="JK972" s="3"/>
      <c r="JL972" s="3"/>
      <c r="JM972" s="3"/>
      <c r="JN972" s="3"/>
      <c r="JO972" s="3"/>
      <c r="JP972" s="3"/>
      <c r="JQ972" s="3"/>
      <c r="JR972" s="3"/>
      <c r="JS972" s="3"/>
      <c r="JT972" s="3"/>
      <c r="JU972" s="3"/>
      <c r="JV972" s="3"/>
      <c r="JW972" s="3"/>
      <c r="JX972" s="3"/>
      <c r="JY972" s="3"/>
      <c r="JZ972" s="3"/>
      <c r="KA972" s="3"/>
      <c r="KB972" s="3"/>
      <c r="KC972" s="3"/>
      <c r="KD972" s="3"/>
      <c r="KE972" s="3"/>
      <c r="KF972" s="3"/>
      <c r="KG972" s="3"/>
      <c r="KH972" s="3"/>
      <c r="KI972" s="3"/>
      <c r="KJ972" s="3"/>
      <c r="KK972" s="3"/>
      <c r="KL972" s="3"/>
      <c r="KM972" s="3"/>
      <c r="KN972" s="3"/>
      <c r="KO972" s="3"/>
      <c r="KP972" s="3"/>
      <c r="KQ972" s="3"/>
      <c r="KR972" s="3"/>
      <c r="KS972" s="3"/>
      <c r="KT972" s="3"/>
      <c r="KU972" s="3"/>
      <c r="KV972" s="3"/>
      <c r="KW972" s="3"/>
      <c r="KX972" s="3"/>
      <c r="KY972" s="3"/>
      <c r="KZ972" s="3"/>
      <c r="LA972" s="3"/>
      <c r="LB972" s="3"/>
      <c r="LC972" s="3"/>
      <c r="LD972" s="3"/>
      <c r="LE972" s="3"/>
      <c r="LF972" s="3"/>
      <c r="LG972" s="3"/>
      <c r="LH972" s="3"/>
      <c r="LI972" s="3"/>
      <c r="LJ972" s="3"/>
      <c r="LK972" s="3"/>
      <c r="LL972" s="3"/>
      <c r="LM972" s="3"/>
      <c r="LN972" s="3"/>
      <c r="LO972" s="3"/>
      <c r="LP972" s="3"/>
      <c r="LQ972" s="3"/>
      <c r="LR972" s="3"/>
      <c r="LS972" s="3"/>
      <c r="LT972" s="3"/>
      <c r="LU972" s="3"/>
      <c r="LV972" s="3"/>
      <c r="LW972" s="3"/>
      <c r="LX972" s="3"/>
      <c r="LY972" s="3"/>
      <c r="LZ972" s="3"/>
      <c r="MA972" s="3"/>
      <c r="MB972" s="3"/>
      <c r="MC972" s="3"/>
      <c r="MD972" s="3"/>
      <c r="ME972" s="3"/>
      <c r="MF972" s="3"/>
      <c r="MG972" s="3"/>
      <c r="MH972" s="3"/>
      <c r="MI972" s="3"/>
    </row>
    <row r="973" spans="1:347"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c r="HX973" s="3"/>
      <c r="HY973" s="3"/>
      <c r="HZ973" s="3"/>
      <c r="IA973" s="3"/>
      <c r="IB973" s="3"/>
      <c r="IC973" s="3"/>
      <c r="ID973" s="3"/>
      <c r="IE973" s="3"/>
      <c r="IF973" s="3"/>
      <c r="IG973" s="3"/>
      <c r="IH973" s="3"/>
      <c r="II973" s="3"/>
      <c r="IJ973" s="3"/>
      <c r="IK973" s="3"/>
      <c r="IL973" s="3"/>
      <c r="IM973" s="3"/>
      <c r="IN973" s="3"/>
      <c r="IO973" s="3"/>
      <c r="IP973" s="3"/>
      <c r="IQ973" s="3"/>
      <c r="IR973" s="3"/>
      <c r="IS973" s="3"/>
      <c r="IT973" s="3"/>
      <c r="IU973" s="3"/>
      <c r="IV973" s="3"/>
      <c r="IW973" s="3"/>
      <c r="IX973" s="3"/>
      <c r="IY973" s="3"/>
      <c r="IZ973" s="3"/>
      <c r="JA973" s="3"/>
      <c r="JB973" s="3"/>
      <c r="JC973" s="3"/>
      <c r="JD973" s="3"/>
      <c r="JE973" s="3"/>
      <c r="JF973" s="3"/>
      <c r="JG973" s="3"/>
      <c r="JH973" s="3"/>
      <c r="JI973" s="3"/>
      <c r="JJ973" s="3"/>
      <c r="JK973" s="3"/>
      <c r="JL973" s="3"/>
      <c r="JM973" s="3"/>
      <c r="JN973" s="3"/>
      <c r="JO973" s="3"/>
      <c r="JP973" s="3"/>
      <c r="JQ973" s="3"/>
      <c r="JR973" s="3"/>
      <c r="JS973" s="3"/>
      <c r="JT973" s="3"/>
      <c r="JU973" s="3"/>
      <c r="JV973" s="3"/>
      <c r="JW973" s="3"/>
      <c r="JX973" s="3"/>
      <c r="JY973" s="3"/>
      <c r="JZ973" s="3"/>
      <c r="KA973" s="3"/>
      <c r="KB973" s="3"/>
      <c r="KC973" s="3"/>
      <c r="KD973" s="3"/>
      <c r="KE973" s="3"/>
      <c r="KF973" s="3"/>
      <c r="KG973" s="3"/>
      <c r="KH973" s="3"/>
      <c r="KI973" s="3"/>
      <c r="KJ973" s="3"/>
      <c r="KK973" s="3"/>
      <c r="KL973" s="3"/>
      <c r="KM973" s="3"/>
      <c r="KN973" s="3"/>
      <c r="KO973" s="3"/>
      <c r="KP973" s="3"/>
      <c r="KQ973" s="3"/>
      <c r="KR973" s="3"/>
      <c r="KS973" s="3"/>
      <c r="KT973" s="3"/>
      <c r="KU973" s="3"/>
      <c r="KV973" s="3"/>
      <c r="KW973" s="3"/>
      <c r="KX973" s="3"/>
      <c r="KY973" s="3"/>
      <c r="KZ973" s="3"/>
      <c r="LA973" s="3"/>
      <c r="LB973" s="3"/>
      <c r="LC973" s="3"/>
      <c r="LD973" s="3"/>
      <c r="LE973" s="3"/>
      <c r="LF973" s="3"/>
      <c r="LG973" s="3"/>
      <c r="LH973" s="3"/>
      <c r="LI973" s="3"/>
      <c r="LJ973" s="3"/>
      <c r="LK973" s="3"/>
      <c r="LL973" s="3"/>
      <c r="LM973" s="3"/>
      <c r="LN973" s="3"/>
      <c r="LO973" s="3"/>
      <c r="LP973" s="3"/>
      <c r="LQ973" s="3"/>
      <c r="LR973" s="3"/>
      <c r="LS973" s="3"/>
      <c r="LT973" s="3"/>
      <c r="LU973" s="3"/>
      <c r="LV973" s="3"/>
      <c r="LW973" s="3"/>
      <c r="LX973" s="3"/>
      <c r="LY973" s="3"/>
      <c r="LZ973" s="3"/>
      <c r="MA973" s="3"/>
      <c r="MB973" s="3"/>
      <c r="MC973" s="3"/>
      <c r="MD973" s="3"/>
      <c r="ME973" s="3"/>
      <c r="MF973" s="3"/>
      <c r="MG973" s="3"/>
      <c r="MH973" s="3"/>
      <c r="MI973" s="3"/>
    </row>
    <row r="974" spans="1:347"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c r="HX974" s="3"/>
      <c r="HY974" s="3"/>
      <c r="HZ974" s="3"/>
      <c r="IA974" s="3"/>
      <c r="IB974" s="3"/>
      <c r="IC974" s="3"/>
      <c r="ID974" s="3"/>
      <c r="IE974" s="3"/>
      <c r="IF974" s="3"/>
      <c r="IG974" s="3"/>
      <c r="IH974" s="3"/>
      <c r="II974" s="3"/>
      <c r="IJ974" s="3"/>
      <c r="IK974" s="3"/>
      <c r="IL974" s="3"/>
      <c r="IM974" s="3"/>
      <c r="IN974" s="3"/>
      <c r="IO974" s="3"/>
      <c r="IP974" s="3"/>
      <c r="IQ974" s="3"/>
      <c r="IR974" s="3"/>
      <c r="IS974" s="3"/>
      <c r="IT974" s="3"/>
      <c r="IU974" s="3"/>
      <c r="IV974" s="3"/>
      <c r="IW974" s="3"/>
      <c r="IX974" s="3"/>
      <c r="IY974" s="3"/>
      <c r="IZ974" s="3"/>
      <c r="JA974" s="3"/>
      <c r="JB974" s="3"/>
      <c r="JC974" s="3"/>
      <c r="JD974" s="3"/>
      <c r="JE974" s="3"/>
      <c r="JF974" s="3"/>
      <c r="JG974" s="3"/>
      <c r="JH974" s="3"/>
      <c r="JI974" s="3"/>
      <c r="JJ974" s="3"/>
      <c r="JK974" s="3"/>
      <c r="JL974" s="3"/>
      <c r="JM974" s="3"/>
      <c r="JN974" s="3"/>
      <c r="JO974" s="3"/>
      <c r="JP974" s="3"/>
      <c r="JQ974" s="3"/>
      <c r="JR974" s="3"/>
      <c r="JS974" s="3"/>
      <c r="JT974" s="3"/>
      <c r="JU974" s="3"/>
      <c r="JV974" s="3"/>
      <c r="JW974" s="3"/>
      <c r="JX974" s="3"/>
      <c r="JY974" s="3"/>
      <c r="JZ974" s="3"/>
      <c r="KA974" s="3"/>
      <c r="KB974" s="3"/>
      <c r="KC974" s="3"/>
      <c r="KD974" s="3"/>
      <c r="KE974" s="3"/>
      <c r="KF974" s="3"/>
      <c r="KG974" s="3"/>
      <c r="KH974" s="3"/>
      <c r="KI974" s="3"/>
      <c r="KJ974" s="3"/>
      <c r="KK974" s="3"/>
      <c r="KL974" s="3"/>
      <c r="KM974" s="3"/>
      <c r="KN974" s="3"/>
      <c r="KO974" s="3"/>
      <c r="KP974" s="3"/>
      <c r="KQ974" s="3"/>
      <c r="KR974" s="3"/>
      <c r="KS974" s="3"/>
      <c r="KT974" s="3"/>
      <c r="KU974" s="3"/>
      <c r="KV974" s="3"/>
      <c r="KW974" s="3"/>
      <c r="KX974" s="3"/>
      <c r="KY974" s="3"/>
      <c r="KZ974" s="3"/>
      <c r="LA974" s="3"/>
      <c r="LB974" s="3"/>
      <c r="LC974" s="3"/>
      <c r="LD974" s="3"/>
      <c r="LE974" s="3"/>
      <c r="LF974" s="3"/>
      <c r="LG974" s="3"/>
      <c r="LH974" s="3"/>
      <c r="LI974" s="3"/>
      <c r="LJ974" s="3"/>
      <c r="LK974" s="3"/>
      <c r="LL974" s="3"/>
      <c r="LM974" s="3"/>
      <c r="LN974" s="3"/>
      <c r="LO974" s="3"/>
      <c r="LP974" s="3"/>
      <c r="LQ974" s="3"/>
      <c r="LR974" s="3"/>
      <c r="LS974" s="3"/>
      <c r="LT974" s="3"/>
      <c r="LU974" s="3"/>
      <c r="LV974" s="3"/>
      <c r="LW974" s="3"/>
      <c r="LX974" s="3"/>
      <c r="LY974" s="3"/>
      <c r="LZ974" s="3"/>
      <c r="MA974" s="3"/>
      <c r="MB974" s="3"/>
      <c r="MC974" s="3"/>
      <c r="MD974" s="3"/>
      <c r="ME974" s="3"/>
      <c r="MF974" s="3"/>
      <c r="MG974" s="3"/>
      <c r="MH974" s="3"/>
      <c r="MI974" s="3"/>
    </row>
    <row r="975" spans="1:347"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c r="HX975" s="3"/>
      <c r="HY975" s="3"/>
      <c r="HZ975" s="3"/>
      <c r="IA975" s="3"/>
      <c r="IB975" s="3"/>
      <c r="IC975" s="3"/>
      <c r="ID975" s="3"/>
      <c r="IE975" s="3"/>
      <c r="IF975" s="3"/>
      <c r="IG975" s="3"/>
      <c r="IH975" s="3"/>
      <c r="II975" s="3"/>
      <c r="IJ975" s="3"/>
      <c r="IK975" s="3"/>
      <c r="IL975" s="3"/>
      <c r="IM975" s="3"/>
      <c r="IN975" s="3"/>
      <c r="IO975" s="3"/>
      <c r="IP975" s="3"/>
      <c r="IQ975" s="3"/>
      <c r="IR975" s="3"/>
      <c r="IS975" s="3"/>
      <c r="IT975" s="3"/>
      <c r="IU975" s="3"/>
      <c r="IV975" s="3"/>
      <c r="IW975" s="3"/>
      <c r="IX975" s="3"/>
      <c r="IY975" s="3"/>
      <c r="IZ975" s="3"/>
      <c r="JA975" s="3"/>
      <c r="JB975" s="3"/>
      <c r="JC975" s="3"/>
      <c r="JD975" s="3"/>
      <c r="JE975" s="3"/>
      <c r="JF975" s="3"/>
      <c r="JG975" s="3"/>
      <c r="JH975" s="3"/>
      <c r="JI975" s="3"/>
      <c r="JJ975" s="3"/>
      <c r="JK975" s="3"/>
      <c r="JL975" s="3"/>
      <c r="JM975" s="3"/>
      <c r="JN975" s="3"/>
      <c r="JO975" s="3"/>
      <c r="JP975" s="3"/>
      <c r="JQ975" s="3"/>
      <c r="JR975" s="3"/>
      <c r="JS975" s="3"/>
      <c r="JT975" s="3"/>
      <c r="JU975" s="3"/>
      <c r="JV975" s="3"/>
      <c r="JW975" s="3"/>
      <c r="JX975" s="3"/>
      <c r="JY975" s="3"/>
      <c r="JZ975" s="3"/>
      <c r="KA975" s="3"/>
      <c r="KB975" s="3"/>
      <c r="KC975" s="3"/>
      <c r="KD975" s="3"/>
      <c r="KE975" s="3"/>
      <c r="KF975" s="3"/>
      <c r="KG975" s="3"/>
      <c r="KH975" s="3"/>
      <c r="KI975" s="3"/>
      <c r="KJ975" s="3"/>
      <c r="KK975" s="3"/>
      <c r="KL975" s="3"/>
      <c r="KM975" s="3"/>
      <c r="KN975" s="3"/>
      <c r="KO975" s="3"/>
      <c r="KP975" s="3"/>
      <c r="KQ975" s="3"/>
      <c r="KR975" s="3"/>
      <c r="KS975" s="3"/>
      <c r="KT975" s="3"/>
      <c r="KU975" s="3"/>
      <c r="KV975" s="3"/>
      <c r="KW975" s="3"/>
      <c r="KX975" s="3"/>
      <c r="KY975" s="3"/>
      <c r="KZ975" s="3"/>
      <c r="LA975" s="3"/>
      <c r="LB975" s="3"/>
      <c r="LC975" s="3"/>
      <c r="LD975" s="3"/>
      <c r="LE975" s="3"/>
      <c r="LF975" s="3"/>
      <c r="LG975" s="3"/>
      <c r="LH975" s="3"/>
      <c r="LI975" s="3"/>
      <c r="LJ975" s="3"/>
      <c r="LK975" s="3"/>
      <c r="LL975" s="3"/>
      <c r="LM975" s="3"/>
      <c r="LN975" s="3"/>
      <c r="LO975" s="3"/>
      <c r="LP975" s="3"/>
      <c r="LQ975" s="3"/>
      <c r="LR975" s="3"/>
      <c r="LS975" s="3"/>
      <c r="LT975" s="3"/>
      <c r="LU975" s="3"/>
      <c r="LV975" s="3"/>
      <c r="LW975" s="3"/>
      <c r="LX975" s="3"/>
      <c r="LY975" s="3"/>
      <c r="LZ975" s="3"/>
      <c r="MA975" s="3"/>
      <c r="MB975" s="3"/>
      <c r="MC975" s="3"/>
      <c r="MD975" s="3"/>
      <c r="ME975" s="3"/>
      <c r="MF975" s="3"/>
      <c r="MG975" s="3"/>
      <c r="MH975" s="3"/>
      <c r="MI975" s="3"/>
    </row>
    <row r="976" spans="1:347"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c r="HX976" s="3"/>
      <c r="HY976" s="3"/>
      <c r="HZ976" s="3"/>
      <c r="IA976" s="3"/>
      <c r="IB976" s="3"/>
      <c r="IC976" s="3"/>
      <c r="ID976" s="3"/>
      <c r="IE976" s="3"/>
      <c r="IF976" s="3"/>
      <c r="IG976" s="3"/>
      <c r="IH976" s="3"/>
      <c r="II976" s="3"/>
      <c r="IJ976" s="3"/>
      <c r="IK976" s="3"/>
      <c r="IL976" s="3"/>
      <c r="IM976" s="3"/>
      <c r="IN976" s="3"/>
      <c r="IO976" s="3"/>
      <c r="IP976" s="3"/>
      <c r="IQ976" s="3"/>
      <c r="IR976" s="3"/>
      <c r="IS976" s="3"/>
      <c r="IT976" s="3"/>
      <c r="IU976" s="3"/>
      <c r="IV976" s="3"/>
      <c r="IW976" s="3"/>
      <c r="IX976" s="3"/>
      <c r="IY976" s="3"/>
      <c r="IZ976" s="3"/>
      <c r="JA976" s="3"/>
      <c r="JB976" s="3"/>
      <c r="JC976" s="3"/>
      <c r="JD976" s="3"/>
      <c r="JE976" s="3"/>
      <c r="JF976" s="3"/>
      <c r="JG976" s="3"/>
      <c r="JH976" s="3"/>
      <c r="JI976" s="3"/>
      <c r="JJ976" s="3"/>
      <c r="JK976" s="3"/>
      <c r="JL976" s="3"/>
      <c r="JM976" s="3"/>
      <c r="JN976" s="3"/>
      <c r="JO976" s="3"/>
      <c r="JP976" s="3"/>
      <c r="JQ976" s="3"/>
      <c r="JR976" s="3"/>
      <c r="JS976" s="3"/>
      <c r="JT976" s="3"/>
      <c r="JU976" s="3"/>
      <c r="JV976" s="3"/>
      <c r="JW976" s="3"/>
      <c r="JX976" s="3"/>
      <c r="JY976" s="3"/>
      <c r="JZ976" s="3"/>
      <c r="KA976" s="3"/>
      <c r="KB976" s="3"/>
      <c r="KC976" s="3"/>
      <c r="KD976" s="3"/>
      <c r="KE976" s="3"/>
      <c r="KF976" s="3"/>
      <c r="KG976" s="3"/>
      <c r="KH976" s="3"/>
      <c r="KI976" s="3"/>
      <c r="KJ976" s="3"/>
      <c r="KK976" s="3"/>
      <c r="KL976" s="3"/>
      <c r="KM976" s="3"/>
      <c r="KN976" s="3"/>
      <c r="KO976" s="3"/>
      <c r="KP976" s="3"/>
      <c r="KQ976" s="3"/>
      <c r="KR976" s="3"/>
      <c r="KS976" s="3"/>
      <c r="KT976" s="3"/>
      <c r="KU976" s="3"/>
      <c r="KV976" s="3"/>
      <c r="KW976" s="3"/>
      <c r="KX976" s="3"/>
      <c r="KY976" s="3"/>
      <c r="KZ976" s="3"/>
      <c r="LA976" s="3"/>
      <c r="LB976" s="3"/>
      <c r="LC976" s="3"/>
      <c r="LD976" s="3"/>
      <c r="LE976" s="3"/>
      <c r="LF976" s="3"/>
      <c r="LG976" s="3"/>
      <c r="LH976" s="3"/>
      <c r="LI976" s="3"/>
      <c r="LJ976" s="3"/>
      <c r="LK976" s="3"/>
      <c r="LL976" s="3"/>
      <c r="LM976" s="3"/>
      <c r="LN976" s="3"/>
      <c r="LO976" s="3"/>
      <c r="LP976" s="3"/>
      <c r="LQ976" s="3"/>
      <c r="LR976" s="3"/>
      <c r="LS976" s="3"/>
      <c r="LT976" s="3"/>
      <c r="LU976" s="3"/>
      <c r="LV976" s="3"/>
      <c r="LW976" s="3"/>
      <c r="LX976" s="3"/>
      <c r="LY976" s="3"/>
      <c r="LZ976" s="3"/>
      <c r="MA976" s="3"/>
      <c r="MB976" s="3"/>
      <c r="MC976" s="3"/>
      <c r="MD976" s="3"/>
      <c r="ME976" s="3"/>
      <c r="MF976" s="3"/>
      <c r="MG976" s="3"/>
      <c r="MH976" s="3"/>
      <c r="MI976" s="3"/>
    </row>
    <row r="977" spans="1:347"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c r="HX977" s="3"/>
      <c r="HY977" s="3"/>
      <c r="HZ977" s="3"/>
      <c r="IA977" s="3"/>
      <c r="IB977" s="3"/>
      <c r="IC977" s="3"/>
      <c r="ID977" s="3"/>
      <c r="IE977" s="3"/>
      <c r="IF977" s="3"/>
      <c r="IG977" s="3"/>
      <c r="IH977" s="3"/>
      <c r="II977" s="3"/>
      <c r="IJ977" s="3"/>
      <c r="IK977" s="3"/>
      <c r="IL977" s="3"/>
      <c r="IM977" s="3"/>
      <c r="IN977" s="3"/>
      <c r="IO977" s="3"/>
      <c r="IP977" s="3"/>
      <c r="IQ977" s="3"/>
      <c r="IR977" s="3"/>
      <c r="IS977" s="3"/>
      <c r="IT977" s="3"/>
      <c r="IU977" s="3"/>
      <c r="IV977" s="3"/>
      <c r="IW977" s="3"/>
      <c r="IX977" s="3"/>
      <c r="IY977" s="3"/>
      <c r="IZ977" s="3"/>
      <c r="JA977" s="3"/>
      <c r="JB977" s="3"/>
      <c r="JC977" s="3"/>
      <c r="JD977" s="3"/>
      <c r="JE977" s="3"/>
      <c r="JF977" s="3"/>
      <c r="JG977" s="3"/>
      <c r="JH977" s="3"/>
      <c r="JI977" s="3"/>
      <c r="JJ977" s="3"/>
      <c r="JK977" s="3"/>
      <c r="JL977" s="3"/>
      <c r="JM977" s="3"/>
      <c r="JN977" s="3"/>
      <c r="JO977" s="3"/>
      <c r="JP977" s="3"/>
      <c r="JQ977" s="3"/>
      <c r="JR977" s="3"/>
      <c r="JS977" s="3"/>
      <c r="JT977" s="3"/>
      <c r="JU977" s="3"/>
      <c r="JV977" s="3"/>
      <c r="JW977" s="3"/>
      <c r="JX977" s="3"/>
      <c r="JY977" s="3"/>
      <c r="JZ977" s="3"/>
      <c r="KA977" s="3"/>
      <c r="KB977" s="3"/>
      <c r="KC977" s="3"/>
      <c r="KD977" s="3"/>
      <c r="KE977" s="3"/>
      <c r="KF977" s="3"/>
      <c r="KG977" s="3"/>
      <c r="KH977" s="3"/>
      <c r="KI977" s="3"/>
      <c r="KJ977" s="3"/>
      <c r="KK977" s="3"/>
      <c r="KL977" s="3"/>
      <c r="KM977" s="3"/>
      <c r="KN977" s="3"/>
      <c r="KO977" s="3"/>
      <c r="KP977" s="3"/>
      <c r="KQ977" s="3"/>
      <c r="KR977" s="3"/>
      <c r="KS977" s="3"/>
      <c r="KT977" s="3"/>
      <c r="KU977" s="3"/>
      <c r="KV977" s="3"/>
      <c r="KW977" s="3"/>
      <c r="KX977" s="3"/>
      <c r="KY977" s="3"/>
      <c r="KZ977" s="3"/>
      <c r="LA977" s="3"/>
      <c r="LB977" s="3"/>
      <c r="LC977" s="3"/>
      <c r="LD977" s="3"/>
      <c r="LE977" s="3"/>
      <c r="LF977" s="3"/>
      <c r="LG977" s="3"/>
      <c r="LH977" s="3"/>
      <c r="LI977" s="3"/>
      <c r="LJ977" s="3"/>
      <c r="LK977" s="3"/>
      <c r="LL977" s="3"/>
      <c r="LM977" s="3"/>
      <c r="LN977" s="3"/>
      <c r="LO977" s="3"/>
      <c r="LP977" s="3"/>
      <c r="LQ977" s="3"/>
      <c r="LR977" s="3"/>
      <c r="LS977" s="3"/>
      <c r="LT977" s="3"/>
      <c r="LU977" s="3"/>
      <c r="LV977" s="3"/>
      <c r="LW977" s="3"/>
      <c r="LX977" s="3"/>
      <c r="LY977" s="3"/>
      <c r="LZ977" s="3"/>
      <c r="MA977" s="3"/>
      <c r="MB977" s="3"/>
      <c r="MC977" s="3"/>
      <c r="MD977" s="3"/>
      <c r="ME977" s="3"/>
      <c r="MF977" s="3"/>
      <c r="MG977" s="3"/>
      <c r="MH977" s="3"/>
      <c r="MI977" s="3"/>
    </row>
    <row r="978" spans="1:347"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c r="HX978" s="3"/>
      <c r="HY978" s="3"/>
      <c r="HZ978" s="3"/>
      <c r="IA978" s="3"/>
      <c r="IB978" s="3"/>
      <c r="IC978" s="3"/>
      <c r="ID978" s="3"/>
      <c r="IE978" s="3"/>
      <c r="IF978" s="3"/>
      <c r="IG978" s="3"/>
      <c r="IH978" s="3"/>
      <c r="II978" s="3"/>
      <c r="IJ978" s="3"/>
      <c r="IK978" s="3"/>
      <c r="IL978" s="3"/>
      <c r="IM978" s="3"/>
      <c r="IN978" s="3"/>
      <c r="IO978" s="3"/>
      <c r="IP978" s="3"/>
      <c r="IQ978" s="3"/>
      <c r="IR978" s="3"/>
      <c r="IS978" s="3"/>
      <c r="IT978" s="3"/>
      <c r="IU978" s="3"/>
      <c r="IV978" s="3"/>
      <c r="IW978" s="3"/>
      <c r="IX978" s="3"/>
      <c r="IY978" s="3"/>
      <c r="IZ978" s="3"/>
      <c r="JA978" s="3"/>
      <c r="JB978" s="3"/>
      <c r="JC978" s="3"/>
      <c r="JD978" s="3"/>
      <c r="JE978" s="3"/>
      <c r="JF978" s="3"/>
      <c r="JG978" s="3"/>
      <c r="JH978" s="3"/>
      <c r="JI978" s="3"/>
      <c r="JJ978" s="3"/>
      <c r="JK978" s="3"/>
      <c r="JL978" s="3"/>
      <c r="JM978" s="3"/>
      <c r="JN978" s="3"/>
      <c r="JO978" s="3"/>
      <c r="JP978" s="3"/>
      <c r="JQ978" s="3"/>
      <c r="JR978" s="3"/>
      <c r="JS978" s="3"/>
      <c r="JT978" s="3"/>
      <c r="JU978" s="3"/>
      <c r="JV978" s="3"/>
      <c r="JW978" s="3"/>
      <c r="JX978" s="3"/>
      <c r="JY978" s="3"/>
      <c r="JZ978" s="3"/>
      <c r="KA978" s="3"/>
      <c r="KB978" s="3"/>
      <c r="KC978" s="3"/>
      <c r="KD978" s="3"/>
      <c r="KE978" s="3"/>
      <c r="KF978" s="3"/>
      <c r="KG978" s="3"/>
      <c r="KH978" s="3"/>
      <c r="KI978" s="3"/>
      <c r="KJ978" s="3"/>
      <c r="KK978" s="3"/>
      <c r="KL978" s="3"/>
      <c r="KM978" s="3"/>
      <c r="KN978" s="3"/>
      <c r="KO978" s="3"/>
      <c r="KP978" s="3"/>
      <c r="KQ978" s="3"/>
      <c r="KR978" s="3"/>
      <c r="KS978" s="3"/>
      <c r="KT978" s="3"/>
      <c r="KU978" s="3"/>
      <c r="KV978" s="3"/>
      <c r="KW978" s="3"/>
      <c r="KX978" s="3"/>
      <c r="KY978" s="3"/>
      <c r="KZ978" s="3"/>
      <c r="LA978" s="3"/>
      <c r="LB978" s="3"/>
      <c r="LC978" s="3"/>
      <c r="LD978" s="3"/>
      <c r="LE978" s="3"/>
      <c r="LF978" s="3"/>
      <c r="LG978" s="3"/>
      <c r="LH978" s="3"/>
      <c r="LI978" s="3"/>
      <c r="LJ978" s="3"/>
      <c r="LK978" s="3"/>
      <c r="LL978" s="3"/>
      <c r="LM978" s="3"/>
      <c r="LN978" s="3"/>
      <c r="LO978" s="3"/>
      <c r="LP978" s="3"/>
      <c r="LQ978" s="3"/>
      <c r="LR978" s="3"/>
      <c r="LS978" s="3"/>
      <c r="LT978" s="3"/>
      <c r="LU978" s="3"/>
      <c r="LV978" s="3"/>
      <c r="LW978" s="3"/>
      <c r="LX978" s="3"/>
      <c r="LY978" s="3"/>
      <c r="LZ978" s="3"/>
      <c r="MA978" s="3"/>
      <c r="MB978" s="3"/>
      <c r="MC978" s="3"/>
      <c r="MD978" s="3"/>
      <c r="ME978" s="3"/>
      <c r="MF978" s="3"/>
      <c r="MG978" s="3"/>
      <c r="MH978" s="3"/>
      <c r="MI978" s="3"/>
    </row>
    <row r="979" spans="1:347"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c r="HX979" s="3"/>
      <c r="HY979" s="3"/>
      <c r="HZ979" s="3"/>
      <c r="IA979" s="3"/>
      <c r="IB979" s="3"/>
      <c r="IC979" s="3"/>
      <c r="ID979" s="3"/>
      <c r="IE979" s="3"/>
      <c r="IF979" s="3"/>
      <c r="IG979" s="3"/>
      <c r="IH979" s="3"/>
      <c r="II979" s="3"/>
      <c r="IJ979" s="3"/>
      <c r="IK979" s="3"/>
      <c r="IL979" s="3"/>
      <c r="IM979" s="3"/>
      <c r="IN979" s="3"/>
      <c r="IO979" s="3"/>
      <c r="IP979" s="3"/>
      <c r="IQ979" s="3"/>
      <c r="IR979" s="3"/>
      <c r="IS979" s="3"/>
      <c r="IT979" s="3"/>
      <c r="IU979" s="3"/>
      <c r="IV979" s="3"/>
      <c r="IW979" s="3"/>
      <c r="IX979" s="3"/>
      <c r="IY979" s="3"/>
      <c r="IZ979" s="3"/>
      <c r="JA979" s="3"/>
      <c r="JB979" s="3"/>
      <c r="JC979" s="3"/>
      <c r="JD979" s="3"/>
      <c r="JE979" s="3"/>
      <c r="JF979" s="3"/>
      <c r="JG979" s="3"/>
      <c r="JH979" s="3"/>
      <c r="JI979" s="3"/>
      <c r="JJ979" s="3"/>
      <c r="JK979" s="3"/>
      <c r="JL979" s="3"/>
      <c r="JM979" s="3"/>
      <c r="JN979" s="3"/>
      <c r="JO979" s="3"/>
      <c r="JP979" s="3"/>
      <c r="JQ979" s="3"/>
      <c r="JR979" s="3"/>
      <c r="JS979" s="3"/>
      <c r="JT979" s="3"/>
      <c r="JU979" s="3"/>
      <c r="JV979" s="3"/>
      <c r="JW979" s="3"/>
      <c r="JX979" s="3"/>
      <c r="JY979" s="3"/>
      <c r="JZ979" s="3"/>
      <c r="KA979" s="3"/>
      <c r="KB979" s="3"/>
      <c r="KC979" s="3"/>
      <c r="KD979" s="3"/>
      <c r="KE979" s="3"/>
      <c r="KF979" s="3"/>
      <c r="KG979" s="3"/>
      <c r="KH979" s="3"/>
      <c r="KI979" s="3"/>
      <c r="KJ979" s="3"/>
      <c r="KK979" s="3"/>
      <c r="KL979" s="3"/>
      <c r="KM979" s="3"/>
      <c r="KN979" s="3"/>
      <c r="KO979" s="3"/>
      <c r="KP979" s="3"/>
      <c r="KQ979" s="3"/>
      <c r="KR979" s="3"/>
      <c r="KS979" s="3"/>
      <c r="KT979" s="3"/>
      <c r="KU979" s="3"/>
      <c r="KV979" s="3"/>
      <c r="KW979" s="3"/>
      <c r="KX979" s="3"/>
      <c r="KY979" s="3"/>
      <c r="KZ979" s="3"/>
      <c r="LA979" s="3"/>
      <c r="LB979" s="3"/>
      <c r="LC979" s="3"/>
      <c r="LD979" s="3"/>
      <c r="LE979" s="3"/>
      <c r="LF979" s="3"/>
      <c r="LG979" s="3"/>
      <c r="LH979" s="3"/>
      <c r="LI979" s="3"/>
      <c r="LJ979" s="3"/>
      <c r="LK979" s="3"/>
      <c r="LL979" s="3"/>
      <c r="LM979" s="3"/>
      <c r="LN979" s="3"/>
      <c r="LO979" s="3"/>
      <c r="LP979" s="3"/>
      <c r="LQ979" s="3"/>
      <c r="LR979" s="3"/>
      <c r="LS979" s="3"/>
      <c r="LT979" s="3"/>
      <c r="LU979" s="3"/>
      <c r="LV979" s="3"/>
      <c r="LW979" s="3"/>
      <c r="LX979" s="3"/>
      <c r="LY979" s="3"/>
      <c r="LZ979" s="3"/>
      <c r="MA979" s="3"/>
      <c r="MB979" s="3"/>
      <c r="MC979" s="3"/>
      <c r="MD979" s="3"/>
      <c r="ME979" s="3"/>
      <c r="MF979" s="3"/>
      <c r="MG979" s="3"/>
      <c r="MH979" s="3"/>
      <c r="MI979" s="3"/>
    </row>
    <row r="980" spans="1:347"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c r="HX980" s="3"/>
      <c r="HY980" s="3"/>
      <c r="HZ980" s="3"/>
      <c r="IA980" s="3"/>
      <c r="IB980" s="3"/>
      <c r="IC980" s="3"/>
      <c r="ID980" s="3"/>
      <c r="IE980" s="3"/>
      <c r="IF980" s="3"/>
      <c r="IG980" s="3"/>
      <c r="IH980" s="3"/>
      <c r="II980" s="3"/>
      <c r="IJ980" s="3"/>
      <c r="IK980" s="3"/>
      <c r="IL980" s="3"/>
      <c r="IM980" s="3"/>
      <c r="IN980" s="3"/>
      <c r="IO980" s="3"/>
      <c r="IP980" s="3"/>
      <c r="IQ980" s="3"/>
      <c r="IR980" s="3"/>
      <c r="IS980" s="3"/>
      <c r="IT980" s="3"/>
      <c r="IU980" s="3"/>
      <c r="IV980" s="3"/>
      <c r="IW980" s="3"/>
      <c r="IX980" s="3"/>
      <c r="IY980" s="3"/>
      <c r="IZ980" s="3"/>
      <c r="JA980" s="3"/>
      <c r="JB980" s="3"/>
      <c r="JC980" s="3"/>
      <c r="JD980" s="3"/>
      <c r="JE980" s="3"/>
      <c r="JF980" s="3"/>
      <c r="JG980" s="3"/>
      <c r="JH980" s="3"/>
      <c r="JI980" s="3"/>
      <c r="JJ980" s="3"/>
      <c r="JK980" s="3"/>
      <c r="JL980" s="3"/>
      <c r="JM980" s="3"/>
      <c r="JN980" s="3"/>
      <c r="JO980" s="3"/>
      <c r="JP980" s="3"/>
      <c r="JQ980" s="3"/>
      <c r="JR980" s="3"/>
      <c r="JS980" s="3"/>
      <c r="JT980" s="3"/>
      <c r="JU980" s="3"/>
      <c r="JV980" s="3"/>
      <c r="JW980" s="3"/>
      <c r="JX980" s="3"/>
      <c r="JY980" s="3"/>
      <c r="JZ980" s="3"/>
      <c r="KA980" s="3"/>
      <c r="KB980" s="3"/>
      <c r="KC980" s="3"/>
      <c r="KD980" s="3"/>
      <c r="KE980" s="3"/>
      <c r="KF980" s="3"/>
      <c r="KG980" s="3"/>
      <c r="KH980" s="3"/>
      <c r="KI980" s="3"/>
      <c r="KJ980" s="3"/>
      <c r="KK980" s="3"/>
      <c r="KL980" s="3"/>
      <c r="KM980" s="3"/>
      <c r="KN980" s="3"/>
      <c r="KO980" s="3"/>
      <c r="KP980" s="3"/>
      <c r="KQ980" s="3"/>
      <c r="KR980" s="3"/>
      <c r="KS980" s="3"/>
      <c r="KT980" s="3"/>
      <c r="KU980" s="3"/>
      <c r="KV980" s="3"/>
      <c r="KW980" s="3"/>
      <c r="KX980" s="3"/>
      <c r="KY980" s="3"/>
      <c r="KZ980" s="3"/>
      <c r="LA980" s="3"/>
      <c r="LB980" s="3"/>
      <c r="LC980" s="3"/>
      <c r="LD980" s="3"/>
      <c r="LE980" s="3"/>
      <c r="LF980" s="3"/>
      <c r="LG980" s="3"/>
      <c r="LH980" s="3"/>
      <c r="LI980" s="3"/>
      <c r="LJ980" s="3"/>
      <c r="LK980" s="3"/>
      <c r="LL980" s="3"/>
      <c r="LM980" s="3"/>
      <c r="LN980" s="3"/>
      <c r="LO980" s="3"/>
      <c r="LP980" s="3"/>
      <c r="LQ980" s="3"/>
      <c r="LR980" s="3"/>
      <c r="LS980" s="3"/>
      <c r="LT980" s="3"/>
      <c r="LU980" s="3"/>
      <c r="LV980" s="3"/>
      <c r="LW980" s="3"/>
      <c r="LX980" s="3"/>
      <c r="LY980" s="3"/>
      <c r="LZ980" s="3"/>
      <c r="MA980" s="3"/>
      <c r="MB980" s="3"/>
      <c r="MC980" s="3"/>
      <c r="MD980" s="3"/>
      <c r="ME980" s="3"/>
      <c r="MF980" s="3"/>
      <c r="MG980" s="3"/>
      <c r="MH980" s="3"/>
      <c r="MI980" s="3"/>
    </row>
    <row r="981" spans="1:347"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c r="HX981" s="3"/>
      <c r="HY981" s="3"/>
      <c r="HZ981" s="3"/>
      <c r="IA981" s="3"/>
      <c r="IB981" s="3"/>
      <c r="IC981" s="3"/>
      <c r="ID981" s="3"/>
      <c r="IE981" s="3"/>
      <c r="IF981" s="3"/>
      <c r="IG981" s="3"/>
      <c r="IH981" s="3"/>
      <c r="II981" s="3"/>
      <c r="IJ981" s="3"/>
      <c r="IK981" s="3"/>
      <c r="IL981" s="3"/>
      <c r="IM981" s="3"/>
      <c r="IN981" s="3"/>
      <c r="IO981" s="3"/>
      <c r="IP981" s="3"/>
      <c r="IQ981" s="3"/>
      <c r="IR981" s="3"/>
      <c r="IS981" s="3"/>
      <c r="IT981" s="3"/>
      <c r="IU981" s="3"/>
      <c r="IV981" s="3"/>
      <c r="IW981" s="3"/>
      <c r="IX981" s="3"/>
      <c r="IY981" s="3"/>
      <c r="IZ981" s="3"/>
      <c r="JA981" s="3"/>
      <c r="JB981" s="3"/>
      <c r="JC981" s="3"/>
      <c r="JD981" s="3"/>
      <c r="JE981" s="3"/>
      <c r="JF981" s="3"/>
      <c r="JG981" s="3"/>
      <c r="JH981" s="3"/>
      <c r="JI981" s="3"/>
      <c r="JJ981" s="3"/>
      <c r="JK981" s="3"/>
      <c r="JL981" s="3"/>
      <c r="JM981" s="3"/>
      <c r="JN981" s="3"/>
      <c r="JO981" s="3"/>
      <c r="JP981" s="3"/>
      <c r="JQ981" s="3"/>
      <c r="JR981" s="3"/>
      <c r="JS981" s="3"/>
      <c r="JT981" s="3"/>
      <c r="JU981" s="3"/>
      <c r="JV981" s="3"/>
      <c r="JW981" s="3"/>
      <c r="JX981" s="3"/>
      <c r="JY981" s="3"/>
      <c r="JZ981" s="3"/>
      <c r="KA981" s="3"/>
      <c r="KB981" s="3"/>
      <c r="KC981" s="3"/>
      <c r="KD981" s="3"/>
      <c r="KE981" s="3"/>
      <c r="KF981" s="3"/>
      <c r="KG981" s="3"/>
      <c r="KH981" s="3"/>
      <c r="KI981" s="3"/>
      <c r="KJ981" s="3"/>
      <c r="KK981" s="3"/>
      <c r="KL981" s="3"/>
      <c r="KM981" s="3"/>
      <c r="KN981" s="3"/>
      <c r="KO981" s="3"/>
      <c r="KP981" s="3"/>
      <c r="KQ981" s="3"/>
      <c r="KR981" s="3"/>
      <c r="KS981" s="3"/>
      <c r="KT981" s="3"/>
      <c r="KU981" s="3"/>
      <c r="KV981" s="3"/>
      <c r="KW981" s="3"/>
      <c r="KX981" s="3"/>
      <c r="KY981" s="3"/>
      <c r="KZ981" s="3"/>
      <c r="LA981" s="3"/>
      <c r="LB981" s="3"/>
      <c r="LC981" s="3"/>
      <c r="LD981" s="3"/>
      <c r="LE981" s="3"/>
      <c r="LF981" s="3"/>
      <c r="LG981" s="3"/>
      <c r="LH981" s="3"/>
      <c r="LI981" s="3"/>
      <c r="LJ981" s="3"/>
      <c r="LK981" s="3"/>
      <c r="LL981" s="3"/>
      <c r="LM981" s="3"/>
      <c r="LN981" s="3"/>
      <c r="LO981" s="3"/>
      <c r="LP981" s="3"/>
      <c r="LQ981" s="3"/>
      <c r="LR981" s="3"/>
      <c r="LS981" s="3"/>
      <c r="LT981" s="3"/>
      <c r="LU981" s="3"/>
      <c r="LV981" s="3"/>
      <c r="LW981" s="3"/>
      <c r="LX981" s="3"/>
      <c r="LY981" s="3"/>
      <c r="LZ981" s="3"/>
      <c r="MA981" s="3"/>
      <c r="MB981" s="3"/>
      <c r="MC981" s="3"/>
      <c r="MD981" s="3"/>
      <c r="ME981" s="3"/>
      <c r="MF981" s="3"/>
      <c r="MG981" s="3"/>
      <c r="MH981" s="3"/>
      <c r="MI981" s="3"/>
    </row>
    <row r="982" spans="1:347"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c r="HX982" s="3"/>
      <c r="HY982" s="3"/>
      <c r="HZ982" s="3"/>
      <c r="IA982" s="3"/>
      <c r="IB982" s="3"/>
      <c r="IC982" s="3"/>
      <c r="ID982" s="3"/>
      <c r="IE982" s="3"/>
      <c r="IF982" s="3"/>
      <c r="IG982" s="3"/>
      <c r="IH982" s="3"/>
      <c r="II982" s="3"/>
      <c r="IJ982" s="3"/>
      <c r="IK982" s="3"/>
      <c r="IL982" s="3"/>
      <c r="IM982" s="3"/>
      <c r="IN982" s="3"/>
      <c r="IO982" s="3"/>
      <c r="IP982" s="3"/>
      <c r="IQ982" s="3"/>
      <c r="IR982" s="3"/>
      <c r="IS982" s="3"/>
      <c r="IT982" s="3"/>
      <c r="IU982" s="3"/>
      <c r="IV982" s="3"/>
      <c r="IW982" s="3"/>
      <c r="IX982" s="3"/>
      <c r="IY982" s="3"/>
      <c r="IZ982" s="3"/>
      <c r="JA982" s="3"/>
      <c r="JB982" s="3"/>
      <c r="JC982" s="3"/>
      <c r="JD982" s="3"/>
      <c r="JE982" s="3"/>
      <c r="JF982" s="3"/>
      <c r="JG982" s="3"/>
      <c r="JH982" s="3"/>
      <c r="JI982" s="3"/>
      <c r="JJ982" s="3"/>
      <c r="JK982" s="3"/>
      <c r="JL982" s="3"/>
      <c r="JM982" s="3"/>
      <c r="JN982" s="3"/>
      <c r="JO982" s="3"/>
      <c r="JP982" s="3"/>
      <c r="JQ982" s="3"/>
      <c r="JR982" s="3"/>
      <c r="JS982" s="3"/>
      <c r="JT982" s="3"/>
      <c r="JU982" s="3"/>
      <c r="JV982" s="3"/>
      <c r="JW982" s="3"/>
      <c r="JX982" s="3"/>
      <c r="JY982" s="3"/>
      <c r="JZ982" s="3"/>
      <c r="KA982" s="3"/>
      <c r="KB982" s="3"/>
      <c r="KC982" s="3"/>
      <c r="KD982" s="3"/>
      <c r="KE982" s="3"/>
      <c r="KF982" s="3"/>
      <c r="KG982" s="3"/>
      <c r="KH982" s="3"/>
      <c r="KI982" s="3"/>
      <c r="KJ982" s="3"/>
      <c r="KK982" s="3"/>
      <c r="KL982" s="3"/>
      <c r="KM982" s="3"/>
      <c r="KN982" s="3"/>
      <c r="KO982" s="3"/>
      <c r="KP982" s="3"/>
      <c r="KQ982" s="3"/>
      <c r="KR982" s="3"/>
      <c r="KS982" s="3"/>
      <c r="KT982" s="3"/>
      <c r="KU982" s="3"/>
      <c r="KV982" s="3"/>
      <c r="KW982" s="3"/>
      <c r="KX982" s="3"/>
      <c r="KY982" s="3"/>
      <c r="KZ982" s="3"/>
      <c r="LA982" s="3"/>
      <c r="LB982" s="3"/>
      <c r="LC982" s="3"/>
      <c r="LD982" s="3"/>
      <c r="LE982" s="3"/>
      <c r="LF982" s="3"/>
      <c r="LG982" s="3"/>
      <c r="LH982" s="3"/>
      <c r="LI982" s="3"/>
      <c r="LJ982" s="3"/>
      <c r="LK982" s="3"/>
      <c r="LL982" s="3"/>
      <c r="LM982" s="3"/>
      <c r="LN982" s="3"/>
      <c r="LO982" s="3"/>
      <c r="LP982" s="3"/>
      <c r="LQ982" s="3"/>
      <c r="LR982" s="3"/>
      <c r="LS982" s="3"/>
      <c r="LT982" s="3"/>
      <c r="LU982" s="3"/>
      <c r="LV982" s="3"/>
      <c r="LW982" s="3"/>
      <c r="LX982" s="3"/>
      <c r="LY982" s="3"/>
      <c r="LZ982" s="3"/>
      <c r="MA982" s="3"/>
      <c r="MB982" s="3"/>
      <c r="MC982" s="3"/>
      <c r="MD982" s="3"/>
      <c r="ME982" s="3"/>
      <c r="MF982" s="3"/>
      <c r="MG982" s="3"/>
      <c r="MH982" s="3"/>
      <c r="MI982" s="3"/>
    </row>
    <row r="983" spans="1:347"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c r="HX983" s="3"/>
      <c r="HY983" s="3"/>
      <c r="HZ983" s="3"/>
      <c r="IA983" s="3"/>
      <c r="IB983" s="3"/>
      <c r="IC983" s="3"/>
      <c r="ID983" s="3"/>
      <c r="IE983" s="3"/>
      <c r="IF983" s="3"/>
      <c r="IG983" s="3"/>
      <c r="IH983" s="3"/>
      <c r="II983" s="3"/>
      <c r="IJ983" s="3"/>
      <c r="IK983" s="3"/>
      <c r="IL983" s="3"/>
      <c r="IM983" s="3"/>
      <c r="IN983" s="3"/>
      <c r="IO983" s="3"/>
      <c r="IP983" s="3"/>
      <c r="IQ983" s="3"/>
      <c r="IR983" s="3"/>
      <c r="IS983" s="3"/>
      <c r="IT983" s="3"/>
      <c r="IU983" s="3"/>
      <c r="IV983" s="3"/>
      <c r="IW983" s="3"/>
      <c r="IX983" s="3"/>
      <c r="IY983" s="3"/>
      <c r="IZ983" s="3"/>
      <c r="JA983" s="3"/>
      <c r="JB983" s="3"/>
      <c r="JC983" s="3"/>
      <c r="JD983" s="3"/>
      <c r="JE983" s="3"/>
      <c r="JF983" s="3"/>
      <c r="JG983" s="3"/>
      <c r="JH983" s="3"/>
      <c r="JI983" s="3"/>
      <c r="JJ983" s="3"/>
      <c r="JK983" s="3"/>
      <c r="JL983" s="3"/>
      <c r="JM983" s="3"/>
      <c r="JN983" s="3"/>
      <c r="JO983" s="3"/>
      <c r="JP983" s="3"/>
      <c r="JQ983" s="3"/>
      <c r="JR983" s="3"/>
      <c r="JS983" s="3"/>
      <c r="JT983" s="3"/>
      <c r="JU983" s="3"/>
      <c r="JV983" s="3"/>
      <c r="JW983" s="3"/>
      <c r="JX983" s="3"/>
      <c r="JY983" s="3"/>
      <c r="JZ983" s="3"/>
      <c r="KA983" s="3"/>
      <c r="KB983" s="3"/>
      <c r="KC983" s="3"/>
      <c r="KD983" s="3"/>
      <c r="KE983" s="3"/>
      <c r="KF983" s="3"/>
      <c r="KG983" s="3"/>
      <c r="KH983" s="3"/>
      <c r="KI983" s="3"/>
      <c r="KJ983" s="3"/>
      <c r="KK983" s="3"/>
      <c r="KL983" s="3"/>
      <c r="KM983" s="3"/>
      <c r="KN983" s="3"/>
      <c r="KO983" s="3"/>
      <c r="KP983" s="3"/>
      <c r="KQ983" s="3"/>
      <c r="KR983" s="3"/>
      <c r="KS983" s="3"/>
      <c r="KT983" s="3"/>
      <c r="KU983" s="3"/>
      <c r="KV983" s="3"/>
      <c r="KW983" s="3"/>
      <c r="KX983" s="3"/>
      <c r="KY983" s="3"/>
      <c r="KZ983" s="3"/>
      <c r="LA983" s="3"/>
      <c r="LB983" s="3"/>
      <c r="LC983" s="3"/>
      <c r="LD983" s="3"/>
      <c r="LE983" s="3"/>
      <c r="LF983" s="3"/>
      <c r="LG983" s="3"/>
      <c r="LH983" s="3"/>
      <c r="LI983" s="3"/>
      <c r="LJ983" s="3"/>
      <c r="LK983" s="3"/>
      <c r="LL983" s="3"/>
      <c r="LM983" s="3"/>
      <c r="LN983" s="3"/>
      <c r="LO983" s="3"/>
      <c r="LP983" s="3"/>
      <c r="LQ983" s="3"/>
      <c r="LR983" s="3"/>
      <c r="LS983" s="3"/>
      <c r="LT983" s="3"/>
      <c r="LU983" s="3"/>
      <c r="LV983" s="3"/>
      <c r="LW983" s="3"/>
      <c r="LX983" s="3"/>
      <c r="LY983" s="3"/>
      <c r="LZ983" s="3"/>
      <c r="MA983" s="3"/>
      <c r="MB983" s="3"/>
      <c r="MC983" s="3"/>
      <c r="MD983" s="3"/>
      <c r="ME983" s="3"/>
      <c r="MF983" s="3"/>
      <c r="MG983" s="3"/>
      <c r="MH983" s="3"/>
      <c r="MI983" s="3"/>
    </row>
    <row r="984" spans="1:347"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c r="HX984" s="3"/>
      <c r="HY984" s="3"/>
      <c r="HZ984" s="3"/>
      <c r="IA984" s="3"/>
      <c r="IB984" s="3"/>
      <c r="IC984" s="3"/>
      <c r="ID984" s="3"/>
      <c r="IE984" s="3"/>
      <c r="IF984" s="3"/>
      <c r="IG984" s="3"/>
      <c r="IH984" s="3"/>
      <c r="II984" s="3"/>
      <c r="IJ984" s="3"/>
      <c r="IK984" s="3"/>
      <c r="IL984" s="3"/>
      <c r="IM984" s="3"/>
      <c r="IN984" s="3"/>
      <c r="IO984" s="3"/>
      <c r="IP984" s="3"/>
      <c r="IQ984" s="3"/>
      <c r="IR984" s="3"/>
      <c r="IS984" s="3"/>
      <c r="IT984" s="3"/>
      <c r="IU984" s="3"/>
      <c r="IV984" s="3"/>
      <c r="IW984" s="3"/>
      <c r="IX984" s="3"/>
      <c r="IY984" s="3"/>
      <c r="IZ984" s="3"/>
      <c r="JA984" s="3"/>
      <c r="JB984" s="3"/>
      <c r="JC984" s="3"/>
      <c r="JD984" s="3"/>
      <c r="JE984" s="3"/>
      <c r="JF984" s="3"/>
      <c r="JG984" s="3"/>
      <c r="JH984" s="3"/>
      <c r="JI984" s="3"/>
      <c r="JJ984" s="3"/>
      <c r="JK984" s="3"/>
      <c r="JL984" s="3"/>
      <c r="JM984" s="3"/>
      <c r="JN984" s="3"/>
      <c r="JO984" s="3"/>
      <c r="JP984" s="3"/>
      <c r="JQ984" s="3"/>
      <c r="JR984" s="3"/>
      <c r="JS984" s="3"/>
      <c r="JT984" s="3"/>
      <c r="JU984" s="3"/>
      <c r="JV984" s="3"/>
      <c r="JW984" s="3"/>
      <c r="JX984" s="3"/>
      <c r="JY984" s="3"/>
      <c r="JZ984" s="3"/>
      <c r="KA984" s="3"/>
      <c r="KB984" s="3"/>
      <c r="KC984" s="3"/>
      <c r="KD984" s="3"/>
      <c r="KE984" s="3"/>
      <c r="KF984" s="3"/>
      <c r="KG984" s="3"/>
      <c r="KH984" s="3"/>
      <c r="KI984" s="3"/>
      <c r="KJ984" s="3"/>
      <c r="KK984" s="3"/>
      <c r="KL984" s="3"/>
      <c r="KM984" s="3"/>
      <c r="KN984" s="3"/>
      <c r="KO984" s="3"/>
      <c r="KP984" s="3"/>
      <c r="KQ984" s="3"/>
      <c r="KR984" s="3"/>
      <c r="KS984" s="3"/>
      <c r="KT984" s="3"/>
      <c r="KU984" s="3"/>
      <c r="KV984" s="3"/>
      <c r="KW984" s="3"/>
      <c r="KX984" s="3"/>
      <c r="KY984" s="3"/>
      <c r="KZ984" s="3"/>
      <c r="LA984" s="3"/>
      <c r="LB984" s="3"/>
      <c r="LC984" s="3"/>
      <c r="LD984" s="3"/>
      <c r="LE984" s="3"/>
      <c r="LF984" s="3"/>
      <c r="LG984" s="3"/>
      <c r="LH984" s="3"/>
      <c r="LI984" s="3"/>
      <c r="LJ984" s="3"/>
      <c r="LK984" s="3"/>
      <c r="LL984" s="3"/>
      <c r="LM984" s="3"/>
      <c r="LN984" s="3"/>
      <c r="LO984" s="3"/>
      <c r="LP984" s="3"/>
      <c r="LQ984" s="3"/>
      <c r="LR984" s="3"/>
      <c r="LS984" s="3"/>
      <c r="LT984" s="3"/>
      <c r="LU984" s="3"/>
      <c r="LV984" s="3"/>
      <c r="LW984" s="3"/>
      <c r="LX984" s="3"/>
      <c r="LY984" s="3"/>
      <c r="LZ984" s="3"/>
      <c r="MA984" s="3"/>
      <c r="MB984" s="3"/>
      <c r="MC984" s="3"/>
      <c r="MD984" s="3"/>
      <c r="ME984" s="3"/>
      <c r="MF984" s="3"/>
      <c r="MG984" s="3"/>
      <c r="MH984" s="3"/>
      <c r="MI984" s="3"/>
    </row>
    <row r="985" spans="1:347"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c r="HX985" s="3"/>
      <c r="HY985" s="3"/>
      <c r="HZ985" s="3"/>
      <c r="IA985" s="3"/>
      <c r="IB985" s="3"/>
      <c r="IC985" s="3"/>
      <c r="ID985" s="3"/>
      <c r="IE985" s="3"/>
      <c r="IF985" s="3"/>
      <c r="IG985" s="3"/>
      <c r="IH985" s="3"/>
      <c r="II985" s="3"/>
      <c r="IJ985" s="3"/>
      <c r="IK985" s="3"/>
      <c r="IL985" s="3"/>
      <c r="IM985" s="3"/>
      <c r="IN985" s="3"/>
      <c r="IO985" s="3"/>
      <c r="IP985" s="3"/>
      <c r="IQ985" s="3"/>
      <c r="IR985" s="3"/>
      <c r="IS985" s="3"/>
      <c r="IT985" s="3"/>
      <c r="IU985" s="3"/>
      <c r="IV985" s="3"/>
      <c r="IW985" s="3"/>
      <c r="IX985" s="3"/>
      <c r="IY985" s="3"/>
      <c r="IZ985" s="3"/>
      <c r="JA985" s="3"/>
      <c r="JB985" s="3"/>
      <c r="JC985" s="3"/>
      <c r="JD985" s="3"/>
      <c r="JE985" s="3"/>
      <c r="JF985" s="3"/>
      <c r="JG985" s="3"/>
      <c r="JH985" s="3"/>
      <c r="JI985" s="3"/>
      <c r="JJ985" s="3"/>
      <c r="JK985" s="3"/>
      <c r="JL985" s="3"/>
      <c r="JM985" s="3"/>
      <c r="JN985" s="3"/>
      <c r="JO985" s="3"/>
      <c r="JP985" s="3"/>
      <c r="JQ985" s="3"/>
      <c r="JR985" s="3"/>
      <c r="JS985" s="3"/>
      <c r="JT985" s="3"/>
      <c r="JU985" s="3"/>
      <c r="JV985" s="3"/>
      <c r="JW985" s="3"/>
      <c r="JX985" s="3"/>
      <c r="JY985" s="3"/>
      <c r="JZ985" s="3"/>
      <c r="KA985" s="3"/>
      <c r="KB985" s="3"/>
      <c r="KC985" s="3"/>
      <c r="KD985" s="3"/>
      <c r="KE985" s="3"/>
      <c r="KF985" s="3"/>
      <c r="KG985" s="3"/>
      <c r="KH985" s="3"/>
      <c r="KI985" s="3"/>
      <c r="KJ985" s="3"/>
      <c r="KK985" s="3"/>
      <c r="KL985" s="3"/>
      <c r="KM985" s="3"/>
      <c r="KN985" s="3"/>
      <c r="KO985" s="3"/>
      <c r="KP985" s="3"/>
      <c r="KQ985" s="3"/>
      <c r="KR985" s="3"/>
      <c r="KS985" s="3"/>
      <c r="KT985" s="3"/>
      <c r="KU985" s="3"/>
      <c r="KV985" s="3"/>
      <c r="KW985" s="3"/>
      <c r="KX985" s="3"/>
      <c r="KY985" s="3"/>
      <c r="KZ985" s="3"/>
      <c r="LA985" s="3"/>
      <c r="LB985" s="3"/>
      <c r="LC985" s="3"/>
      <c r="LD985" s="3"/>
      <c r="LE985" s="3"/>
      <c r="LF985" s="3"/>
      <c r="LG985" s="3"/>
      <c r="LH985" s="3"/>
      <c r="LI985" s="3"/>
      <c r="LJ985" s="3"/>
      <c r="LK985" s="3"/>
      <c r="LL985" s="3"/>
      <c r="LM985" s="3"/>
      <c r="LN985" s="3"/>
      <c r="LO985" s="3"/>
      <c r="LP985" s="3"/>
      <c r="LQ985" s="3"/>
      <c r="LR985" s="3"/>
      <c r="LS985" s="3"/>
      <c r="LT985" s="3"/>
      <c r="LU985" s="3"/>
      <c r="LV985" s="3"/>
      <c r="LW985" s="3"/>
      <c r="LX985" s="3"/>
      <c r="LY985" s="3"/>
      <c r="LZ985" s="3"/>
      <c r="MA985" s="3"/>
      <c r="MB985" s="3"/>
      <c r="MC985" s="3"/>
      <c r="MD985" s="3"/>
      <c r="ME985" s="3"/>
      <c r="MF985" s="3"/>
      <c r="MG985" s="3"/>
      <c r="MH985" s="3"/>
      <c r="MI985" s="3"/>
    </row>
    <row r="986" spans="1:347"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c r="HX986" s="3"/>
      <c r="HY986" s="3"/>
      <c r="HZ986" s="3"/>
      <c r="IA986" s="3"/>
      <c r="IB986" s="3"/>
      <c r="IC986" s="3"/>
      <c r="ID986" s="3"/>
      <c r="IE986" s="3"/>
      <c r="IF986" s="3"/>
      <c r="IG986" s="3"/>
      <c r="IH986" s="3"/>
      <c r="II986" s="3"/>
      <c r="IJ986" s="3"/>
      <c r="IK986" s="3"/>
      <c r="IL986" s="3"/>
      <c r="IM986" s="3"/>
      <c r="IN986" s="3"/>
      <c r="IO986" s="3"/>
      <c r="IP986" s="3"/>
      <c r="IQ986" s="3"/>
      <c r="IR986" s="3"/>
      <c r="IS986" s="3"/>
      <c r="IT986" s="3"/>
      <c r="IU986" s="3"/>
      <c r="IV986" s="3"/>
      <c r="IW986" s="3"/>
      <c r="IX986" s="3"/>
      <c r="IY986" s="3"/>
      <c r="IZ986" s="3"/>
      <c r="JA986" s="3"/>
      <c r="JB986" s="3"/>
      <c r="JC986" s="3"/>
      <c r="JD986" s="3"/>
      <c r="JE986" s="3"/>
      <c r="JF986" s="3"/>
      <c r="JG986" s="3"/>
      <c r="JH986" s="3"/>
      <c r="JI986" s="3"/>
      <c r="JJ986" s="3"/>
      <c r="JK986" s="3"/>
      <c r="JL986" s="3"/>
      <c r="JM986" s="3"/>
      <c r="JN986" s="3"/>
      <c r="JO986" s="3"/>
      <c r="JP986" s="3"/>
      <c r="JQ986" s="3"/>
      <c r="JR986" s="3"/>
      <c r="JS986" s="3"/>
      <c r="JT986" s="3"/>
      <c r="JU986" s="3"/>
      <c r="JV986" s="3"/>
      <c r="JW986" s="3"/>
      <c r="JX986" s="3"/>
      <c r="JY986" s="3"/>
      <c r="JZ986" s="3"/>
      <c r="KA986" s="3"/>
      <c r="KB986" s="3"/>
      <c r="KC986" s="3"/>
      <c r="KD986" s="3"/>
      <c r="KE986" s="3"/>
      <c r="KF986" s="3"/>
      <c r="KG986" s="3"/>
      <c r="KH986" s="3"/>
      <c r="KI986" s="3"/>
      <c r="KJ986" s="3"/>
      <c r="KK986" s="3"/>
      <c r="KL986" s="3"/>
      <c r="KM986" s="3"/>
      <c r="KN986" s="3"/>
      <c r="KO986" s="3"/>
      <c r="KP986" s="3"/>
      <c r="KQ986" s="3"/>
      <c r="KR986" s="3"/>
      <c r="KS986" s="3"/>
      <c r="KT986" s="3"/>
      <c r="KU986" s="3"/>
      <c r="KV986" s="3"/>
      <c r="KW986" s="3"/>
      <c r="KX986" s="3"/>
      <c r="KY986" s="3"/>
      <c r="KZ986" s="3"/>
      <c r="LA986" s="3"/>
      <c r="LB986" s="3"/>
      <c r="LC986" s="3"/>
      <c r="LD986" s="3"/>
      <c r="LE986" s="3"/>
      <c r="LF986" s="3"/>
      <c r="LG986" s="3"/>
      <c r="LH986" s="3"/>
      <c r="LI986" s="3"/>
      <c r="LJ986" s="3"/>
      <c r="LK986" s="3"/>
      <c r="LL986" s="3"/>
      <c r="LM986" s="3"/>
      <c r="LN986" s="3"/>
      <c r="LO986" s="3"/>
      <c r="LP986" s="3"/>
      <c r="LQ986" s="3"/>
      <c r="LR986" s="3"/>
      <c r="LS986" s="3"/>
      <c r="LT986" s="3"/>
      <c r="LU986" s="3"/>
      <c r="LV986" s="3"/>
      <c r="LW986" s="3"/>
      <c r="LX986" s="3"/>
      <c r="LY986" s="3"/>
      <c r="LZ986" s="3"/>
      <c r="MA986" s="3"/>
      <c r="MB986" s="3"/>
      <c r="MC986" s="3"/>
      <c r="MD986" s="3"/>
      <c r="ME986" s="3"/>
      <c r="MF986" s="3"/>
      <c r="MG986" s="3"/>
      <c r="MH986" s="3"/>
      <c r="MI986" s="3"/>
    </row>
    <row r="987" spans="1:347"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c r="HX987" s="3"/>
      <c r="HY987" s="3"/>
      <c r="HZ987" s="3"/>
      <c r="IA987" s="3"/>
      <c r="IB987" s="3"/>
      <c r="IC987" s="3"/>
      <c r="ID987" s="3"/>
      <c r="IE987" s="3"/>
      <c r="IF987" s="3"/>
      <c r="IG987" s="3"/>
      <c r="IH987" s="3"/>
      <c r="II987" s="3"/>
      <c r="IJ987" s="3"/>
      <c r="IK987" s="3"/>
      <c r="IL987" s="3"/>
      <c r="IM987" s="3"/>
      <c r="IN987" s="3"/>
      <c r="IO987" s="3"/>
      <c r="IP987" s="3"/>
      <c r="IQ987" s="3"/>
      <c r="IR987" s="3"/>
      <c r="IS987" s="3"/>
      <c r="IT987" s="3"/>
      <c r="IU987" s="3"/>
      <c r="IV987" s="3"/>
      <c r="IW987" s="3"/>
      <c r="IX987" s="3"/>
      <c r="IY987" s="3"/>
      <c r="IZ987" s="3"/>
      <c r="JA987" s="3"/>
      <c r="JB987" s="3"/>
      <c r="JC987" s="3"/>
      <c r="JD987" s="3"/>
      <c r="JE987" s="3"/>
      <c r="JF987" s="3"/>
      <c r="JG987" s="3"/>
      <c r="JH987" s="3"/>
      <c r="JI987" s="3"/>
      <c r="JJ987" s="3"/>
      <c r="JK987" s="3"/>
      <c r="JL987" s="3"/>
      <c r="JM987" s="3"/>
      <c r="JN987" s="3"/>
      <c r="JO987" s="3"/>
      <c r="JP987" s="3"/>
      <c r="JQ987" s="3"/>
      <c r="JR987" s="3"/>
      <c r="JS987" s="3"/>
      <c r="JT987" s="3"/>
      <c r="JU987" s="3"/>
      <c r="JV987" s="3"/>
      <c r="JW987" s="3"/>
      <c r="JX987" s="3"/>
      <c r="JY987" s="3"/>
      <c r="JZ987" s="3"/>
      <c r="KA987" s="3"/>
      <c r="KB987" s="3"/>
      <c r="KC987" s="3"/>
      <c r="KD987" s="3"/>
      <c r="KE987" s="3"/>
      <c r="KF987" s="3"/>
      <c r="KG987" s="3"/>
      <c r="KH987" s="3"/>
      <c r="KI987" s="3"/>
      <c r="KJ987" s="3"/>
      <c r="KK987" s="3"/>
      <c r="KL987" s="3"/>
      <c r="KM987" s="3"/>
      <c r="KN987" s="3"/>
      <c r="KO987" s="3"/>
      <c r="KP987" s="3"/>
      <c r="KQ987" s="3"/>
      <c r="KR987" s="3"/>
      <c r="KS987" s="3"/>
      <c r="KT987" s="3"/>
      <c r="KU987" s="3"/>
      <c r="KV987" s="3"/>
      <c r="KW987" s="3"/>
      <c r="KX987" s="3"/>
      <c r="KY987" s="3"/>
      <c r="KZ987" s="3"/>
      <c r="LA987" s="3"/>
      <c r="LB987" s="3"/>
      <c r="LC987" s="3"/>
      <c r="LD987" s="3"/>
      <c r="LE987" s="3"/>
      <c r="LF987" s="3"/>
      <c r="LG987" s="3"/>
      <c r="LH987" s="3"/>
      <c r="LI987" s="3"/>
      <c r="LJ987" s="3"/>
      <c r="LK987" s="3"/>
      <c r="LL987" s="3"/>
      <c r="LM987" s="3"/>
      <c r="LN987" s="3"/>
      <c r="LO987" s="3"/>
      <c r="LP987" s="3"/>
      <c r="LQ987" s="3"/>
      <c r="LR987" s="3"/>
      <c r="LS987" s="3"/>
      <c r="LT987" s="3"/>
      <c r="LU987" s="3"/>
      <c r="LV987" s="3"/>
      <c r="LW987" s="3"/>
      <c r="LX987" s="3"/>
      <c r="LY987" s="3"/>
      <c r="LZ987" s="3"/>
      <c r="MA987" s="3"/>
      <c r="MB987" s="3"/>
      <c r="MC987" s="3"/>
      <c r="MD987" s="3"/>
      <c r="ME987" s="3"/>
      <c r="MF987" s="3"/>
      <c r="MG987" s="3"/>
      <c r="MH987" s="3"/>
      <c r="MI987" s="3"/>
    </row>
    <row r="988" spans="1:347"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c r="HX988" s="3"/>
      <c r="HY988" s="3"/>
      <c r="HZ988" s="3"/>
      <c r="IA988" s="3"/>
      <c r="IB988" s="3"/>
      <c r="IC988" s="3"/>
      <c r="ID988" s="3"/>
      <c r="IE988" s="3"/>
      <c r="IF988" s="3"/>
      <c r="IG988" s="3"/>
      <c r="IH988" s="3"/>
      <c r="II988" s="3"/>
      <c r="IJ988" s="3"/>
      <c r="IK988" s="3"/>
      <c r="IL988" s="3"/>
      <c r="IM988" s="3"/>
      <c r="IN988" s="3"/>
      <c r="IO988" s="3"/>
      <c r="IP988" s="3"/>
      <c r="IQ988" s="3"/>
      <c r="IR988" s="3"/>
      <c r="IS988" s="3"/>
      <c r="IT988" s="3"/>
      <c r="IU988" s="3"/>
      <c r="IV988" s="3"/>
      <c r="IW988" s="3"/>
      <c r="IX988" s="3"/>
      <c r="IY988" s="3"/>
      <c r="IZ988" s="3"/>
      <c r="JA988" s="3"/>
      <c r="JB988" s="3"/>
      <c r="JC988" s="3"/>
      <c r="JD988" s="3"/>
      <c r="JE988" s="3"/>
      <c r="JF988" s="3"/>
      <c r="JG988" s="3"/>
      <c r="JH988" s="3"/>
      <c r="JI988" s="3"/>
      <c r="JJ988" s="3"/>
      <c r="JK988" s="3"/>
      <c r="JL988" s="3"/>
      <c r="JM988" s="3"/>
      <c r="JN988" s="3"/>
      <c r="JO988" s="3"/>
      <c r="JP988" s="3"/>
      <c r="JQ988" s="3"/>
      <c r="JR988" s="3"/>
      <c r="JS988" s="3"/>
      <c r="JT988" s="3"/>
      <c r="JU988" s="3"/>
      <c r="JV988" s="3"/>
      <c r="JW988" s="3"/>
      <c r="JX988" s="3"/>
      <c r="JY988" s="3"/>
      <c r="JZ988" s="3"/>
      <c r="KA988" s="3"/>
      <c r="KB988" s="3"/>
      <c r="KC988" s="3"/>
      <c r="KD988" s="3"/>
      <c r="KE988" s="3"/>
      <c r="KF988" s="3"/>
      <c r="KG988" s="3"/>
      <c r="KH988" s="3"/>
      <c r="KI988" s="3"/>
      <c r="KJ988" s="3"/>
      <c r="KK988" s="3"/>
      <c r="KL988" s="3"/>
      <c r="KM988" s="3"/>
      <c r="KN988" s="3"/>
      <c r="KO988" s="3"/>
      <c r="KP988" s="3"/>
      <c r="KQ988" s="3"/>
      <c r="KR988" s="3"/>
      <c r="KS988" s="3"/>
      <c r="KT988" s="3"/>
      <c r="KU988" s="3"/>
      <c r="KV988" s="3"/>
      <c r="KW988" s="3"/>
      <c r="KX988" s="3"/>
      <c r="KY988" s="3"/>
      <c r="KZ988" s="3"/>
      <c r="LA988" s="3"/>
      <c r="LB988" s="3"/>
      <c r="LC988" s="3"/>
      <c r="LD988" s="3"/>
      <c r="LE988" s="3"/>
      <c r="LF988" s="3"/>
      <c r="LG988" s="3"/>
      <c r="LH988" s="3"/>
      <c r="LI988" s="3"/>
      <c r="LJ988" s="3"/>
      <c r="LK988" s="3"/>
      <c r="LL988" s="3"/>
      <c r="LM988" s="3"/>
      <c r="LN988" s="3"/>
      <c r="LO988" s="3"/>
      <c r="LP988" s="3"/>
      <c r="LQ988" s="3"/>
      <c r="LR988" s="3"/>
      <c r="LS988" s="3"/>
      <c r="LT988" s="3"/>
      <c r="LU988" s="3"/>
      <c r="LV988" s="3"/>
      <c r="LW988" s="3"/>
      <c r="LX988" s="3"/>
      <c r="LY988" s="3"/>
      <c r="LZ988" s="3"/>
      <c r="MA988" s="3"/>
      <c r="MB988" s="3"/>
      <c r="MC988" s="3"/>
      <c r="MD988" s="3"/>
      <c r="ME988" s="3"/>
      <c r="MF988" s="3"/>
      <c r="MG988" s="3"/>
      <c r="MH988" s="3"/>
      <c r="MI988" s="3"/>
    </row>
    <row r="989" spans="1:347"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c r="HX989" s="3"/>
      <c r="HY989" s="3"/>
      <c r="HZ989" s="3"/>
      <c r="IA989" s="3"/>
      <c r="IB989" s="3"/>
      <c r="IC989" s="3"/>
      <c r="ID989" s="3"/>
      <c r="IE989" s="3"/>
      <c r="IF989" s="3"/>
      <c r="IG989" s="3"/>
      <c r="IH989" s="3"/>
      <c r="II989" s="3"/>
      <c r="IJ989" s="3"/>
      <c r="IK989" s="3"/>
      <c r="IL989" s="3"/>
      <c r="IM989" s="3"/>
      <c r="IN989" s="3"/>
      <c r="IO989" s="3"/>
      <c r="IP989" s="3"/>
      <c r="IQ989" s="3"/>
      <c r="IR989" s="3"/>
      <c r="IS989" s="3"/>
      <c r="IT989" s="3"/>
      <c r="IU989" s="3"/>
      <c r="IV989" s="3"/>
      <c r="IW989" s="3"/>
      <c r="IX989" s="3"/>
      <c r="IY989" s="3"/>
      <c r="IZ989" s="3"/>
      <c r="JA989" s="3"/>
      <c r="JB989" s="3"/>
      <c r="JC989" s="3"/>
      <c r="JD989" s="3"/>
      <c r="JE989" s="3"/>
      <c r="JF989" s="3"/>
      <c r="JG989" s="3"/>
      <c r="JH989" s="3"/>
      <c r="JI989" s="3"/>
      <c r="JJ989" s="3"/>
      <c r="JK989" s="3"/>
      <c r="JL989" s="3"/>
      <c r="JM989" s="3"/>
      <c r="JN989" s="3"/>
      <c r="JO989" s="3"/>
      <c r="JP989" s="3"/>
      <c r="JQ989" s="3"/>
      <c r="JR989" s="3"/>
      <c r="JS989" s="3"/>
      <c r="JT989" s="3"/>
      <c r="JU989" s="3"/>
      <c r="JV989" s="3"/>
      <c r="JW989" s="3"/>
      <c r="JX989" s="3"/>
      <c r="JY989" s="3"/>
      <c r="JZ989" s="3"/>
      <c r="KA989" s="3"/>
      <c r="KB989" s="3"/>
      <c r="KC989" s="3"/>
      <c r="KD989" s="3"/>
      <c r="KE989" s="3"/>
      <c r="KF989" s="3"/>
      <c r="KG989" s="3"/>
      <c r="KH989" s="3"/>
      <c r="KI989" s="3"/>
      <c r="KJ989" s="3"/>
      <c r="KK989" s="3"/>
      <c r="KL989" s="3"/>
      <c r="KM989" s="3"/>
      <c r="KN989" s="3"/>
      <c r="KO989" s="3"/>
      <c r="KP989" s="3"/>
      <c r="KQ989" s="3"/>
      <c r="KR989" s="3"/>
      <c r="KS989" s="3"/>
      <c r="KT989" s="3"/>
      <c r="KU989" s="3"/>
      <c r="KV989" s="3"/>
      <c r="KW989" s="3"/>
      <c r="KX989" s="3"/>
      <c r="KY989" s="3"/>
      <c r="KZ989" s="3"/>
      <c r="LA989" s="3"/>
      <c r="LB989" s="3"/>
      <c r="LC989" s="3"/>
      <c r="LD989" s="3"/>
      <c r="LE989" s="3"/>
      <c r="LF989" s="3"/>
      <c r="LG989" s="3"/>
      <c r="LH989" s="3"/>
      <c r="LI989" s="3"/>
      <c r="LJ989" s="3"/>
      <c r="LK989" s="3"/>
      <c r="LL989" s="3"/>
      <c r="LM989" s="3"/>
      <c r="LN989" s="3"/>
      <c r="LO989" s="3"/>
      <c r="LP989" s="3"/>
      <c r="LQ989" s="3"/>
      <c r="LR989" s="3"/>
      <c r="LS989" s="3"/>
      <c r="LT989" s="3"/>
      <c r="LU989" s="3"/>
      <c r="LV989" s="3"/>
      <c r="LW989" s="3"/>
      <c r="LX989" s="3"/>
      <c r="LY989" s="3"/>
      <c r="LZ989" s="3"/>
      <c r="MA989" s="3"/>
      <c r="MB989" s="3"/>
      <c r="MC989" s="3"/>
      <c r="MD989" s="3"/>
      <c r="ME989" s="3"/>
      <c r="MF989" s="3"/>
      <c r="MG989" s="3"/>
      <c r="MH989" s="3"/>
      <c r="MI989" s="3"/>
    </row>
    <row r="990" spans="1:347"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c r="HX990" s="3"/>
      <c r="HY990" s="3"/>
      <c r="HZ990" s="3"/>
      <c r="IA990" s="3"/>
      <c r="IB990" s="3"/>
      <c r="IC990" s="3"/>
      <c r="ID990" s="3"/>
      <c r="IE990" s="3"/>
      <c r="IF990" s="3"/>
      <c r="IG990" s="3"/>
      <c r="IH990" s="3"/>
      <c r="II990" s="3"/>
      <c r="IJ990" s="3"/>
      <c r="IK990" s="3"/>
      <c r="IL990" s="3"/>
      <c r="IM990" s="3"/>
      <c r="IN990" s="3"/>
      <c r="IO990" s="3"/>
      <c r="IP990" s="3"/>
      <c r="IQ990" s="3"/>
      <c r="IR990" s="3"/>
      <c r="IS990" s="3"/>
      <c r="IT990" s="3"/>
      <c r="IU990" s="3"/>
      <c r="IV990" s="3"/>
      <c r="IW990" s="3"/>
      <c r="IX990" s="3"/>
      <c r="IY990" s="3"/>
      <c r="IZ990" s="3"/>
      <c r="JA990" s="3"/>
      <c r="JB990" s="3"/>
      <c r="JC990" s="3"/>
      <c r="JD990" s="3"/>
      <c r="JE990" s="3"/>
      <c r="JF990" s="3"/>
      <c r="JG990" s="3"/>
      <c r="JH990" s="3"/>
      <c r="JI990" s="3"/>
      <c r="JJ990" s="3"/>
      <c r="JK990" s="3"/>
      <c r="JL990" s="3"/>
      <c r="JM990" s="3"/>
      <c r="JN990" s="3"/>
      <c r="JO990" s="3"/>
      <c r="JP990" s="3"/>
      <c r="JQ990" s="3"/>
      <c r="JR990" s="3"/>
      <c r="JS990" s="3"/>
      <c r="JT990" s="3"/>
      <c r="JU990" s="3"/>
      <c r="JV990" s="3"/>
      <c r="JW990" s="3"/>
      <c r="JX990" s="3"/>
      <c r="JY990" s="3"/>
      <c r="JZ990" s="3"/>
      <c r="KA990" s="3"/>
      <c r="KB990" s="3"/>
      <c r="KC990" s="3"/>
      <c r="KD990" s="3"/>
      <c r="KE990" s="3"/>
      <c r="KF990" s="3"/>
      <c r="KG990" s="3"/>
      <c r="KH990" s="3"/>
      <c r="KI990" s="3"/>
      <c r="KJ990" s="3"/>
      <c r="KK990" s="3"/>
      <c r="KL990" s="3"/>
      <c r="KM990" s="3"/>
      <c r="KN990" s="3"/>
      <c r="KO990" s="3"/>
      <c r="KP990" s="3"/>
      <c r="KQ990" s="3"/>
      <c r="KR990" s="3"/>
      <c r="KS990" s="3"/>
      <c r="KT990" s="3"/>
      <c r="KU990" s="3"/>
      <c r="KV990" s="3"/>
      <c r="KW990" s="3"/>
      <c r="KX990" s="3"/>
      <c r="KY990" s="3"/>
      <c r="KZ990" s="3"/>
      <c r="LA990" s="3"/>
      <c r="LB990" s="3"/>
      <c r="LC990" s="3"/>
      <c r="LD990" s="3"/>
      <c r="LE990" s="3"/>
      <c r="LF990" s="3"/>
      <c r="LG990" s="3"/>
      <c r="LH990" s="3"/>
      <c r="LI990" s="3"/>
      <c r="LJ990" s="3"/>
      <c r="LK990" s="3"/>
      <c r="LL990" s="3"/>
      <c r="LM990" s="3"/>
      <c r="LN990" s="3"/>
      <c r="LO990" s="3"/>
      <c r="LP990" s="3"/>
      <c r="LQ990" s="3"/>
      <c r="LR990" s="3"/>
      <c r="LS990" s="3"/>
      <c r="LT990" s="3"/>
      <c r="LU990" s="3"/>
      <c r="LV990" s="3"/>
      <c r="LW990" s="3"/>
      <c r="LX990" s="3"/>
      <c r="LY990" s="3"/>
      <c r="LZ990" s="3"/>
      <c r="MA990" s="3"/>
      <c r="MB990" s="3"/>
      <c r="MC990" s="3"/>
      <c r="MD990" s="3"/>
      <c r="ME990" s="3"/>
      <c r="MF990" s="3"/>
      <c r="MG990" s="3"/>
      <c r="MH990" s="3"/>
      <c r="MI990" s="3"/>
    </row>
    <row r="991" spans="1:347"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c r="HX991" s="3"/>
      <c r="HY991" s="3"/>
      <c r="HZ991" s="3"/>
      <c r="IA991" s="3"/>
      <c r="IB991" s="3"/>
      <c r="IC991" s="3"/>
      <c r="ID991" s="3"/>
      <c r="IE991" s="3"/>
      <c r="IF991" s="3"/>
      <c r="IG991" s="3"/>
      <c r="IH991" s="3"/>
      <c r="II991" s="3"/>
      <c r="IJ991" s="3"/>
      <c r="IK991" s="3"/>
      <c r="IL991" s="3"/>
      <c r="IM991" s="3"/>
      <c r="IN991" s="3"/>
      <c r="IO991" s="3"/>
      <c r="IP991" s="3"/>
      <c r="IQ991" s="3"/>
      <c r="IR991" s="3"/>
      <c r="IS991" s="3"/>
      <c r="IT991" s="3"/>
      <c r="IU991" s="3"/>
      <c r="IV991" s="3"/>
      <c r="IW991" s="3"/>
      <c r="IX991" s="3"/>
      <c r="IY991" s="3"/>
      <c r="IZ991" s="3"/>
      <c r="JA991" s="3"/>
      <c r="JB991" s="3"/>
      <c r="JC991" s="3"/>
      <c r="JD991" s="3"/>
      <c r="JE991" s="3"/>
      <c r="JF991" s="3"/>
      <c r="JG991" s="3"/>
      <c r="JH991" s="3"/>
      <c r="JI991" s="3"/>
      <c r="JJ991" s="3"/>
      <c r="JK991" s="3"/>
      <c r="JL991" s="3"/>
      <c r="JM991" s="3"/>
      <c r="JN991" s="3"/>
      <c r="JO991" s="3"/>
      <c r="JP991" s="3"/>
      <c r="JQ991" s="3"/>
      <c r="JR991" s="3"/>
      <c r="JS991" s="3"/>
      <c r="JT991" s="3"/>
      <c r="JU991" s="3"/>
      <c r="JV991" s="3"/>
      <c r="JW991" s="3"/>
      <c r="JX991" s="3"/>
      <c r="JY991" s="3"/>
      <c r="JZ991" s="3"/>
      <c r="KA991" s="3"/>
      <c r="KB991" s="3"/>
      <c r="KC991" s="3"/>
      <c r="KD991" s="3"/>
      <c r="KE991" s="3"/>
      <c r="KF991" s="3"/>
      <c r="KG991" s="3"/>
      <c r="KH991" s="3"/>
      <c r="KI991" s="3"/>
      <c r="KJ991" s="3"/>
      <c r="KK991" s="3"/>
      <c r="KL991" s="3"/>
      <c r="KM991" s="3"/>
      <c r="KN991" s="3"/>
      <c r="KO991" s="3"/>
      <c r="KP991" s="3"/>
      <c r="KQ991" s="3"/>
      <c r="KR991" s="3"/>
      <c r="KS991" s="3"/>
      <c r="KT991" s="3"/>
      <c r="KU991" s="3"/>
      <c r="KV991" s="3"/>
      <c r="KW991" s="3"/>
      <c r="KX991" s="3"/>
      <c r="KY991" s="3"/>
      <c r="KZ991" s="3"/>
      <c r="LA991" s="3"/>
      <c r="LB991" s="3"/>
      <c r="LC991" s="3"/>
      <c r="LD991" s="3"/>
      <c r="LE991" s="3"/>
      <c r="LF991" s="3"/>
      <c r="LG991" s="3"/>
      <c r="LH991" s="3"/>
      <c r="LI991" s="3"/>
      <c r="LJ991" s="3"/>
      <c r="LK991" s="3"/>
      <c r="LL991" s="3"/>
      <c r="LM991" s="3"/>
      <c r="LN991" s="3"/>
      <c r="LO991" s="3"/>
      <c r="LP991" s="3"/>
      <c r="LQ991" s="3"/>
      <c r="LR991" s="3"/>
      <c r="LS991" s="3"/>
      <c r="LT991" s="3"/>
      <c r="LU991" s="3"/>
      <c r="LV991" s="3"/>
      <c r="LW991" s="3"/>
      <c r="LX991" s="3"/>
      <c r="LY991" s="3"/>
      <c r="LZ991" s="3"/>
      <c r="MA991" s="3"/>
      <c r="MB991" s="3"/>
      <c r="MC991" s="3"/>
      <c r="MD991" s="3"/>
      <c r="ME991" s="3"/>
      <c r="MF991" s="3"/>
      <c r="MG991" s="3"/>
      <c r="MH991" s="3"/>
      <c r="MI991" s="3"/>
    </row>
    <row r="992" spans="1:347"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c r="HX992" s="3"/>
      <c r="HY992" s="3"/>
      <c r="HZ992" s="3"/>
      <c r="IA992" s="3"/>
      <c r="IB992" s="3"/>
      <c r="IC992" s="3"/>
      <c r="ID992" s="3"/>
      <c r="IE992" s="3"/>
      <c r="IF992" s="3"/>
      <c r="IG992" s="3"/>
      <c r="IH992" s="3"/>
      <c r="II992" s="3"/>
      <c r="IJ992" s="3"/>
      <c r="IK992" s="3"/>
      <c r="IL992" s="3"/>
      <c r="IM992" s="3"/>
      <c r="IN992" s="3"/>
      <c r="IO992" s="3"/>
      <c r="IP992" s="3"/>
      <c r="IQ992" s="3"/>
      <c r="IR992" s="3"/>
      <c r="IS992" s="3"/>
      <c r="IT992" s="3"/>
      <c r="IU992" s="3"/>
      <c r="IV992" s="3"/>
      <c r="IW992" s="3"/>
      <c r="IX992" s="3"/>
      <c r="IY992" s="3"/>
      <c r="IZ992" s="3"/>
      <c r="JA992" s="3"/>
      <c r="JB992" s="3"/>
      <c r="JC992" s="3"/>
      <c r="JD992" s="3"/>
      <c r="JE992" s="3"/>
      <c r="JF992" s="3"/>
      <c r="JG992" s="3"/>
      <c r="JH992" s="3"/>
      <c r="JI992" s="3"/>
      <c r="JJ992" s="3"/>
      <c r="JK992" s="3"/>
      <c r="JL992" s="3"/>
      <c r="JM992" s="3"/>
      <c r="JN992" s="3"/>
      <c r="JO992" s="3"/>
      <c r="JP992" s="3"/>
      <c r="JQ992" s="3"/>
      <c r="JR992" s="3"/>
      <c r="JS992" s="3"/>
      <c r="JT992" s="3"/>
      <c r="JU992" s="3"/>
      <c r="JV992" s="3"/>
      <c r="JW992" s="3"/>
      <c r="JX992" s="3"/>
      <c r="JY992" s="3"/>
      <c r="JZ992" s="3"/>
      <c r="KA992" s="3"/>
      <c r="KB992" s="3"/>
      <c r="KC992" s="3"/>
      <c r="KD992" s="3"/>
      <c r="KE992" s="3"/>
      <c r="KF992" s="3"/>
      <c r="KG992" s="3"/>
      <c r="KH992" s="3"/>
      <c r="KI992" s="3"/>
      <c r="KJ992" s="3"/>
      <c r="KK992" s="3"/>
      <c r="KL992" s="3"/>
      <c r="KM992" s="3"/>
      <c r="KN992" s="3"/>
      <c r="KO992" s="3"/>
      <c r="KP992" s="3"/>
      <c r="KQ992" s="3"/>
      <c r="KR992" s="3"/>
      <c r="KS992" s="3"/>
      <c r="KT992" s="3"/>
      <c r="KU992" s="3"/>
      <c r="KV992" s="3"/>
      <c r="KW992" s="3"/>
      <c r="KX992" s="3"/>
      <c r="KY992" s="3"/>
      <c r="KZ992" s="3"/>
      <c r="LA992" s="3"/>
      <c r="LB992" s="3"/>
      <c r="LC992" s="3"/>
      <c r="LD992" s="3"/>
      <c r="LE992" s="3"/>
      <c r="LF992" s="3"/>
      <c r="LG992" s="3"/>
      <c r="LH992" s="3"/>
      <c r="LI992" s="3"/>
      <c r="LJ992" s="3"/>
      <c r="LK992" s="3"/>
      <c r="LL992" s="3"/>
      <c r="LM992" s="3"/>
      <c r="LN992" s="3"/>
      <c r="LO992" s="3"/>
      <c r="LP992" s="3"/>
      <c r="LQ992" s="3"/>
      <c r="LR992" s="3"/>
      <c r="LS992" s="3"/>
      <c r="LT992" s="3"/>
      <c r="LU992" s="3"/>
      <c r="LV992" s="3"/>
      <c r="LW992" s="3"/>
      <c r="LX992" s="3"/>
      <c r="LY992" s="3"/>
      <c r="LZ992" s="3"/>
      <c r="MA992" s="3"/>
      <c r="MB992" s="3"/>
      <c r="MC992" s="3"/>
      <c r="MD992" s="3"/>
      <c r="ME992" s="3"/>
      <c r="MF992" s="3"/>
      <c r="MG992" s="3"/>
      <c r="MH992" s="3"/>
      <c r="MI992" s="3"/>
    </row>
    <row r="993" spans="1:347"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c r="HX993" s="3"/>
      <c r="HY993" s="3"/>
      <c r="HZ993" s="3"/>
      <c r="IA993" s="3"/>
      <c r="IB993" s="3"/>
      <c r="IC993" s="3"/>
      <c r="ID993" s="3"/>
      <c r="IE993" s="3"/>
      <c r="IF993" s="3"/>
      <c r="IG993" s="3"/>
      <c r="IH993" s="3"/>
      <c r="II993" s="3"/>
      <c r="IJ993" s="3"/>
      <c r="IK993" s="3"/>
      <c r="IL993" s="3"/>
      <c r="IM993" s="3"/>
      <c r="IN993" s="3"/>
      <c r="IO993" s="3"/>
      <c r="IP993" s="3"/>
      <c r="IQ993" s="3"/>
      <c r="IR993" s="3"/>
      <c r="IS993" s="3"/>
      <c r="IT993" s="3"/>
      <c r="IU993" s="3"/>
      <c r="IV993" s="3"/>
      <c r="IW993" s="3"/>
      <c r="IX993" s="3"/>
      <c r="IY993" s="3"/>
      <c r="IZ993" s="3"/>
      <c r="JA993" s="3"/>
      <c r="JB993" s="3"/>
      <c r="JC993" s="3"/>
      <c r="JD993" s="3"/>
      <c r="JE993" s="3"/>
      <c r="JF993" s="3"/>
      <c r="JG993" s="3"/>
      <c r="JH993" s="3"/>
      <c r="JI993" s="3"/>
      <c r="JJ993" s="3"/>
      <c r="JK993" s="3"/>
      <c r="JL993" s="3"/>
      <c r="JM993" s="3"/>
      <c r="JN993" s="3"/>
      <c r="JO993" s="3"/>
      <c r="JP993" s="3"/>
      <c r="JQ993" s="3"/>
      <c r="JR993" s="3"/>
      <c r="JS993" s="3"/>
      <c r="JT993" s="3"/>
      <c r="JU993" s="3"/>
      <c r="JV993" s="3"/>
      <c r="JW993" s="3"/>
      <c r="JX993" s="3"/>
      <c r="JY993" s="3"/>
      <c r="JZ993" s="3"/>
      <c r="KA993" s="3"/>
      <c r="KB993" s="3"/>
      <c r="KC993" s="3"/>
      <c r="KD993" s="3"/>
      <c r="KE993" s="3"/>
      <c r="KF993" s="3"/>
      <c r="KG993" s="3"/>
      <c r="KH993" s="3"/>
      <c r="KI993" s="3"/>
      <c r="KJ993" s="3"/>
      <c r="KK993" s="3"/>
      <c r="KL993" s="3"/>
      <c r="KM993" s="3"/>
      <c r="KN993" s="3"/>
      <c r="KO993" s="3"/>
      <c r="KP993" s="3"/>
      <c r="KQ993" s="3"/>
      <c r="KR993" s="3"/>
      <c r="KS993" s="3"/>
      <c r="KT993" s="3"/>
      <c r="KU993" s="3"/>
      <c r="KV993" s="3"/>
      <c r="KW993" s="3"/>
      <c r="KX993" s="3"/>
      <c r="KY993" s="3"/>
      <c r="KZ993" s="3"/>
      <c r="LA993" s="3"/>
      <c r="LB993" s="3"/>
      <c r="LC993" s="3"/>
      <c r="LD993" s="3"/>
      <c r="LE993" s="3"/>
      <c r="LF993" s="3"/>
      <c r="LG993" s="3"/>
      <c r="LH993" s="3"/>
      <c r="LI993" s="3"/>
      <c r="LJ993" s="3"/>
      <c r="LK993" s="3"/>
      <c r="LL993" s="3"/>
      <c r="LM993" s="3"/>
      <c r="LN993" s="3"/>
      <c r="LO993" s="3"/>
      <c r="LP993" s="3"/>
      <c r="LQ993" s="3"/>
      <c r="LR993" s="3"/>
      <c r="LS993" s="3"/>
      <c r="LT993" s="3"/>
      <c r="LU993" s="3"/>
      <c r="LV993" s="3"/>
      <c r="LW993" s="3"/>
      <c r="LX993" s="3"/>
      <c r="LY993" s="3"/>
      <c r="LZ993" s="3"/>
      <c r="MA993" s="3"/>
      <c r="MB993" s="3"/>
      <c r="MC993" s="3"/>
      <c r="MD993" s="3"/>
      <c r="ME993" s="3"/>
      <c r="MF993" s="3"/>
      <c r="MG993" s="3"/>
      <c r="MH993" s="3"/>
      <c r="MI993" s="3"/>
    </row>
    <row r="994" spans="1:347"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c r="HV994" s="3"/>
      <c r="HW994" s="3"/>
      <c r="HX994" s="3"/>
      <c r="HY994" s="3"/>
      <c r="HZ994" s="3"/>
      <c r="IA994" s="3"/>
      <c r="IB994" s="3"/>
      <c r="IC994" s="3"/>
      <c r="ID994" s="3"/>
      <c r="IE994" s="3"/>
      <c r="IF994" s="3"/>
      <c r="IG994" s="3"/>
      <c r="IH994" s="3"/>
      <c r="II994" s="3"/>
      <c r="IJ994" s="3"/>
      <c r="IK994" s="3"/>
      <c r="IL994" s="3"/>
      <c r="IM994" s="3"/>
      <c r="IN994" s="3"/>
      <c r="IO994" s="3"/>
      <c r="IP994" s="3"/>
      <c r="IQ994" s="3"/>
      <c r="IR994" s="3"/>
      <c r="IS994" s="3"/>
      <c r="IT994" s="3"/>
      <c r="IU994" s="3"/>
      <c r="IV994" s="3"/>
      <c r="IW994" s="3"/>
      <c r="IX994" s="3"/>
      <c r="IY994" s="3"/>
      <c r="IZ994" s="3"/>
      <c r="JA994" s="3"/>
      <c r="JB994" s="3"/>
      <c r="JC994" s="3"/>
      <c r="JD994" s="3"/>
      <c r="JE994" s="3"/>
      <c r="JF994" s="3"/>
      <c r="JG994" s="3"/>
      <c r="JH994" s="3"/>
      <c r="JI994" s="3"/>
      <c r="JJ994" s="3"/>
      <c r="JK994" s="3"/>
      <c r="JL994" s="3"/>
      <c r="JM994" s="3"/>
      <c r="JN994" s="3"/>
      <c r="JO994" s="3"/>
      <c r="JP994" s="3"/>
      <c r="JQ994" s="3"/>
      <c r="JR994" s="3"/>
      <c r="JS994" s="3"/>
      <c r="JT994" s="3"/>
      <c r="JU994" s="3"/>
      <c r="JV994" s="3"/>
      <c r="JW994" s="3"/>
      <c r="JX994" s="3"/>
      <c r="JY994" s="3"/>
      <c r="JZ994" s="3"/>
      <c r="KA994" s="3"/>
      <c r="KB994" s="3"/>
      <c r="KC994" s="3"/>
      <c r="KD994" s="3"/>
      <c r="KE994" s="3"/>
      <c r="KF994" s="3"/>
      <c r="KG994" s="3"/>
      <c r="KH994" s="3"/>
      <c r="KI994" s="3"/>
      <c r="KJ994" s="3"/>
      <c r="KK994" s="3"/>
      <c r="KL994" s="3"/>
      <c r="KM994" s="3"/>
      <c r="KN994" s="3"/>
      <c r="KO994" s="3"/>
      <c r="KP994" s="3"/>
      <c r="KQ994" s="3"/>
      <c r="KR994" s="3"/>
      <c r="KS994" s="3"/>
      <c r="KT994" s="3"/>
      <c r="KU994" s="3"/>
      <c r="KV994" s="3"/>
      <c r="KW994" s="3"/>
      <c r="KX994" s="3"/>
      <c r="KY994" s="3"/>
      <c r="KZ994" s="3"/>
      <c r="LA994" s="3"/>
      <c r="LB994" s="3"/>
      <c r="LC994" s="3"/>
      <c r="LD994" s="3"/>
      <c r="LE994" s="3"/>
      <c r="LF994" s="3"/>
      <c r="LG994" s="3"/>
      <c r="LH994" s="3"/>
      <c r="LI994" s="3"/>
      <c r="LJ994" s="3"/>
      <c r="LK994" s="3"/>
      <c r="LL994" s="3"/>
      <c r="LM994" s="3"/>
      <c r="LN994" s="3"/>
      <c r="LO994" s="3"/>
      <c r="LP994" s="3"/>
      <c r="LQ994" s="3"/>
      <c r="LR994" s="3"/>
      <c r="LS994" s="3"/>
      <c r="LT994" s="3"/>
      <c r="LU994" s="3"/>
      <c r="LV994" s="3"/>
      <c r="LW994" s="3"/>
      <c r="LX994" s="3"/>
      <c r="LY994" s="3"/>
      <c r="LZ994" s="3"/>
      <c r="MA994" s="3"/>
      <c r="MB994" s="3"/>
      <c r="MC994" s="3"/>
      <c r="MD994" s="3"/>
      <c r="ME994" s="3"/>
      <c r="MF994" s="3"/>
      <c r="MG994" s="3"/>
      <c r="MH994" s="3"/>
      <c r="MI994" s="3"/>
    </row>
    <row r="995" spans="1:347"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c r="HV995" s="3"/>
      <c r="HW995" s="3"/>
      <c r="HX995" s="3"/>
      <c r="HY995" s="3"/>
      <c r="HZ995" s="3"/>
      <c r="IA995" s="3"/>
      <c r="IB995" s="3"/>
      <c r="IC995" s="3"/>
      <c r="ID995" s="3"/>
      <c r="IE995" s="3"/>
      <c r="IF995" s="3"/>
      <c r="IG995" s="3"/>
      <c r="IH995" s="3"/>
      <c r="II995" s="3"/>
      <c r="IJ995" s="3"/>
      <c r="IK995" s="3"/>
      <c r="IL995" s="3"/>
      <c r="IM995" s="3"/>
      <c r="IN995" s="3"/>
      <c r="IO995" s="3"/>
      <c r="IP995" s="3"/>
      <c r="IQ995" s="3"/>
      <c r="IR995" s="3"/>
      <c r="IS995" s="3"/>
      <c r="IT995" s="3"/>
      <c r="IU995" s="3"/>
      <c r="IV995" s="3"/>
      <c r="IW995" s="3"/>
      <c r="IX995" s="3"/>
      <c r="IY995" s="3"/>
      <c r="IZ995" s="3"/>
      <c r="JA995" s="3"/>
      <c r="JB995" s="3"/>
      <c r="JC995" s="3"/>
      <c r="JD995" s="3"/>
      <c r="JE995" s="3"/>
      <c r="JF995" s="3"/>
      <c r="JG995" s="3"/>
      <c r="JH995" s="3"/>
      <c r="JI995" s="3"/>
      <c r="JJ995" s="3"/>
      <c r="JK995" s="3"/>
      <c r="JL995" s="3"/>
      <c r="JM995" s="3"/>
      <c r="JN995" s="3"/>
      <c r="JO995" s="3"/>
      <c r="JP995" s="3"/>
      <c r="JQ995" s="3"/>
      <c r="JR995" s="3"/>
      <c r="JS995" s="3"/>
      <c r="JT995" s="3"/>
      <c r="JU995" s="3"/>
      <c r="JV995" s="3"/>
      <c r="JW995" s="3"/>
      <c r="JX995" s="3"/>
      <c r="JY995" s="3"/>
      <c r="JZ995" s="3"/>
      <c r="KA995" s="3"/>
      <c r="KB995" s="3"/>
      <c r="KC995" s="3"/>
      <c r="KD995" s="3"/>
      <c r="KE995" s="3"/>
      <c r="KF995" s="3"/>
      <c r="KG995" s="3"/>
      <c r="KH995" s="3"/>
      <c r="KI995" s="3"/>
      <c r="KJ995" s="3"/>
      <c r="KK995" s="3"/>
      <c r="KL995" s="3"/>
      <c r="KM995" s="3"/>
      <c r="KN995" s="3"/>
      <c r="KO995" s="3"/>
      <c r="KP995" s="3"/>
      <c r="KQ995" s="3"/>
      <c r="KR995" s="3"/>
      <c r="KS995" s="3"/>
      <c r="KT995" s="3"/>
      <c r="KU995" s="3"/>
      <c r="KV995" s="3"/>
      <c r="KW995" s="3"/>
      <c r="KX995" s="3"/>
      <c r="KY995" s="3"/>
      <c r="KZ995" s="3"/>
      <c r="LA995" s="3"/>
      <c r="LB995" s="3"/>
      <c r="LC995" s="3"/>
      <c r="LD995" s="3"/>
      <c r="LE995" s="3"/>
      <c r="LF995" s="3"/>
      <c r="LG995" s="3"/>
      <c r="LH995" s="3"/>
      <c r="LI995" s="3"/>
      <c r="LJ995" s="3"/>
      <c r="LK995" s="3"/>
      <c r="LL995" s="3"/>
      <c r="LM995" s="3"/>
      <c r="LN995" s="3"/>
      <c r="LO995" s="3"/>
      <c r="LP995" s="3"/>
      <c r="LQ995" s="3"/>
      <c r="LR995" s="3"/>
      <c r="LS995" s="3"/>
      <c r="LT995" s="3"/>
      <c r="LU995" s="3"/>
      <c r="LV995" s="3"/>
      <c r="LW995" s="3"/>
      <c r="LX995" s="3"/>
      <c r="LY995" s="3"/>
      <c r="LZ995" s="3"/>
      <c r="MA995" s="3"/>
      <c r="MB995" s="3"/>
      <c r="MC995" s="3"/>
      <c r="MD995" s="3"/>
      <c r="ME995" s="3"/>
      <c r="MF995" s="3"/>
      <c r="MG995" s="3"/>
      <c r="MH995" s="3"/>
      <c r="MI995" s="3"/>
    </row>
    <row r="996" spans="1:347"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c r="HV996" s="3"/>
      <c r="HW996" s="3"/>
      <c r="HX996" s="3"/>
      <c r="HY996" s="3"/>
      <c r="HZ996" s="3"/>
      <c r="IA996" s="3"/>
      <c r="IB996" s="3"/>
      <c r="IC996" s="3"/>
      <c r="ID996" s="3"/>
      <c r="IE996" s="3"/>
      <c r="IF996" s="3"/>
      <c r="IG996" s="3"/>
      <c r="IH996" s="3"/>
      <c r="II996" s="3"/>
      <c r="IJ996" s="3"/>
      <c r="IK996" s="3"/>
      <c r="IL996" s="3"/>
      <c r="IM996" s="3"/>
      <c r="IN996" s="3"/>
      <c r="IO996" s="3"/>
      <c r="IP996" s="3"/>
      <c r="IQ996" s="3"/>
      <c r="IR996" s="3"/>
      <c r="IS996" s="3"/>
      <c r="IT996" s="3"/>
      <c r="IU996" s="3"/>
      <c r="IV996" s="3"/>
      <c r="IW996" s="3"/>
      <c r="IX996" s="3"/>
      <c r="IY996" s="3"/>
      <c r="IZ996" s="3"/>
      <c r="JA996" s="3"/>
      <c r="JB996" s="3"/>
      <c r="JC996" s="3"/>
      <c r="JD996" s="3"/>
      <c r="JE996" s="3"/>
      <c r="JF996" s="3"/>
      <c r="JG996" s="3"/>
      <c r="JH996" s="3"/>
      <c r="JI996" s="3"/>
      <c r="JJ996" s="3"/>
      <c r="JK996" s="3"/>
      <c r="JL996" s="3"/>
      <c r="JM996" s="3"/>
      <c r="JN996" s="3"/>
      <c r="JO996" s="3"/>
      <c r="JP996" s="3"/>
      <c r="JQ996" s="3"/>
      <c r="JR996" s="3"/>
      <c r="JS996" s="3"/>
      <c r="JT996" s="3"/>
      <c r="JU996" s="3"/>
      <c r="JV996" s="3"/>
      <c r="JW996" s="3"/>
      <c r="JX996" s="3"/>
      <c r="JY996" s="3"/>
      <c r="JZ996" s="3"/>
      <c r="KA996" s="3"/>
      <c r="KB996" s="3"/>
      <c r="KC996" s="3"/>
      <c r="KD996" s="3"/>
      <c r="KE996" s="3"/>
      <c r="KF996" s="3"/>
      <c r="KG996" s="3"/>
      <c r="KH996" s="3"/>
      <c r="KI996" s="3"/>
      <c r="KJ996" s="3"/>
      <c r="KK996" s="3"/>
      <c r="KL996" s="3"/>
      <c r="KM996" s="3"/>
      <c r="KN996" s="3"/>
      <c r="KO996" s="3"/>
      <c r="KP996" s="3"/>
      <c r="KQ996" s="3"/>
      <c r="KR996" s="3"/>
      <c r="KS996" s="3"/>
      <c r="KT996" s="3"/>
      <c r="KU996" s="3"/>
      <c r="KV996" s="3"/>
      <c r="KW996" s="3"/>
      <c r="KX996" s="3"/>
      <c r="KY996" s="3"/>
      <c r="KZ996" s="3"/>
      <c r="LA996" s="3"/>
      <c r="LB996" s="3"/>
      <c r="LC996" s="3"/>
      <c r="LD996" s="3"/>
      <c r="LE996" s="3"/>
      <c r="LF996" s="3"/>
      <c r="LG996" s="3"/>
      <c r="LH996" s="3"/>
      <c r="LI996" s="3"/>
      <c r="LJ996" s="3"/>
      <c r="LK996" s="3"/>
      <c r="LL996" s="3"/>
      <c r="LM996" s="3"/>
      <c r="LN996" s="3"/>
      <c r="LO996" s="3"/>
      <c r="LP996" s="3"/>
      <c r="LQ996" s="3"/>
      <c r="LR996" s="3"/>
      <c r="LS996" s="3"/>
      <c r="LT996" s="3"/>
      <c r="LU996" s="3"/>
      <c r="LV996" s="3"/>
      <c r="LW996" s="3"/>
      <c r="LX996" s="3"/>
      <c r="LY996" s="3"/>
      <c r="LZ996" s="3"/>
      <c r="MA996" s="3"/>
      <c r="MB996" s="3"/>
      <c r="MC996" s="3"/>
      <c r="MD996" s="3"/>
      <c r="ME996" s="3"/>
      <c r="MF996" s="3"/>
      <c r="MG996" s="3"/>
      <c r="MH996" s="3"/>
      <c r="MI996" s="3"/>
    </row>
    <row r="997" spans="1:347"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c r="HV997" s="3"/>
      <c r="HW997" s="3"/>
      <c r="HX997" s="3"/>
      <c r="HY997" s="3"/>
      <c r="HZ997" s="3"/>
      <c r="IA997" s="3"/>
      <c r="IB997" s="3"/>
      <c r="IC997" s="3"/>
      <c r="ID997" s="3"/>
      <c r="IE997" s="3"/>
      <c r="IF997" s="3"/>
      <c r="IG997" s="3"/>
      <c r="IH997" s="3"/>
      <c r="II997" s="3"/>
      <c r="IJ997" s="3"/>
      <c r="IK997" s="3"/>
      <c r="IL997" s="3"/>
      <c r="IM997" s="3"/>
      <c r="IN997" s="3"/>
      <c r="IO997" s="3"/>
      <c r="IP997" s="3"/>
      <c r="IQ997" s="3"/>
      <c r="IR997" s="3"/>
      <c r="IS997" s="3"/>
      <c r="IT997" s="3"/>
      <c r="IU997" s="3"/>
      <c r="IV997" s="3"/>
      <c r="IW997" s="3"/>
      <c r="IX997" s="3"/>
      <c r="IY997" s="3"/>
      <c r="IZ997" s="3"/>
      <c r="JA997" s="3"/>
      <c r="JB997" s="3"/>
      <c r="JC997" s="3"/>
      <c r="JD997" s="3"/>
      <c r="JE997" s="3"/>
      <c r="JF997" s="3"/>
      <c r="JG997" s="3"/>
      <c r="JH997" s="3"/>
      <c r="JI997" s="3"/>
      <c r="JJ997" s="3"/>
      <c r="JK997" s="3"/>
      <c r="JL997" s="3"/>
      <c r="JM997" s="3"/>
      <c r="JN997" s="3"/>
      <c r="JO997" s="3"/>
      <c r="JP997" s="3"/>
      <c r="JQ997" s="3"/>
      <c r="JR997" s="3"/>
      <c r="JS997" s="3"/>
      <c r="JT997" s="3"/>
      <c r="JU997" s="3"/>
      <c r="JV997" s="3"/>
      <c r="JW997" s="3"/>
      <c r="JX997" s="3"/>
      <c r="JY997" s="3"/>
      <c r="JZ997" s="3"/>
      <c r="KA997" s="3"/>
      <c r="KB997" s="3"/>
      <c r="KC997" s="3"/>
      <c r="KD997" s="3"/>
      <c r="KE997" s="3"/>
      <c r="KF997" s="3"/>
      <c r="KG997" s="3"/>
      <c r="KH997" s="3"/>
      <c r="KI997" s="3"/>
      <c r="KJ997" s="3"/>
      <c r="KK997" s="3"/>
      <c r="KL997" s="3"/>
      <c r="KM997" s="3"/>
      <c r="KN997" s="3"/>
      <c r="KO997" s="3"/>
      <c r="KP997" s="3"/>
      <c r="KQ997" s="3"/>
      <c r="KR997" s="3"/>
      <c r="KS997" s="3"/>
      <c r="KT997" s="3"/>
      <c r="KU997" s="3"/>
      <c r="KV997" s="3"/>
      <c r="KW997" s="3"/>
      <c r="KX997" s="3"/>
      <c r="KY997" s="3"/>
      <c r="KZ997" s="3"/>
      <c r="LA997" s="3"/>
      <c r="LB997" s="3"/>
      <c r="LC997" s="3"/>
      <c r="LD997" s="3"/>
      <c r="LE997" s="3"/>
      <c r="LF997" s="3"/>
      <c r="LG997" s="3"/>
      <c r="LH997" s="3"/>
      <c r="LI997" s="3"/>
      <c r="LJ997" s="3"/>
      <c r="LK997" s="3"/>
      <c r="LL997" s="3"/>
      <c r="LM997" s="3"/>
      <c r="LN997" s="3"/>
      <c r="LO997" s="3"/>
      <c r="LP997" s="3"/>
      <c r="LQ997" s="3"/>
      <c r="LR997" s="3"/>
      <c r="LS997" s="3"/>
      <c r="LT997" s="3"/>
      <c r="LU997" s="3"/>
      <c r="LV997" s="3"/>
      <c r="LW997" s="3"/>
      <c r="LX997" s="3"/>
      <c r="LY997" s="3"/>
      <c r="LZ997" s="3"/>
      <c r="MA997" s="3"/>
      <c r="MB997" s="3"/>
      <c r="MC997" s="3"/>
      <c r="MD997" s="3"/>
      <c r="ME997" s="3"/>
      <c r="MF997" s="3"/>
      <c r="MG997" s="3"/>
      <c r="MH997" s="3"/>
      <c r="MI997" s="3"/>
    </row>
    <row r="998" spans="1:347"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c r="HV998" s="3"/>
      <c r="HW998" s="3"/>
      <c r="HX998" s="3"/>
      <c r="HY998" s="3"/>
      <c r="HZ998" s="3"/>
      <c r="IA998" s="3"/>
      <c r="IB998" s="3"/>
      <c r="IC998" s="3"/>
      <c r="ID998" s="3"/>
      <c r="IE998" s="3"/>
      <c r="IF998" s="3"/>
      <c r="IG998" s="3"/>
      <c r="IH998" s="3"/>
      <c r="II998" s="3"/>
      <c r="IJ998" s="3"/>
      <c r="IK998" s="3"/>
      <c r="IL998" s="3"/>
      <c r="IM998" s="3"/>
      <c r="IN998" s="3"/>
      <c r="IO998" s="3"/>
      <c r="IP998" s="3"/>
      <c r="IQ998" s="3"/>
      <c r="IR998" s="3"/>
      <c r="IS998" s="3"/>
      <c r="IT998" s="3"/>
      <c r="IU998" s="3"/>
      <c r="IV998" s="3"/>
      <c r="IW998" s="3"/>
      <c r="IX998" s="3"/>
      <c r="IY998" s="3"/>
      <c r="IZ998" s="3"/>
      <c r="JA998" s="3"/>
      <c r="JB998" s="3"/>
      <c r="JC998" s="3"/>
      <c r="JD998" s="3"/>
      <c r="JE998" s="3"/>
      <c r="JF998" s="3"/>
      <c r="JG998" s="3"/>
      <c r="JH998" s="3"/>
      <c r="JI998" s="3"/>
      <c r="JJ998" s="3"/>
      <c r="JK998" s="3"/>
      <c r="JL998" s="3"/>
      <c r="JM998" s="3"/>
      <c r="JN998" s="3"/>
      <c r="JO998" s="3"/>
      <c r="JP998" s="3"/>
      <c r="JQ998" s="3"/>
      <c r="JR998" s="3"/>
      <c r="JS998" s="3"/>
      <c r="JT998" s="3"/>
      <c r="JU998" s="3"/>
      <c r="JV998" s="3"/>
      <c r="JW998" s="3"/>
      <c r="JX998" s="3"/>
      <c r="JY998" s="3"/>
      <c r="JZ998" s="3"/>
      <c r="KA998" s="3"/>
      <c r="KB998" s="3"/>
      <c r="KC998" s="3"/>
      <c r="KD998" s="3"/>
      <c r="KE998" s="3"/>
      <c r="KF998" s="3"/>
      <c r="KG998" s="3"/>
      <c r="KH998" s="3"/>
      <c r="KI998" s="3"/>
      <c r="KJ998" s="3"/>
      <c r="KK998" s="3"/>
      <c r="KL998" s="3"/>
      <c r="KM998" s="3"/>
      <c r="KN998" s="3"/>
      <c r="KO998" s="3"/>
      <c r="KP998" s="3"/>
      <c r="KQ998" s="3"/>
      <c r="KR998" s="3"/>
      <c r="KS998" s="3"/>
      <c r="KT998" s="3"/>
      <c r="KU998" s="3"/>
      <c r="KV998" s="3"/>
      <c r="KW998" s="3"/>
      <c r="KX998" s="3"/>
      <c r="KY998" s="3"/>
      <c r="KZ998" s="3"/>
      <c r="LA998" s="3"/>
      <c r="LB998" s="3"/>
      <c r="LC998" s="3"/>
      <c r="LD998" s="3"/>
      <c r="LE998" s="3"/>
      <c r="LF998" s="3"/>
      <c r="LG998" s="3"/>
      <c r="LH998" s="3"/>
      <c r="LI998" s="3"/>
      <c r="LJ998" s="3"/>
      <c r="LK998" s="3"/>
      <c r="LL998" s="3"/>
      <c r="LM998" s="3"/>
      <c r="LN998" s="3"/>
      <c r="LO998" s="3"/>
      <c r="LP998" s="3"/>
      <c r="LQ998" s="3"/>
      <c r="LR998" s="3"/>
      <c r="LS998" s="3"/>
      <c r="LT998" s="3"/>
      <c r="LU998" s="3"/>
      <c r="LV998" s="3"/>
      <c r="LW998" s="3"/>
      <c r="LX998" s="3"/>
      <c r="LY998" s="3"/>
      <c r="LZ998" s="3"/>
      <c r="MA998" s="3"/>
      <c r="MB998" s="3"/>
      <c r="MC998" s="3"/>
      <c r="MD998" s="3"/>
      <c r="ME998" s="3"/>
      <c r="MF998" s="3"/>
      <c r="MG998" s="3"/>
      <c r="MH998" s="3"/>
      <c r="MI998" s="3"/>
    </row>
    <row r="999" spans="1:347"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c r="HH999" s="3"/>
      <c r="HI999" s="3"/>
      <c r="HJ999" s="3"/>
      <c r="HK999" s="3"/>
      <c r="HL999" s="3"/>
      <c r="HM999" s="3"/>
      <c r="HN999" s="3"/>
      <c r="HO999" s="3"/>
      <c r="HP999" s="3"/>
      <c r="HQ999" s="3"/>
      <c r="HR999" s="3"/>
      <c r="HS999" s="3"/>
      <c r="HT999" s="3"/>
      <c r="HU999" s="3"/>
      <c r="HV999" s="3"/>
      <c r="HW999" s="3"/>
      <c r="HX999" s="3"/>
      <c r="HY999" s="3"/>
      <c r="HZ999" s="3"/>
      <c r="IA999" s="3"/>
      <c r="IB999" s="3"/>
      <c r="IC999" s="3"/>
      <c r="ID999" s="3"/>
      <c r="IE999" s="3"/>
      <c r="IF999" s="3"/>
      <c r="IG999" s="3"/>
      <c r="IH999" s="3"/>
      <c r="II999" s="3"/>
      <c r="IJ999" s="3"/>
      <c r="IK999" s="3"/>
      <c r="IL999" s="3"/>
      <c r="IM999" s="3"/>
      <c r="IN999" s="3"/>
      <c r="IO999" s="3"/>
      <c r="IP999" s="3"/>
      <c r="IQ999" s="3"/>
      <c r="IR999" s="3"/>
      <c r="IS999" s="3"/>
      <c r="IT999" s="3"/>
      <c r="IU999" s="3"/>
      <c r="IV999" s="3"/>
      <c r="IW999" s="3"/>
      <c r="IX999" s="3"/>
      <c r="IY999" s="3"/>
      <c r="IZ999" s="3"/>
      <c r="JA999" s="3"/>
      <c r="JB999" s="3"/>
      <c r="JC999" s="3"/>
      <c r="JD999" s="3"/>
      <c r="JE999" s="3"/>
      <c r="JF999" s="3"/>
      <c r="JG999" s="3"/>
      <c r="JH999" s="3"/>
      <c r="JI999" s="3"/>
      <c r="JJ999" s="3"/>
      <c r="JK999" s="3"/>
      <c r="JL999" s="3"/>
      <c r="JM999" s="3"/>
      <c r="JN999" s="3"/>
      <c r="JO999" s="3"/>
      <c r="JP999" s="3"/>
      <c r="JQ999" s="3"/>
      <c r="JR999" s="3"/>
      <c r="JS999" s="3"/>
      <c r="JT999" s="3"/>
      <c r="JU999" s="3"/>
      <c r="JV999" s="3"/>
      <c r="JW999" s="3"/>
      <c r="JX999" s="3"/>
      <c r="JY999" s="3"/>
      <c r="JZ999" s="3"/>
      <c r="KA999" s="3"/>
      <c r="KB999" s="3"/>
      <c r="KC999" s="3"/>
      <c r="KD999" s="3"/>
      <c r="KE999" s="3"/>
      <c r="KF999" s="3"/>
      <c r="KG999" s="3"/>
      <c r="KH999" s="3"/>
      <c r="KI999" s="3"/>
      <c r="KJ999" s="3"/>
      <c r="KK999" s="3"/>
      <c r="KL999" s="3"/>
      <c r="KM999" s="3"/>
      <c r="KN999" s="3"/>
      <c r="KO999" s="3"/>
      <c r="KP999" s="3"/>
      <c r="KQ999" s="3"/>
      <c r="KR999" s="3"/>
      <c r="KS999" s="3"/>
      <c r="KT999" s="3"/>
      <c r="KU999" s="3"/>
      <c r="KV999" s="3"/>
      <c r="KW999" s="3"/>
      <c r="KX999" s="3"/>
      <c r="KY999" s="3"/>
      <c r="KZ999" s="3"/>
      <c r="LA999" s="3"/>
      <c r="LB999" s="3"/>
      <c r="LC999" s="3"/>
      <c r="LD999" s="3"/>
      <c r="LE999" s="3"/>
      <c r="LF999" s="3"/>
      <c r="LG999" s="3"/>
      <c r="LH999" s="3"/>
      <c r="LI999" s="3"/>
      <c r="LJ999" s="3"/>
      <c r="LK999" s="3"/>
      <c r="LL999" s="3"/>
      <c r="LM999" s="3"/>
      <c r="LN999" s="3"/>
      <c r="LO999" s="3"/>
      <c r="LP999" s="3"/>
      <c r="LQ999" s="3"/>
      <c r="LR999" s="3"/>
      <c r="LS999" s="3"/>
      <c r="LT999" s="3"/>
      <c r="LU999" s="3"/>
      <c r="LV999" s="3"/>
      <c r="LW999" s="3"/>
      <c r="LX999" s="3"/>
      <c r="LY999" s="3"/>
      <c r="LZ999" s="3"/>
      <c r="MA999" s="3"/>
      <c r="MB999" s="3"/>
      <c r="MC999" s="3"/>
      <c r="MD999" s="3"/>
      <c r="ME999" s="3"/>
      <c r="MF999" s="3"/>
      <c r="MG999" s="3"/>
      <c r="MH999" s="3"/>
      <c r="MI999" s="3"/>
    </row>
    <row r="1000" spans="1:347"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c r="GE1000" s="3"/>
      <c r="GF1000" s="3"/>
      <c r="GG1000" s="3"/>
      <c r="GH1000" s="3"/>
      <c r="GI1000" s="3"/>
      <c r="GJ1000" s="3"/>
      <c r="GK1000" s="3"/>
      <c r="GL1000" s="3"/>
      <c r="GM1000" s="3"/>
      <c r="GN1000" s="3"/>
      <c r="GO1000" s="3"/>
      <c r="GP1000" s="3"/>
      <c r="GQ1000" s="3"/>
      <c r="GR1000" s="3"/>
      <c r="GS1000" s="3"/>
      <c r="GT1000" s="3"/>
      <c r="GU1000" s="3"/>
      <c r="GV1000" s="3"/>
      <c r="GW1000" s="3"/>
      <c r="GX1000" s="3"/>
      <c r="GY1000" s="3"/>
      <c r="GZ1000" s="3"/>
      <c r="HA1000" s="3"/>
      <c r="HB1000" s="3"/>
      <c r="HC1000" s="3"/>
      <c r="HD1000" s="3"/>
      <c r="HE1000" s="3"/>
      <c r="HF1000" s="3"/>
      <c r="HG1000" s="3"/>
      <c r="HH1000" s="3"/>
      <c r="HI1000" s="3"/>
      <c r="HJ1000" s="3"/>
      <c r="HK1000" s="3"/>
      <c r="HL1000" s="3"/>
      <c r="HM1000" s="3"/>
      <c r="HN1000" s="3"/>
      <c r="HO1000" s="3"/>
      <c r="HP1000" s="3"/>
      <c r="HQ1000" s="3"/>
      <c r="HR1000" s="3"/>
      <c r="HS1000" s="3"/>
      <c r="HT1000" s="3"/>
      <c r="HU1000" s="3"/>
      <c r="HV1000" s="3"/>
      <c r="HW1000" s="3"/>
      <c r="HX1000" s="3"/>
      <c r="HY1000" s="3"/>
      <c r="HZ1000" s="3"/>
      <c r="IA1000" s="3"/>
      <c r="IB1000" s="3"/>
      <c r="IC1000" s="3"/>
      <c r="ID1000" s="3"/>
      <c r="IE1000" s="3"/>
      <c r="IF1000" s="3"/>
      <c r="IG1000" s="3"/>
      <c r="IH1000" s="3"/>
      <c r="II1000" s="3"/>
      <c r="IJ1000" s="3"/>
      <c r="IK1000" s="3"/>
      <c r="IL1000" s="3"/>
      <c r="IM1000" s="3"/>
      <c r="IN1000" s="3"/>
      <c r="IO1000" s="3"/>
      <c r="IP1000" s="3"/>
      <c r="IQ1000" s="3"/>
      <c r="IR1000" s="3"/>
      <c r="IS1000" s="3"/>
      <c r="IT1000" s="3"/>
      <c r="IU1000" s="3"/>
      <c r="IV1000" s="3"/>
      <c r="IW1000" s="3"/>
      <c r="IX1000" s="3"/>
      <c r="IY1000" s="3"/>
      <c r="IZ1000" s="3"/>
      <c r="JA1000" s="3"/>
      <c r="JB1000" s="3"/>
      <c r="JC1000" s="3"/>
      <c r="JD1000" s="3"/>
      <c r="JE1000" s="3"/>
      <c r="JF1000" s="3"/>
      <c r="JG1000" s="3"/>
      <c r="JH1000" s="3"/>
      <c r="JI1000" s="3"/>
      <c r="JJ1000" s="3"/>
      <c r="JK1000" s="3"/>
      <c r="JL1000" s="3"/>
      <c r="JM1000" s="3"/>
      <c r="JN1000" s="3"/>
      <c r="JO1000" s="3"/>
      <c r="JP1000" s="3"/>
      <c r="JQ1000" s="3"/>
      <c r="JR1000" s="3"/>
      <c r="JS1000" s="3"/>
      <c r="JT1000" s="3"/>
      <c r="JU1000" s="3"/>
      <c r="JV1000" s="3"/>
      <c r="JW1000" s="3"/>
      <c r="JX1000" s="3"/>
      <c r="JY1000" s="3"/>
      <c r="JZ1000" s="3"/>
      <c r="KA1000" s="3"/>
      <c r="KB1000" s="3"/>
      <c r="KC1000" s="3"/>
      <c r="KD1000" s="3"/>
      <c r="KE1000" s="3"/>
      <c r="KF1000" s="3"/>
      <c r="KG1000" s="3"/>
      <c r="KH1000" s="3"/>
      <c r="KI1000" s="3"/>
      <c r="KJ1000" s="3"/>
      <c r="KK1000" s="3"/>
      <c r="KL1000" s="3"/>
      <c r="KM1000" s="3"/>
      <c r="KN1000" s="3"/>
      <c r="KO1000" s="3"/>
      <c r="KP1000" s="3"/>
      <c r="KQ1000" s="3"/>
      <c r="KR1000" s="3"/>
      <c r="KS1000" s="3"/>
      <c r="KT1000" s="3"/>
      <c r="KU1000" s="3"/>
      <c r="KV1000" s="3"/>
      <c r="KW1000" s="3"/>
      <c r="KX1000" s="3"/>
      <c r="KY1000" s="3"/>
      <c r="KZ1000" s="3"/>
      <c r="LA1000" s="3"/>
      <c r="LB1000" s="3"/>
      <c r="LC1000" s="3"/>
      <c r="LD1000" s="3"/>
      <c r="LE1000" s="3"/>
      <c r="LF1000" s="3"/>
      <c r="LG1000" s="3"/>
      <c r="LH1000" s="3"/>
      <c r="LI1000" s="3"/>
      <c r="LJ1000" s="3"/>
      <c r="LK1000" s="3"/>
      <c r="LL1000" s="3"/>
      <c r="LM1000" s="3"/>
      <c r="LN1000" s="3"/>
      <c r="LO1000" s="3"/>
      <c r="LP1000" s="3"/>
      <c r="LQ1000" s="3"/>
      <c r="LR1000" s="3"/>
      <c r="LS1000" s="3"/>
      <c r="LT1000" s="3"/>
      <c r="LU1000" s="3"/>
      <c r="LV1000" s="3"/>
      <c r="LW1000" s="3"/>
      <c r="LX1000" s="3"/>
      <c r="LY1000" s="3"/>
      <c r="LZ1000" s="3"/>
      <c r="MA1000" s="3"/>
      <c r="MB1000" s="3"/>
      <c r="MC1000" s="3"/>
      <c r="MD1000" s="3"/>
      <c r="ME1000" s="3"/>
      <c r="MF1000" s="3"/>
      <c r="MG1000" s="3"/>
      <c r="MH1000" s="3"/>
      <c r="MI1000" s="3"/>
    </row>
    <row r="1001" spans="1:347" ht="15.75" customHeight="1"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c r="DI1001" s="3"/>
      <c r="DJ1001" s="3"/>
      <c r="DK1001" s="3"/>
      <c r="DL1001" s="3"/>
      <c r="DM1001" s="3"/>
      <c r="DN1001" s="3"/>
      <c r="DO1001" s="3"/>
      <c r="DP1001" s="3"/>
      <c r="DQ1001" s="3"/>
      <c r="DR1001" s="3"/>
      <c r="DS1001" s="3"/>
      <c r="DT1001" s="3"/>
      <c r="DU1001" s="3"/>
      <c r="DV1001" s="3"/>
      <c r="DW1001" s="3"/>
      <c r="DX1001" s="3"/>
      <c r="DY1001" s="3"/>
      <c r="DZ1001" s="3"/>
      <c r="EA1001" s="3"/>
      <c r="EB1001" s="3"/>
      <c r="EC1001" s="3"/>
      <c r="ED1001" s="3"/>
      <c r="EE1001" s="3"/>
      <c r="EF1001" s="3"/>
      <c r="EG1001" s="3"/>
      <c r="EH1001" s="3"/>
      <c r="EI1001" s="3"/>
      <c r="EJ1001" s="3"/>
      <c r="EK1001" s="3"/>
      <c r="EL1001" s="3"/>
      <c r="EM1001" s="3"/>
      <c r="EN1001" s="3"/>
      <c r="EO1001" s="3"/>
      <c r="EP1001" s="3"/>
      <c r="EQ1001" s="3"/>
      <c r="ER1001" s="3"/>
      <c r="ES1001" s="3"/>
      <c r="ET1001" s="3"/>
      <c r="EU1001" s="3"/>
      <c r="EV1001" s="3"/>
      <c r="EW1001" s="3"/>
      <c r="EX1001" s="3"/>
      <c r="EY1001" s="3"/>
      <c r="EZ1001" s="3"/>
      <c r="FA1001" s="3"/>
      <c r="FB1001" s="3"/>
      <c r="FC1001" s="3"/>
      <c r="FD1001" s="3"/>
      <c r="FE1001" s="3"/>
      <c r="FF1001" s="3"/>
      <c r="FG1001" s="3"/>
      <c r="FH1001" s="3"/>
      <c r="FI1001" s="3"/>
      <c r="FJ1001" s="3"/>
      <c r="FK1001" s="3"/>
      <c r="FL1001" s="3"/>
      <c r="FM1001" s="3"/>
      <c r="FN1001" s="3"/>
      <c r="FO1001" s="3"/>
      <c r="FP1001" s="3"/>
      <c r="FQ1001" s="3"/>
      <c r="FR1001" s="3"/>
      <c r="FS1001" s="3"/>
      <c r="FT1001" s="3"/>
      <c r="FU1001" s="3"/>
      <c r="FV1001" s="3"/>
      <c r="FW1001" s="3"/>
      <c r="FX1001" s="3"/>
      <c r="FY1001" s="3"/>
      <c r="FZ1001" s="3"/>
      <c r="GA1001" s="3"/>
      <c r="GB1001" s="3"/>
      <c r="GC1001" s="3"/>
      <c r="GD1001" s="3"/>
      <c r="GE1001" s="3"/>
      <c r="GF1001" s="3"/>
      <c r="GG1001" s="3"/>
      <c r="GH1001" s="3"/>
      <c r="GI1001" s="3"/>
      <c r="GJ1001" s="3"/>
      <c r="GK1001" s="3"/>
      <c r="GL1001" s="3"/>
      <c r="GM1001" s="3"/>
      <c r="GN1001" s="3"/>
      <c r="GO1001" s="3"/>
      <c r="GP1001" s="3"/>
      <c r="GQ1001" s="3"/>
      <c r="GR1001" s="3"/>
      <c r="GS1001" s="3"/>
      <c r="GT1001" s="3"/>
      <c r="GU1001" s="3"/>
      <c r="GV1001" s="3"/>
      <c r="GW1001" s="3"/>
      <c r="GX1001" s="3"/>
      <c r="GY1001" s="3"/>
      <c r="GZ1001" s="3"/>
      <c r="HA1001" s="3"/>
      <c r="HB1001" s="3"/>
      <c r="HC1001" s="3"/>
      <c r="HD1001" s="3"/>
      <c r="HE1001" s="3"/>
      <c r="HF1001" s="3"/>
      <c r="HG1001" s="3"/>
      <c r="HH1001" s="3"/>
      <c r="HI1001" s="3"/>
      <c r="HJ1001" s="3"/>
      <c r="HK1001" s="3"/>
      <c r="HL1001" s="3"/>
      <c r="HM1001" s="3"/>
      <c r="HN1001" s="3"/>
      <c r="HO1001" s="3"/>
      <c r="HP1001" s="3"/>
      <c r="HQ1001" s="3"/>
      <c r="HR1001" s="3"/>
      <c r="HS1001" s="3"/>
      <c r="HT1001" s="3"/>
      <c r="HU1001" s="3"/>
      <c r="HV1001" s="3"/>
      <c r="HW1001" s="3"/>
      <c r="HX1001" s="3"/>
      <c r="HY1001" s="3"/>
      <c r="HZ1001" s="3"/>
      <c r="IA1001" s="3"/>
      <c r="IB1001" s="3"/>
      <c r="IC1001" s="3"/>
      <c r="ID1001" s="3"/>
      <c r="IE1001" s="3"/>
      <c r="IF1001" s="3"/>
      <c r="IG1001" s="3"/>
      <c r="IH1001" s="3"/>
      <c r="II1001" s="3"/>
      <c r="IJ1001" s="3"/>
      <c r="IK1001" s="3"/>
      <c r="IL1001" s="3"/>
      <c r="IM1001" s="3"/>
      <c r="IN1001" s="3"/>
      <c r="IO1001" s="3"/>
      <c r="IP1001" s="3"/>
      <c r="IQ1001" s="3"/>
      <c r="IR1001" s="3"/>
      <c r="IS1001" s="3"/>
      <c r="IT1001" s="3"/>
      <c r="IU1001" s="3"/>
      <c r="IV1001" s="3"/>
      <c r="IW1001" s="3"/>
      <c r="IX1001" s="3"/>
      <c r="IY1001" s="3"/>
      <c r="IZ1001" s="3"/>
      <c r="JA1001" s="3"/>
      <c r="JB1001" s="3"/>
      <c r="JC1001" s="3"/>
      <c r="JD1001" s="3"/>
      <c r="JE1001" s="3"/>
      <c r="JF1001" s="3"/>
      <c r="JG1001" s="3"/>
      <c r="JH1001" s="3"/>
      <c r="JI1001" s="3"/>
      <c r="JJ1001" s="3"/>
      <c r="JK1001" s="3"/>
      <c r="JL1001" s="3"/>
      <c r="JM1001" s="3"/>
      <c r="JN1001" s="3"/>
      <c r="JO1001" s="3"/>
      <c r="JP1001" s="3"/>
      <c r="JQ1001" s="3"/>
      <c r="JR1001" s="3"/>
      <c r="JS1001" s="3"/>
      <c r="JT1001" s="3"/>
      <c r="JU1001" s="3"/>
      <c r="JV1001" s="3"/>
      <c r="JW1001" s="3"/>
      <c r="JX1001" s="3"/>
      <c r="JY1001" s="3"/>
      <c r="JZ1001" s="3"/>
      <c r="KA1001" s="3"/>
      <c r="KB1001" s="3"/>
      <c r="KC1001" s="3"/>
      <c r="KD1001" s="3"/>
      <c r="KE1001" s="3"/>
      <c r="KF1001" s="3"/>
      <c r="KG1001" s="3"/>
      <c r="KH1001" s="3"/>
      <c r="KI1001" s="3"/>
      <c r="KJ1001" s="3"/>
      <c r="KK1001" s="3"/>
      <c r="KL1001" s="3"/>
      <c r="KM1001" s="3"/>
      <c r="KN1001" s="3"/>
      <c r="KO1001" s="3"/>
      <c r="KP1001" s="3"/>
      <c r="KQ1001" s="3"/>
      <c r="KR1001" s="3"/>
      <c r="KS1001" s="3"/>
      <c r="KT1001" s="3"/>
      <c r="KU1001" s="3"/>
      <c r="KV1001" s="3"/>
      <c r="KW1001" s="3"/>
      <c r="KX1001" s="3"/>
      <c r="KY1001" s="3"/>
      <c r="KZ1001" s="3"/>
      <c r="LA1001" s="3"/>
      <c r="LB1001" s="3"/>
      <c r="LC1001" s="3"/>
      <c r="LD1001" s="3"/>
      <c r="LE1001" s="3"/>
      <c r="LF1001" s="3"/>
      <c r="LG1001" s="3"/>
      <c r="LH1001" s="3"/>
      <c r="LI1001" s="3"/>
      <c r="LJ1001" s="3"/>
      <c r="LK1001" s="3"/>
      <c r="LL1001" s="3"/>
      <c r="LM1001" s="3"/>
      <c r="LN1001" s="3"/>
      <c r="LO1001" s="3"/>
      <c r="LP1001" s="3"/>
      <c r="LQ1001" s="3"/>
      <c r="LR1001" s="3"/>
      <c r="LS1001" s="3"/>
      <c r="LT1001" s="3"/>
      <c r="LU1001" s="3"/>
      <c r="LV1001" s="3"/>
      <c r="LW1001" s="3"/>
      <c r="LX1001" s="3"/>
      <c r="LY1001" s="3"/>
      <c r="LZ1001" s="3"/>
      <c r="MA1001" s="3"/>
      <c r="MB1001" s="3"/>
      <c r="MC1001" s="3"/>
      <c r="MD1001" s="3"/>
      <c r="ME1001" s="3"/>
      <c r="MF1001" s="3"/>
      <c r="MG1001" s="3"/>
      <c r="MH1001" s="3"/>
      <c r="MI1001" s="3"/>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H1000"/>
  <sheetViews>
    <sheetView workbookViewId="0"/>
  </sheetViews>
  <sheetFormatPr baseColWidth="10" defaultColWidth="11.1640625" defaultRowHeight="15" customHeight="1" x14ac:dyDescent="0.2"/>
  <cols>
    <col min="1" max="2" width="10.5" customWidth="1"/>
    <col min="3" max="3" width="31.83203125" customWidth="1"/>
    <col min="4" max="7" width="10.5" customWidth="1"/>
    <col min="8" max="8" width="37.5" customWidth="1"/>
    <col min="9" max="26" width="10.5" customWidth="1"/>
  </cols>
  <sheetData>
    <row r="1" spans="3:8" ht="15.75" customHeight="1" x14ac:dyDescent="0.2">
      <c r="C1" s="18" t="s">
        <v>0</v>
      </c>
    </row>
    <row r="2" spans="3:8" ht="15.75" customHeight="1" x14ac:dyDescent="0.2">
      <c r="C2" s="18" t="s">
        <v>1</v>
      </c>
    </row>
    <row r="3" spans="3:8" ht="15.75" customHeight="1" x14ac:dyDescent="0.2">
      <c r="C3" s="19" t="s">
        <v>2</v>
      </c>
    </row>
    <row r="4" spans="3:8" ht="15.75" customHeight="1" x14ac:dyDescent="0.2">
      <c r="C4" s="19" t="s">
        <v>3</v>
      </c>
      <c r="G4" s="20" t="s">
        <v>383</v>
      </c>
      <c r="H4" s="20" t="s">
        <v>1616</v>
      </c>
    </row>
    <row r="5" spans="3:8" ht="15.75" customHeight="1" x14ac:dyDescent="0.2">
      <c r="C5" s="19" t="s">
        <v>4</v>
      </c>
      <c r="G5" s="20" t="s">
        <v>356</v>
      </c>
      <c r="H5" s="20" t="s">
        <v>1617</v>
      </c>
    </row>
    <row r="6" spans="3:8" ht="15.75" customHeight="1" x14ac:dyDescent="0.2">
      <c r="C6" s="19" t="s">
        <v>5</v>
      </c>
      <c r="G6" s="20" t="s">
        <v>359</v>
      </c>
      <c r="H6" s="20" t="s">
        <v>1618</v>
      </c>
    </row>
    <row r="7" spans="3:8" ht="15.75" customHeight="1" x14ac:dyDescent="0.2">
      <c r="C7" s="19" t="s">
        <v>6</v>
      </c>
    </row>
    <row r="8" spans="3:8" ht="15.75" customHeight="1" x14ac:dyDescent="0.2">
      <c r="C8" s="19" t="s">
        <v>7</v>
      </c>
    </row>
    <row r="9" spans="3:8" ht="15.75" customHeight="1" x14ac:dyDescent="0.2">
      <c r="C9" s="18" t="s">
        <v>1619</v>
      </c>
    </row>
    <row r="10" spans="3:8" ht="15.75" customHeight="1" x14ac:dyDescent="0.2">
      <c r="C10" s="19" t="s">
        <v>8</v>
      </c>
      <c r="D10" s="20" t="s">
        <v>1620</v>
      </c>
    </row>
    <row r="11" spans="3:8" ht="15.75" customHeight="1" x14ac:dyDescent="0.2">
      <c r="C11" s="19" t="s">
        <v>1621</v>
      </c>
      <c r="D11" s="20" t="s">
        <v>1622</v>
      </c>
    </row>
    <row r="12" spans="3:8" ht="15.75" customHeight="1" x14ac:dyDescent="0.2">
      <c r="C12" s="18" t="s">
        <v>10</v>
      </c>
      <c r="D12" s="20" t="s">
        <v>1623</v>
      </c>
    </row>
    <row r="13" spans="3:8" ht="15.75" customHeight="1" x14ac:dyDescent="0.2">
      <c r="C13" s="18" t="s">
        <v>11</v>
      </c>
    </row>
    <row r="14" spans="3:8" ht="15.75" customHeight="1" x14ac:dyDescent="0.2">
      <c r="C14" s="18" t="s">
        <v>12</v>
      </c>
    </row>
    <row r="15" spans="3:8" ht="15.75" customHeight="1" x14ac:dyDescent="0.2">
      <c r="C15" s="19" t="s">
        <v>14</v>
      </c>
    </row>
    <row r="16" spans="3:8" ht="15.75" customHeight="1" x14ac:dyDescent="0.2">
      <c r="C16" s="18" t="s">
        <v>1624</v>
      </c>
    </row>
    <row r="17" spans="3:4" ht="15.75" customHeight="1" x14ac:dyDescent="0.2">
      <c r="C17" s="19" t="s">
        <v>15</v>
      </c>
      <c r="D17" s="20" t="s">
        <v>1622</v>
      </c>
    </row>
    <row r="18" spans="3:4" ht="15.75" customHeight="1" x14ac:dyDescent="0.2">
      <c r="C18" s="19" t="s">
        <v>16</v>
      </c>
    </row>
    <row r="19" spans="3:4" ht="15.75" customHeight="1" x14ac:dyDescent="0.2">
      <c r="C19" s="19" t="s">
        <v>17</v>
      </c>
    </row>
    <row r="20" spans="3:4" ht="15.75" customHeight="1" x14ac:dyDescent="0.2">
      <c r="C20" s="18" t="s">
        <v>18</v>
      </c>
    </row>
    <row r="21" spans="3:4" ht="15.75" customHeight="1" x14ac:dyDescent="0.2">
      <c r="C21" s="18" t="s">
        <v>19</v>
      </c>
    </row>
    <row r="22" spans="3:4" ht="15.75" customHeight="1" x14ac:dyDescent="0.2">
      <c r="C22" s="18" t="s">
        <v>20</v>
      </c>
    </row>
    <row r="23" spans="3:4" ht="15.75" customHeight="1" x14ac:dyDescent="0.2">
      <c r="C23" s="18" t="s">
        <v>21</v>
      </c>
    </row>
    <row r="24" spans="3:4" ht="15.75" customHeight="1" x14ac:dyDescent="0.2">
      <c r="C24" s="18" t="s">
        <v>22</v>
      </c>
    </row>
    <row r="25" spans="3:4" ht="15.75" customHeight="1" x14ac:dyDescent="0.2">
      <c r="C25" s="18" t="s">
        <v>23</v>
      </c>
    </row>
    <row r="26" spans="3:4" ht="15.75" customHeight="1" x14ac:dyDescent="0.2">
      <c r="C26" s="18" t="s">
        <v>24</v>
      </c>
    </row>
    <row r="27" spans="3:4" ht="15.75" customHeight="1" x14ac:dyDescent="0.2">
      <c r="C27" s="18" t="s">
        <v>25</v>
      </c>
    </row>
    <row r="28" spans="3:4" ht="15.75" customHeight="1" x14ac:dyDescent="0.2">
      <c r="C28" s="18" t="s">
        <v>26</v>
      </c>
    </row>
    <row r="29" spans="3:4" ht="15.75" customHeight="1" x14ac:dyDescent="0.2">
      <c r="C29" s="18" t="s">
        <v>27</v>
      </c>
    </row>
    <row r="30" spans="3:4" ht="15.75" customHeight="1" x14ac:dyDescent="0.2">
      <c r="C30" s="18" t="s">
        <v>28</v>
      </c>
    </row>
    <row r="31" spans="3:4" ht="15.75" customHeight="1" x14ac:dyDescent="0.2">
      <c r="C31" s="18" t="s">
        <v>29</v>
      </c>
    </row>
    <row r="32" spans="3:4" ht="15.75" customHeight="1" x14ac:dyDescent="0.2">
      <c r="C32" s="18" t="s">
        <v>30</v>
      </c>
    </row>
    <row r="33" spans="3:4" ht="15.75" customHeight="1" x14ac:dyDescent="0.2">
      <c r="C33" s="18" t="s">
        <v>31</v>
      </c>
    </row>
    <row r="34" spans="3:4" ht="15.75" customHeight="1" x14ac:dyDescent="0.2">
      <c r="C34" s="18" t="s">
        <v>32</v>
      </c>
    </row>
    <row r="35" spans="3:4" ht="15.75" customHeight="1" x14ac:dyDescent="0.2">
      <c r="C35" s="18" t="s">
        <v>33</v>
      </c>
    </row>
    <row r="36" spans="3:4" ht="15.75" customHeight="1" x14ac:dyDescent="0.2">
      <c r="C36" s="18" t="s">
        <v>34</v>
      </c>
    </row>
    <row r="37" spans="3:4" ht="15.75" customHeight="1" x14ac:dyDescent="0.2">
      <c r="C37" s="19" t="s">
        <v>35</v>
      </c>
    </row>
    <row r="38" spans="3:4" ht="15.75" customHeight="1" x14ac:dyDescent="0.2">
      <c r="C38" s="19" t="s">
        <v>36</v>
      </c>
    </row>
    <row r="39" spans="3:4" ht="15.75" customHeight="1" x14ac:dyDescent="0.2">
      <c r="C39" s="21" t="s">
        <v>1625</v>
      </c>
      <c r="D39" s="22" t="s">
        <v>1622</v>
      </c>
    </row>
    <row r="40" spans="3:4" ht="15.75" customHeight="1" x14ac:dyDescent="0.2">
      <c r="C40" s="21" t="s">
        <v>1626</v>
      </c>
      <c r="D40" s="22" t="s">
        <v>1622</v>
      </c>
    </row>
    <row r="41" spans="3:4" ht="15.75" customHeight="1" x14ac:dyDescent="0.2">
      <c r="C41" s="18" t="s">
        <v>37</v>
      </c>
    </row>
    <row r="42" spans="3:4" ht="15.75" customHeight="1" x14ac:dyDescent="0.2">
      <c r="C42" s="18" t="s">
        <v>38</v>
      </c>
    </row>
    <row r="43" spans="3:4" ht="15.75" customHeight="1" x14ac:dyDescent="0.2">
      <c r="C43" s="18" t="s">
        <v>39</v>
      </c>
    </row>
    <row r="44" spans="3:4" ht="15.75" customHeight="1" x14ac:dyDescent="0.2">
      <c r="C44" s="18" t="s">
        <v>40</v>
      </c>
    </row>
    <row r="45" spans="3:4" ht="15.75" customHeight="1" x14ac:dyDescent="0.2">
      <c r="C45" s="18" t="s">
        <v>41</v>
      </c>
    </row>
    <row r="46" spans="3:4" ht="15.75" customHeight="1" x14ac:dyDescent="0.2">
      <c r="C46" s="18" t="s">
        <v>42</v>
      </c>
    </row>
    <row r="47" spans="3:4" ht="15.75" customHeight="1" x14ac:dyDescent="0.2">
      <c r="C47" s="18" t="s">
        <v>43</v>
      </c>
    </row>
    <row r="48" spans="3:4" ht="15.75" customHeight="1" x14ac:dyDescent="0.2">
      <c r="C48" s="18" t="s">
        <v>44</v>
      </c>
    </row>
    <row r="49" spans="3:4" ht="15.75" customHeight="1" x14ac:dyDescent="0.2">
      <c r="C49" s="18" t="s">
        <v>45</v>
      </c>
    </row>
    <row r="50" spans="3:4" ht="15.75" customHeight="1" x14ac:dyDescent="0.2">
      <c r="C50" s="18" t="s">
        <v>46</v>
      </c>
    </row>
    <row r="51" spans="3:4" ht="15.75" customHeight="1" x14ac:dyDescent="0.2">
      <c r="C51" s="18" t="s">
        <v>47</v>
      </c>
    </row>
    <row r="52" spans="3:4" ht="15.75" customHeight="1" x14ac:dyDescent="0.2">
      <c r="C52" s="18" t="s">
        <v>48</v>
      </c>
    </row>
    <row r="53" spans="3:4" ht="15.75" customHeight="1" x14ac:dyDescent="0.2">
      <c r="C53" s="18" t="s">
        <v>49</v>
      </c>
    </row>
    <row r="54" spans="3:4" ht="15.75" customHeight="1" x14ac:dyDescent="0.2">
      <c r="C54" s="18" t="s">
        <v>50</v>
      </c>
    </row>
    <row r="55" spans="3:4" ht="15.75" customHeight="1" x14ac:dyDescent="0.2">
      <c r="C55" s="18" t="s">
        <v>53</v>
      </c>
    </row>
    <row r="56" spans="3:4" ht="15.75" customHeight="1" x14ac:dyDescent="0.2">
      <c r="C56" s="19" t="s">
        <v>54</v>
      </c>
    </row>
    <row r="57" spans="3:4" ht="15.75" customHeight="1" x14ac:dyDescent="0.2">
      <c r="C57" s="18" t="s">
        <v>55</v>
      </c>
    </row>
    <row r="58" spans="3:4" ht="15.75" customHeight="1" x14ac:dyDescent="0.2">
      <c r="C58" s="18" t="s">
        <v>56</v>
      </c>
    </row>
    <row r="59" spans="3:4" ht="15.75" customHeight="1" x14ac:dyDescent="0.2">
      <c r="C59" s="18" t="s">
        <v>57</v>
      </c>
    </row>
    <row r="60" spans="3:4" ht="15.75" customHeight="1" x14ac:dyDescent="0.2">
      <c r="C60" s="18" t="s">
        <v>58</v>
      </c>
    </row>
    <row r="61" spans="3:4" ht="15.75" customHeight="1" x14ac:dyDescent="0.2">
      <c r="C61" s="18" t="s">
        <v>59</v>
      </c>
    </row>
    <row r="62" spans="3:4" ht="15.75" customHeight="1" x14ac:dyDescent="0.2">
      <c r="C62" s="18" t="s">
        <v>60</v>
      </c>
    </row>
    <row r="63" spans="3:4" ht="15.75" customHeight="1" x14ac:dyDescent="0.2">
      <c r="C63" s="19" t="s">
        <v>61</v>
      </c>
      <c r="D63" s="20" t="s">
        <v>1627</v>
      </c>
    </row>
    <row r="64" spans="3:4" ht="15.75" customHeight="1" x14ac:dyDescent="0.2">
      <c r="C64" s="19" t="s">
        <v>62</v>
      </c>
      <c r="D64" s="20" t="s">
        <v>1627</v>
      </c>
    </row>
    <row r="65" spans="3:4" ht="15.75" customHeight="1" x14ac:dyDescent="0.2">
      <c r="C65" s="19" t="s">
        <v>63</v>
      </c>
      <c r="D65" s="20" t="s">
        <v>1627</v>
      </c>
    </row>
    <row r="66" spans="3:4" ht="15.75" customHeight="1" x14ac:dyDescent="0.2">
      <c r="C66" s="19" t="s">
        <v>64</v>
      </c>
      <c r="D66" s="20" t="s">
        <v>1627</v>
      </c>
    </row>
    <row r="67" spans="3:4" ht="15.75" customHeight="1" x14ac:dyDescent="0.2">
      <c r="C67" s="19" t="s">
        <v>65</v>
      </c>
      <c r="D67" s="20" t="s">
        <v>1627</v>
      </c>
    </row>
    <row r="68" spans="3:4" ht="15.75" customHeight="1" x14ac:dyDescent="0.2">
      <c r="C68" s="19" t="s">
        <v>66</v>
      </c>
      <c r="D68" s="20" t="s">
        <v>1627</v>
      </c>
    </row>
    <row r="69" spans="3:4" ht="15.75" customHeight="1" x14ac:dyDescent="0.2">
      <c r="C69" s="19" t="s">
        <v>67</v>
      </c>
      <c r="D69" s="20" t="s">
        <v>1627</v>
      </c>
    </row>
    <row r="70" spans="3:4" ht="15.75" customHeight="1" x14ac:dyDescent="0.2">
      <c r="C70" s="19" t="s">
        <v>1628</v>
      </c>
      <c r="D70" s="20" t="s">
        <v>1627</v>
      </c>
    </row>
    <row r="71" spans="3:4" ht="15.75" customHeight="1" x14ac:dyDescent="0.2">
      <c r="C71" s="19" t="s">
        <v>68</v>
      </c>
    </row>
    <row r="72" spans="3:4" ht="15.75" customHeight="1" x14ac:dyDescent="0.2">
      <c r="C72" s="19" t="s">
        <v>69</v>
      </c>
    </row>
    <row r="73" spans="3:4" ht="15.75" customHeight="1" x14ac:dyDescent="0.2">
      <c r="C73" s="19" t="s">
        <v>70</v>
      </c>
    </row>
    <row r="74" spans="3:4" ht="15.75" customHeight="1" x14ac:dyDescent="0.2">
      <c r="C74" s="19" t="s">
        <v>71</v>
      </c>
    </row>
    <row r="75" spans="3:4" ht="15.75" customHeight="1" x14ac:dyDescent="0.2">
      <c r="C75" s="19" t="s">
        <v>72</v>
      </c>
    </row>
    <row r="76" spans="3:4" ht="15.75" customHeight="1" x14ac:dyDescent="0.2">
      <c r="C76" s="19" t="s">
        <v>73</v>
      </c>
    </row>
    <row r="77" spans="3:4" ht="15.75" customHeight="1" x14ac:dyDescent="0.2">
      <c r="C77" s="19" t="s">
        <v>74</v>
      </c>
    </row>
    <row r="78" spans="3:4" ht="15.75" customHeight="1" x14ac:dyDescent="0.2">
      <c r="C78" s="19" t="s">
        <v>75</v>
      </c>
    </row>
    <row r="79" spans="3:4" ht="15.75" customHeight="1" x14ac:dyDescent="0.2">
      <c r="C79" s="19" t="s">
        <v>76</v>
      </c>
    </row>
    <row r="80" spans="3:4" ht="15.75" customHeight="1" x14ac:dyDescent="0.2">
      <c r="C80" s="19" t="s">
        <v>77</v>
      </c>
    </row>
    <row r="81" spans="3:3" ht="15.75" customHeight="1" x14ac:dyDescent="0.2">
      <c r="C81" s="19" t="s">
        <v>78</v>
      </c>
    </row>
    <row r="82" spans="3:3" ht="15.75" customHeight="1" x14ac:dyDescent="0.2">
      <c r="C82" s="19" t="s">
        <v>79</v>
      </c>
    </row>
    <row r="83" spans="3:3" ht="15.75" customHeight="1" x14ac:dyDescent="0.2">
      <c r="C83" s="19" t="s">
        <v>80</v>
      </c>
    </row>
    <row r="84" spans="3:3" ht="15.75" customHeight="1" x14ac:dyDescent="0.2">
      <c r="C84" s="19" t="s">
        <v>81</v>
      </c>
    </row>
    <row r="85" spans="3:3" ht="15.75" customHeight="1" x14ac:dyDescent="0.2">
      <c r="C85" s="19" t="s">
        <v>82</v>
      </c>
    </row>
    <row r="86" spans="3:3" ht="15.75" customHeight="1" x14ac:dyDescent="0.2">
      <c r="C86" s="19" t="s">
        <v>83</v>
      </c>
    </row>
    <row r="87" spans="3:3" ht="15.75" customHeight="1" x14ac:dyDescent="0.2">
      <c r="C87" s="19" t="s">
        <v>84</v>
      </c>
    </row>
    <row r="88" spans="3:3" ht="15.75" customHeight="1" x14ac:dyDescent="0.2">
      <c r="C88" s="19" t="s">
        <v>85</v>
      </c>
    </row>
    <row r="89" spans="3:3" ht="15.75" customHeight="1" x14ac:dyDescent="0.2">
      <c r="C89" s="19" t="s">
        <v>86</v>
      </c>
    </row>
    <row r="90" spans="3:3" ht="15.75" customHeight="1" x14ac:dyDescent="0.2">
      <c r="C90" s="19" t="s">
        <v>87</v>
      </c>
    </row>
    <row r="91" spans="3:3" ht="15.75" customHeight="1" x14ac:dyDescent="0.2">
      <c r="C91" s="19" t="s">
        <v>88</v>
      </c>
    </row>
    <row r="92" spans="3:3" ht="15.75" customHeight="1" x14ac:dyDescent="0.2">
      <c r="C92" s="19" t="s">
        <v>89</v>
      </c>
    </row>
    <row r="93" spans="3:3" ht="15.75" customHeight="1" x14ac:dyDescent="0.2">
      <c r="C93" s="19" t="s">
        <v>90</v>
      </c>
    </row>
    <row r="94" spans="3:3" ht="15.75" customHeight="1" x14ac:dyDescent="0.2">
      <c r="C94" s="19" t="s">
        <v>91</v>
      </c>
    </row>
    <row r="95" spans="3:3" ht="15.75" customHeight="1" x14ac:dyDescent="0.2">
      <c r="C95" s="19" t="s">
        <v>92</v>
      </c>
    </row>
    <row r="96" spans="3:3" ht="15.75" customHeight="1" x14ac:dyDescent="0.2">
      <c r="C96" s="19" t="s">
        <v>93</v>
      </c>
    </row>
    <row r="97" spans="3:3" ht="15.75" customHeight="1" x14ac:dyDescent="0.2">
      <c r="C97" s="19" t="s">
        <v>94</v>
      </c>
    </row>
    <row r="98" spans="3:3" ht="15.75" customHeight="1" x14ac:dyDescent="0.2">
      <c r="C98" s="19" t="s">
        <v>95</v>
      </c>
    </row>
    <row r="99" spans="3:3" ht="15.75" customHeight="1" x14ac:dyDescent="0.2">
      <c r="C99" s="19" t="s">
        <v>96</v>
      </c>
    </row>
    <row r="100" spans="3:3" ht="15.75" customHeight="1" x14ac:dyDescent="0.2">
      <c r="C100" s="19" t="s">
        <v>97</v>
      </c>
    </row>
    <row r="101" spans="3:3" ht="15.75" customHeight="1" x14ac:dyDescent="0.2">
      <c r="C101" s="19" t="s">
        <v>98</v>
      </c>
    </row>
    <row r="102" spans="3:3" ht="15.75" customHeight="1" x14ac:dyDescent="0.2">
      <c r="C102" s="19" t="s">
        <v>99</v>
      </c>
    </row>
    <row r="103" spans="3:3" ht="15.75" customHeight="1" x14ac:dyDescent="0.2">
      <c r="C103" s="19" t="s">
        <v>100</v>
      </c>
    </row>
    <row r="104" spans="3:3" ht="15.75" customHeight="1" x14ac:dyDescent="0.2">
      <c r="C104" s="19" t="s">
        <v>101</v>
      </c>
    </row>
    <row r="105" spans="3:3" ht="15.75" customHeight="1" x14ac:dyDescent="0.25">
      <c r="C105" s="23" t="s">
        <v>102</v>
      </c>
    </row>
    <row r="106" spans="3:3" ht="15.75" customHeight="1" x14ac:dyDescent="0.25">
      <c r="C106" s="23" t="s">
        <v>103</v>
      </c>
    </row>
    <row r="107" spans="3:3" ht="15.75" customHeight="1" x14ac:dyDescent="0.25">
      <c r="C107" s="23" t="s">
        <v>104</v>
      </c>
    </row>
    <row r="108" spans="3:3" ht="15.75" customHeight="1" x14ac:dyDescent="0.25">
      <c r="C108" s="23" t="s">
        <v>105</v>
      </c>
    </row>
    <row r="109" spans="3:3" ht="15.75" customHeight="1" x14ac:dyDescent="0.25">
      <c r="C109" s="23" t="s">
        <v>106</v>
      </c>
    </row>
    <row r="110" spans="3:3" ht="15.75" customHeight="1" x14ac:dyDescent="0.25">
      <c r="C110" s="23" t="s">
        <v>107</v>
      </c>
    </row>
    <row r="111" spans="3:3" ht="15.75" customHeight="1" x14ac:dyDescent="0.2">
      <c r="C111" s="19" t="s">
        <v>108</v>
      </c>
    </row>
    <row r="112" spans="3:3" ht="15.75" customHeight="1" x14ac:dyDescent="0.2">
      <c r="C112" s="19" t="s">
        <v>109</v>
      </c>
    </row>
    <row r="113" spans="3:3" ht="15.75" customHeight="1" x14ac:dyDescent="0.2">
      <c r="C113" s="19" t="s">
        <v>110</v>
      </c>
    </row>
    <row r="114" spans="3:3" ht="15.75" customHeight="1" x14ac:dyDescent="0.2">
      <c r="C114" s="19" t="s">
        <v>111</v>
      </c>
    </row>
    <row r="115" spans="3:3" ht="15.75" customHeight="1" x14ac:dyDescent="0.2">
      <c r="C115" s="19" t="s">
        <v>112</v>
      </c>
    </row>
    <row r="116" spans="3:3" ht="15.75" customHeight="1" x14ac:dyDescent="0.2">
      <c r="C116" s="19" t="s">
        <v>113</v>
      </c>
    </row>
    <row r="117" spans="3:3" ht="15.75" customHeight="1" x14ac:dyDescent="0.2">
      <c r="C117" s="19" t="s">
        <v>114</v>
      </c>
    </row>
    <row r="118" spans="3:3" ht="15.75" customHeight="1" x14ac:dyDescent="0.2">
      <c r="C118" s="19" t="s">
        <v>115</v>
      </c>
    </row>
    <row r="119" spans="3:3" ht="15.75" customHeight="1" x14ac:dyDescent="0.2">
      <c r="C119" s="19" t="s">
        <v>116</v>
      </c>
    </row>
    <row r="120" spans="3:3" ht="15.75" customHeight="1" x14ac:dyDescent="0.2">
      <c r="C120" s="19" t="s">
        <v>117</v>
      </c>
    </row>
    <row r="121" spans="3:3" ht="15.75" customHeight="1" x14ac:dyDescent="0.2">
      <c r="C121" s="19" t="s">
        <v>118</v>
      </c>
    </row>
    <row r="122" spans="3:3" ht="15.75" customHeight="1" x14ac:dyDescent="0.2">
      <c r="C122" s="19" t="s">
        <v>119</v>
      </c>
    </row>
    <row r="123" spans="3:3" ht="15.75" customHeight="1" x14ac:dyDescent="0.2">
      <c r="C123" s="19" t="s">
        <v>120</v>
      </c>
    </row>
    <row r="124" spans="3:3" ht="15.75" customHeight="1" x14ac:dyDescent="0.2">
      <c r="C124" s="19" t="s">
        <v>121</v>
      </c>
    </row>
    <row r="125" spans="3:3" ht="15.75" customHeight="1" x14ac:dyDescent="0.2">
      <c r="C125" s="19" t="s">
        <v>122</v>
      </c>
    </row>
    <row r="126" spans="3:3" ht="15.75" customHeight="1" x14ac:dyDescent="0.2">
      <c r="C126" s="19" t="s">
        <v>123</v>
      </c>
    </row>
    <row r="127" spans="3:3" ht="15.75" customHeight="1" x14ac:dyDescent="0.2">
      <c r="C127" s="19" t="s">
        <v>124</v>
      </c>
    </row>
    <row r="128" spans="3:3" ht="15.75" customHeight="1" x14ac:dyDescent="0.2">
      <c r="C128" s="19" t="s">
        <v>125</v>
      </c>
    </row>
    <row r="129" spans="3:3" ht="15.75" customHeight="1" x14ac:dyDescent="0.2">
      <c r="C129" s="19" t="s">
        <v>126</v>
      </c>
    </row>
    <row r="130" spans="3:3" ht="15.75" customHeight="1" x14ac:dyDescent="0.2">
      <c r="C130" s="19" t="s">
        <v>127</v>
      </c>
    </row>
    <row r="131" spans="3:3" ht="15.75" customHeight="1" x14ac:dyDescent="0.2">
      <c r="C131" s="19" t="s">
        <v>128</v>
      </c>
    </row>
    <row r="132" spans="3:3" ht="15.75" customHeight="1" x14ac:dyDescent="0.2">
      <c r="C132" s="19" t="s">
        <v>129</v>
      </c>
    </row>
    <row r="133" spans="3:3" ht="15.75" customHeight="1" x14ac:dyDescent="0.2">
      <c r="C133" s="19" t="s">
        <v>130</v>
      </c>
    </row>
    <row r="134" spans="3:3" ht="15.75" customHeight="1" x14ac:dyDescent="0.2">
      <c r="C134" s="19" t="s">
        <v>131</v>
      </c>
    </row>
    <row r="135" spans="3:3" ht="15.75" customHeight="1" x14ac:dyDescent="0.2">
      <c r="C135" s="19" t="s">
        <v>132</v>
      </c>
    </row>
    <row r="136" spans="3:3" ht="15.75" customHeight="1" x14ac:dyDescent="0.2">
      <c r="C136" s="19" t="s">
        <v>133</v>
      </c>
    </row>
    <row r="137" spans="3:3" ht="15.75" customHeight="1" x14ac:dyDescent="0.2">
      <c r="C137" s="19" t="s">
        <v>134</v>
      </c>
    </row>
    <row r="138" spans="3:3" ht="15.75" customHeight="1" x14ac:dyDescent="0.2">
      <c r="C138" s="19" t="s">
        <v>135</v>
      </c>
    </row>
    <row r="139" spans="3:3" ht="15.75" customHeight="1" x14ac:dyDescent="0.2">
      <c r="C139" s="19" t="s">
        <v>136</v>
      </c>
    </row>
    <row r="140" spans="3:3" ht="15.75" customHeight="1" x14ac:dyDescent="0.2">
      <c r="C140" s="19" t="s">
        <v>137</v>
      </c>
    </row>
    <row r="141" spans="3:3" ht="15.75" customHeight="1" x14ac:dyDescent="0.2">
      <c r="C141" s="19" t="s">
        <v>138</v>
      </c>
    </row>
    <row r="142" spans="3:3" ht="15.75" customHeight="1" x14ac:dyDescent="0.2">
      <c r="C142" s="19" t="s">
        <v>139</v>
      </c>
    </row>
    <row r="143" spans="3:3" ht="15.75" customHeight="1" x14ac:dyDescent="0.2">
      <c r="C143" s="19" t="s">
        <v>140</v>
      </c>
    </row>
    <row r="144" spans="3:3" ht="15.75" customHeight="1" x14ac:dyDescent="0.2">
      <c r="C144" s="19" t="s">
        <v>141</v>
      </c>
    </row>
    <row r="145" spans="3:3" ht="15.75" customHeight="1" x14ac:dyDescent="0.2">
      <c r="C145" s="18" t="s">
        <v>1629</v>
      </c>
    </row>
    <row r="146" spans="3:3" ht="15.75" customHeight="1" x14ac:dyDescent="0.2">
      <c r="C146" s="18" t="s">
        <v>1630</v>
      </c>
    </row>
    <row r="147" spans="3:3" ht="15.75" customHeight="1" x14ac:dyDescent="0.2">
      <c r="C147" s="18" t="s">
        <v>1631</v>
      </c>
    </row>
    <row r="148" spans="3:3" ht="15.75" customHeight="1" x14ac:dyDescent="0.2">
      <c r="C148" s="18" t="s">
        <v>1632</v>
      </c>
    </row>
    <row r="149" spans="3:3" ht="15.75" customHeight="1" x14ac:dyDescent="0.2">
      <c r="C149" s="19" t="s">
        <v>142</v>
      </c>
    </row>
    <row r="150" spans="3:3" ht="15.75" customHeight="1" x14ac:dyDescent="0.2">
      <c r="C150" s="19" t="s">
        <v>143</v>
      </c>
    </row>
    <row r="151" spans="3:3" ht="15.75" customHeight="1" x14ac:dyDescent="0.2">
      <c r="C151" s="19" t="s">
        <v>144</v>
      </c>
    </row>
    <row r="152" spans="3:3" ht="15.75" customHeight="1" x14ac:dyDescent="0.2">
      <c r="C152" s="19" t="s">
        <v>145</v>
      </c>
    </row>
    <row r="153" spans="3:3" ht="15.75" customHeight="1" x14ac:dyDescent="0.2">
      <c r="C153" s="19" t="s">
        <v>146</v>
      </c>
    </row>
    <row r="154" spans="3:3" ht="15.75" customHeight="1" x14ac:dyDescent="0.2">
      <c r="C154" s="19" t="s">
        <v>147</v>
      </c>
    </row>
    <row r="155" spans="3:3" ht="15.75" customHeight="1" x14ac:dyDescent="0.2">
      <c r="C155" s="19" t="s">
        <v>148</v>
      </c>
    </row>
    <row r="156" spans="3:3" ht="15.75" customHeight="1" x14ac:dyDescent="0.2">
      <c r="C156" s="19" t="s">
        <v>149</v>
      </c>
    </row>
    <row r="157" spans="3:3" ht="15.75" customHeight="1" x14ac:dyDescent="0.2">
      <c r="C157" s="24" t="s">
        <v>150</v>
      </c>
    </row>
    <row r="158" spans="3:3" ht="15.75" customHeight="1" x14ac:dyDescent="0.25">
      <c r="C158" s="23" t="s">
        <v>151</v>
      </c>
    </row>
    <row r="159" spans="3:3" ht="15.75" customHeight="1" x14ac:dyDescent="0.25">
      <c r="C159" s="23" t="s">
        <v>152</v>
      </c>
    </row>
    <row r="160" spans="3:3" ht="15.75" customHeight="1" x14ac:dyDescent="0.25">
      <c r="C160" s="23" t="s">
        <v>153</v>
      </c>
    </row>
    <row r="161" spans="3:3" ht="15.75" customHeight="1" x14ac:dyDescent="0.25">
      <c r="C161" s="23" t="s">
        <v>154</v>
      </c>
    </row>
    <row r="162" spans="3:3" ht="15.75" customHeight="1" x14ac:dyDescent="0.25">
      <c r="C162" s="23" t="s">
        <v>155</v>
      </c>
    </row>
    <row r="163" spans="3:3" ht="15.75" customHeight="1" x14ac:dyDescent="0.2">
      <c r="C163" s="19" t="s">
        <v>156</v>
      </c>
    </row>
    <row r="164" spans="3:3" ht="15.75" customHeight="1" x14ac:dyDescent="0.2">
      <c r="C164" s="19" t="s">
        <v>157</v>
      </c>
    </row>
    <row r="165" spans="3:3" ht="15.75" customHeight="1" x14ac:dyDescent="0.2">
      <c r="C165" s="19" t="s">
        <v>158</v>
      </c>
    </row>
    <row r="166" spans="3:3" ht="15.75" customHeight="1" x14ac:dyDescent="0.2">
      <c r="C166" s="19" t="s">
        <v>159</v>
      </c>
    </row>
    <row r="167" spans="3:3" ht="15.75" customHeight="1" x14ac:dyDescent="0.2">
      <c r="C167" s="19" t="s">
        <v>160</v>
      </c>
    </row>
    <row r="168" spans="3:3" ht="15.75" customHeight="1" x14ac:dyDescent="0.2">
      <c r="C168" s="19" t="s">
        <v>161</v>
      </c>
    </row>
    <row r="169" spans="3:3" ht="15.75" customHeight="1" x14ac:dyDescent="0.2">
      <c r="C169" s="19" t="s">
        <v>162</v>
      </c>
    </row>
    <row r="170" spans="3:3" ht="15.75" customHeight="1" x14ac:dyDescent="0.25">
      <c r="C170" s="23" t="s">
        <v>163</v>
      </c>
    </row>
    <row r="171" spans="3:3" ht="15.75" customHeight="1" x14ac:dyDescent="0.25">
      <c r="C171" s="23" t="s">
        <v>164</v>
      </c>
    </row>
    <row r="172" spans="3:3" ht="15.75" customHeight="1" x14ac:dyDescent="0.25">
      <c r="C172" s="23" t="s">
        <v>165</v>
      </c>
    </row>
    <row r="173" spans="3:3" ht="15.75" customHeight="1" x14ac:dyDescent="0.25">
      <c r="C173" s="23" t="s">
        <v>166</v>
      </c>
    </row>
    <row r="174" spans="3:3" ht="15.75" customHeight="1" x14ac:dyDescent="0.25">
      <c r="C174" s="23" t="s">
        <v>167</v>
      </c>
    </row>
    <row r="175" spans="3:3" ht="15.75" customHeight="1" x14ac:dyDescent="0.25">
      <c r="C175" s="23" t="s">
        <v>168</v>
      </c>
    </row>
    <row r="176" spans="3:3" ht="15.75" customHeight="1" x14ac:dyDescent="0.25">
      <c r="C176" s="23" t="s">
        <v>169</v>
      </c>
    </row>
    <row r="177" spans="3:3" ht="15.75" customHeight="1" x14ac:dyDescent="0.25">
      <c r="C177" s="23" t="s">
        <v>170</v>
      </c>
    </row>
    <row r="178" spans="3:3" ht="15.75" customHeight="1" x14ac:dyDescent="0.25">
      <c r="C178" s="23" t="s">
        <v>171</v>
      </c>
    </row>
    <row r="179" spans="3:3" ht="15.75" customHeight="1" x14ac:dyDescent="0.25">
      <c r="C179" s="23" t="s">
        <v>172</v>
      </c>
    </row>
    <row r="180" spans="3:3" ht="15.75" customHeight="1" x14ac:dyDescent="0.2">
      <c r="C180" s="18" t="s">
        <v>173</v>
      </c>
    </row>
    <row r="181" spans="3:3" ht="15.75" customHeight="1" x14ac:dyDescent="0.2">
      <c r="C181" s="19" t="s">
        <v>174</v>
      </c>
    </row>
    <row r="182" spans="3:3" ht="15.75" customHeight="1" x14ac:dyDescent="0.2">
      <c r="C182" s="19" t="s">
        <v>175</v>
      </c>
    </row>
    <row r="183" spans="3:3" ht="15.75" customHeight="1" x14ac:dyDescent="0.2">
      <c r="C183" s="19" t="s">
        <v>176</v>
      </c>
    </row>
    <row r="184" spans="3:3" ht="15.75" customHeight="1" x14ac:dyDescent="0.2">
      <c r="C184" s="19" t="s">
        <v>177</v>
      </c>
    </row>
    <row r="185" spans="3:3" ht="15.75" customHeight="1" x14ac:dyDescent="0.2">
      <c r="C185" s="19" t="s">
        <v>178</v>
      </c>
    </row>
    <row r="186" spans="3:3" ht="15.75" customHeight="1" x14ac:dyDescent="0.2">
      <c r="C186" s="19" t="s">
        <v>179</v>
      </c>
    </row>
    <row r="187" spans="3:3" ht="15.75" customHeight="1" x14ac:dyDescent="0.2">
      <c r="C187" s="19" t="s">
        <v>180</v>
      </c>
    </row>
    <row r="188" spans="3:3" ht="15.75" customHeight="1" x14ac:dyDescent="0.2">
      <c r="C188" s="19" t="s">
        <v>181</v>
      </c>
    </row>
    <row r="189" spans="3:3" ht="15.75" customHeight="1" x14ac:dyDescent="0.2">
      <c r="C189" s="19" t="s">
        <v>182</v>
      </c>
    </row>
    <row r="190" spans="3:3" ht="15.75" customHeight="1" x14ac:dyDescent="0.2">
      <c r="C190" s="19" t="s">
        <v>183</v>
      </c>
    </row>
    <row r="191" spans="3:3" ht="15.75" customHeight="1" x14ac:dyDescent="0.2">
      <c r="C191" s="19" t="s">
        <v>184</v>
      </c>
    </row>
    <row r="192" spans="3:3" ht="15.75" customHeight="1" x14ac:dyDescent="0.2">
      <c r="C192" s="19" t="s">
        <v>185</v>
      </c>
    </row>
    <row r="193" spans="3:3" ht="15.75" customHeight="1" x14ac:dyDescent="0.2">
      <c r="C193" s="19" t="s">
        <v>186</v>
      </c>
    </row>
    <row r="194" spans="3:3" ht="15.75" customHeight="1" x14ac:dyDescent="0.2">
      <c r="C194" s="19" t="s">
        <v>187</v>
      </c>
    </row>
    <row r="195" spans="3:3" ht="15.75" customHeight="1" x14ac:dyDescent="0.2">
      <c r="C195" s="19" t="s">
        <v>188</v>
      </c>
    </row>
    <row r="196" spans="3:3" ht="15.75" customHeight="1" x14ac:dyDescent="0.2">
      <c r="C196" s="19" t="s">
        <v>189</v>
      </c>
    </row>
    <row r="197" spans="3:3" ht="15.75" customHeight="1" x14ac:dyDescent="0.2">
      <c r="C197" s="19" t="s">
        <v>190</v>
      </c>
    </row>
    <row r="198" spans="3:3" ht="15.75" customHeight="1" x14ac:dyDescent="0.2">
      <c r="C198" s="19" t="s">
        <v>191</v>
      </c>
    </row>
    <row r="199" spans="3:3" ht="15.75" customHeight="1" x14ac:dyDescent="0.2">
      <c r="C199" s="19" t="s">
        <v>192</v>
      </c>
    </row>
    <row r="200" spans="3:3" ht="15.75" customHeight="1" x14ac:dyDescent="0.2">
      <c r="C200" s="19" t="s">
        <v>193</v>
      </c>
    </row>
    <row r="201" spans="3:3" ht="15.75" customHeight="1" x14ac:dyDescent="0.2">
      <c r="C201" s="19" t="s">
        <v>194</v>
      </c>
    </row>
    <row r="202" spans="3:3" ht="15.75" customHeight="1" x14ac:dyDescent="0.2">
      <c r="C202" s="19" t="s">
        <v>195</v>
      </c>
    </row>
    <row r="203" spans="3:3" ht="15.75" customHeight="1" x14ac:dyDescent="0.2">
      <c r="C203" s="19" t="s">
        <v>196</v>
      </c>
    </row>
    <row r="204" spans="3:3" ht="15.75" customHeight="1" x14ac:dyDescent="0.2">
      <c r="C204" s="19" t="s">
        <v>197</v>
      </c>
    </row>
    <row r="205" spans="3:3" ht="15.75" customHeight="1" x14ac:dyDescent="0.2">
      <c r="C205" s="19" t="s">
        <v>198</v>
      </c>
    </row>
    <row r="206" spans="3:3" ht="15.75" customHeight="1" x14ac:dyDescent="0.2">
      <c r="C206" s="19" t="s">
        <v>199</v>
      </c>
    </row>
    <row r="207" spans="3:3" ht="15.75" customHeight="1" x14ac:dyDescent="0.2">
      <c r="C207" s="19" t="s">
        <v>200</v>
      </c>
    </row>
    <row r="208" spans="3:3" ht="15.75" customHeight="1" x14ac:dyDescent="0.2">
      <c r="C208" s="19" t="s">
        <v>201</v>
      </c>
    </row>
    <row r="209" spans="3:3" ht="15.75" customHeight="1" x14ac:dyDescent="0.2">
      <c r="C209" s="19" t="s">
        <v>202</v>
      </c>
    </row>
    <row r="210" spans="3:3" ht="15.75" customHeight="1" x14ac:dyDescent="0.2">
      <c r="C210" s="19" t="s">
        <v>203</v>
      </c>
    </row>
    <row r="211" spans="3:3" ht="15.75" customHeight="1" x14ac:dyDescent="0.2">
      <c r="C211" s="19" t="s">
        <v>204</v>
      </c>
    </row>
    <row r="212" spans="3:3" ht="15.75" customHeight="1" x14ac:dyDescent="0.2">
      <c r="C212" s="19" t="s">
        <v>205</v>
      </c>
    </row>
    <row r="213" spans="3:3" ht="15.75" customHeight="1" x14ac:dyDescent="0.2">
      <c r="C213" s="19" t="s">
        <v>206</v>
      </c>
    </row>
    <row r="214" spans="3:3" ht="15.75" customHeight="1" x14ac:dyDescent="0.2">
      <c r="C214" s="19" t="s">
        <v>207</v>
      </c>
    </row>
    <row r="215" spans="3:3" ht="15.75" customHeight="1" x14ac:dyDescent="0.2">
      <c r="C215" s="19" t="s">
        <v>208</v>
      </c>
    </row>
    <row r="216" spans="3:3" ht="15.75" customHeight="1" x14ac:dyDescent="0.2">
      <c r="C216" s="19" t="s">
        <v>209</v>
      </c>
    </row>
    <row r="217" spans="3:3" ht="15.75" customHeight="1" x14ac:dyDescent="0.2">
      <c r="C217" s="19" t="s">
        <v>210</v>
      </c>
    </row>
    <row r="218" spans="3:3" ht="15.75" customHeight="1" x14ac:dyDescent="0.2">
      <c r="C218" s="19" t="s">
        <v>211</v>
      </c>
    </row>
    <row r="219" spans="3:3" ht="15.75" customHeight="1" x14ac:dyDescent="0.2">
      <c r="C219" s="19" t="s">
        <v>212</v>
      </c>
    </row>
    <row r="220" spans="3:3" ht="15.75" customHeight="1" x14ac:dyDescent="0.2">
      <c r="C220" s="19" t="s">
        <v>213</v>
      </c>
    </row>
    <row r="221" spans="3:3" ht="15.75" customHeight="1" x14ac:dyDescent="0.2">
      <c r="C221" s="19" t="s">
        <v>214</v>
      </c>
    </row>
    <row r="222" spans="3:3" ht="15.75" customHeight="1" x14ac:dyDescent="0.25">
      <c r="C222" s="23" t="s">
        <v>215</v>
      </c>
    </row>
    <row r="223" spans="3:3" ht="15.75" customHeight="1" x14ac:dyDescent="0.25">
      <c r="C223" s="23" t="s">
        <v>216</v>
      </c>
    </row>
    <row r="224" spans="3:3" ht="15.75" customHeight="1" x14ac:dyDescent="0.25">
      <c r="C224" s="23" t="s">
        <v>217</v>
      </c>
    </row>
    <row r="225" spans="3:3" ht="15.75" customHeight="1" x14ac:dyDescent="0.25">
      <c r="C225" s="23" t="s">
        <v>218</v>
      </c>
    </row>
    <row r="226" spans="3:3" ht="15.75" customHeight="1" x14ac:dyDescent="0.25">
      <c r="C226" s="23" t="s">
        <v>219</v>
      </c>
    </row>
    <row r="227" spans="3:3" ht="15.75" customHeight="1" x14ac:dyDescent="0.25">
      <c r="C227" s="23" t="s">
        <v>220</v>
      </c>
    </row>
    <row r="228" spans="3:3" ht="15.75" customHeight="1" x14ac:dyDescent="0.2">
      <c r="C228" s="19" t="s">
        <v>221</v>
      </c>
    </row>
    <row r="229" spans="3:3" ht="15.75" customHeight="1" x14ac:dyDescent="0.2">
      <c r="C229" s="19" t="s">
        <v>222</v>
      </c>
    </row>
    <row r="230" spans="3:3" ht="15.75" customHeight="1" x14ac:dyDescent="0.2">
      <c r="C230" s="19" t="s">
        <v>223</v>
      </c>
    </row>
    <row r="231" spans="3:3" ht="15.75" customHeight="1" x14ac:dyDescent="0.2">
      <c r="C231" s="19" t="s">
        <v>224</v>
      </c>
    </row>
    <row r="232" spans="3:3" ht="15.75" customHeight="1" x14ac:dyDescent="0.2">
      <c r="C232" s="19" t="s">
        <v>225</v>
      </c>
    </row>
    <row r="233" spans="3:3" ht="15.75" customHeight="1" x14ac:dyDescent="0.2">
      <c r="C233" s="19" t="s">
        <v>226</v>
      </c>
    </row>
    <row r="234" spans="3:3" ht="15.75" customHeight="1" x14ac:dyDescent="0.2">
      <c r="C234" s="19" t="s">
        <v>227</v>
      </c>
    </row>
    <row r="235" spans="3:3" ht="15.75" customHeight="1" x14ac:dyDescent="0.2">
      <c r="C235" s="19" t="s">
        <v>228</v>
      </c>
    </row>
    <row r="236" spans="3:3" ht="15.75" customHeight="1" x14ac:dyDescent="0.2">
      <c r="C236" s="19" t="s">
        <v>229</v>
      </c>
    </row>
    <row r="237" spans="3:3" ht="15.75" customHeight="1" x14ac:dyDescent="0.2">
      <c r="C237" s="19" t="s">
        <v>230</v>
      </c>
    </row>
    <row r="238" spans="3:3" ht="15.75" customHeight="1" x14ac:dyDescent="0.2">
      <c r="C238" s="19" t="s">
        <v>231</v>
      </c>
    </row>
    <row r="239" spans="3:3" ht="15.75" customHeight="1" x14ac:dyDescent="0.2">
      <c r="C239" s="19" t="s">
        <v>232</v>
      </c>
    </row>
    <row r="240" spans="3:3" ht="15.75" customHeight="1" x14ac:dyDescent="0.2">
      <c r="C240" s="19" t="s">
        <v>233</v>
      </c>
    </row>
    <row r="241" spans="3:3" ht="15.75" customHeight="1" x14ac:dyDescent="0.2">
      <c r="C241" s="19" t="s">
        <v>234</v>
      </c>
    </row>
    <row r="242" spans="3:3" ht="15.75" customHeight="1" x14ac:dyDescent="0.2">
      <c r="C242" s="19" t="s">
        <v>235</v>
      </c>
    </row>
    <row r="243" spans="3:3" ht="15.75" customHeight="1" x14ac:dyDescent="0.2">
      <c r="C243" s="19" t="s">
        <v>236</v>
      </c>
    </row>
    <row r="244" spans="3:3" ht="15.75" customHeight="1" x14ac:dyDescent="0.2">
      <c r="C244" s="19" t="s">
        <v>237</v>
      </c>
    </row>
    <row r="245" spans="3:3" ht="15.75" customHeight="1" x14ac:dyDescent="0.2">
      <c r="C245" s="19" t="s">
        <v>238</v>
      </c>
    </row>
    <row r="246" spans="3:3" ht="15.75" customHeight="1" x14ac:dyDescent="0.2">
      <c r="C246" s="19" t="s">
        <v>239</v>
      </c>
    </row>
    <row r="247" spans="3:3" ht="15.75" customHeight="1" x14ac:dyDescent="0.2">
      <c r="C247" s="19" t="s">
        <v>240</v>
      </c>
    </row>
    <row r="248" spans="3:3" ht="15.75" customHeight="1" x14ac:dyDescent="0.2">
      <c r="C248" s="19" t="s">
        <v>241</v>
      </c>
    </row>
    <row r="249" spans="3:3" ht="15.75" customHeight="1" x14ac:dyDescent="0.2">
      <c r="C249" s="19" t="s">
        <v>242</v>
      </c>
    </row>
    <row r="250" spans="3:3" ht="15.75" customHeight="1" x14ac:dyDescent="0.2">
      <c r="C250" s="19" t="s">
        <v>243</v>
      </c>
    </row>
    <row r="251" spans="3:3" ht="15.75" customHeight="1" x14ac:dyDescent="0.2">
      <c r="C251" s="19" t="s">
        <v>244</v>
      </c>
    </row>
    <row r="252" spans="3:3" ht="15.75" customHeight="1" x14ac:dyDescent="0.2">
      <c r="C252" s="19" t="s">
        <v>245</v>
      </c>
    </row>
    <row r="253" spans="3:3" ht="15.75" customHeight="1" x14ac:dyDescent="0.2">
      <c r="C253" s="19" t="s">
        <v>246</v>
      </c>
    </row>
    <row r="254" spans="3:3" ht="15.75" customHeight="1" x14ac:dyDescent="0.2">
      <c r="C254" s="19" t="s">
        <v>247</v>
      </c>
    </row>
    <row r="255" spans="3:3" ht="15.75" customHeight="1" x14ac:dyDescent="0.2">
      <c r="C255" s="19" t="s">
        <v>248</v>
      </c>
    </row>
    <row r="256" spans="3:3" ht="15.75" customHeight="1" x14ac:dyDescent="0.2">
      <c r="C256" s="19" t="s">
        <v>249</v>
      </c>
    </row>
    <row r="257" spans="3:3" ht="15.75" customHeight="1" x14ac:dyDescent="0.2">
      <c r="C257" s="19" t="s">
        <v>250</v>
      </c>
    </row>
    <row r="258" spans="3:3" ht="15.75" customHeight="1" x14ac:dyDescent="0.2">
      <c r="C258" s="19" t="s">
        <v>251</v>
      </c>
    </row>
    <row r="259" spans="3:3" ht="15.75" customHeight="1" x14ac:dyDescent="0.2">
      <c r="C259" s="19" t="s">
        <v>252</v>
      </c>
    </row>
    <row r="260" spans="3:3" ht="15.75" customHeight="1" x14ac:dyDescent="0.2">
      <c r="C260" s="19" t="s">
        <v>253</v>
      </c>
    </row>
    <row r="261" spans="3:3" ht="15.75" customHeight="1" x14ac:dyDescent="0.2">
      <c r="C261" s="19" t="s">
        <v>254</v>
      </c>
    </row>
    <row r="262" spans="3:3" ht="15.75" customHeight="1" x14ac:dyDescent="0.2">
      <c r="C262" s="19" t="s">
        <v>255</v>
      </c>
    </row>
    <row r="263" spans="3:3" ht="15.75" customHeight="1" x14ac:dyDescent="0.2">
      <c r="C263" s="19" t="s">
        <v>256</v>
      </c>
    </row>
    <row r="264" spans="3:3" ht="15.75" customHeight="1" x14ac:dyDescent="0.2">
      <c r="C264" s="19" t="s">
        <v>257</v>
      </c>
    </row>
    <row r="265" spans="3:3" ht="15.75" customHeight="1" x14ac:dyDescent="0.2">
      <c r="C265" s="19" t="s">
        <v>258</v>
      </c>
    </row>
    <row r="266" spans="3:3" ht="15.75" customHeight="1" x14ac:dyDescent="0.2">
      <c r="C266" s="19" t="s">
        <v>259</v>
      </c>
    </row>
    <row r="267" spans="3:3" ht="15.75" customHeight="1" x14ac:dyDescent="0.2">
      <c r="C267" s="19" t="s">
        <v>260</v>
      </c>
    </row>
    <row r="268" spans="3:3" ht="15.75" customHeight="1" x14ac:dyDescent="0.2">
      <c r="C268" s="19" t="s">
        <v>261</v>
      </c>
    </row>
    <row r="269" spans="3:3" ht="15.75" customHeight="1" x14ac:dyDescent="0.2">
      <c r="C269" s="19" t="s">
        <v>262</v>
      </c>
    </row>
    <row r="270" spans="3:3" ht="15.75" customHeight="1" x14ac:dyDescent="0.2">
      <c r="C270" s="19" t="s">
        <v>263</v>
      </c>
    </row>
    <row r="271" spans="3:3" ht="15.75" customHeight="1" x14ac:dyDescent="0.2">
      <c r="C271" s="19" t="s">
        <v>264</v>
      </c>
    </row>
    <row r="272" spans="3:3" ht="15.75" customHeight="1" x14ac:dyDescent="0.2">
      <c r="C272" s="19" t="s">
        <v>265</v>
      </c>
    </row>
    <row r="273" spans="3:3" ht="15.75" customHeight="1" x14ac:dyDescent="0.2">
      <c r="C273" s="19" t="s">
        <v>266</v>
      </c>
    </row>
    <row r="274" spans="3:3" ht="15.75" customHeight="1" x14ac:dyDescent="0.2">
      <c r="C274" s="19" t="s">
        <v>267</v>
      </c>
    </row>
    <row r="275" spans="3:3" ht="15.75" customHeight="1" x14ac:dyDescent="0.2">
      <c r="C275" s="19" t="s">
        <v>268</v>
      </c>
    </row>
    <row r="276" spans="3:3" ht="15.75" customHeight="1" x14ac:dyDescent="0.2">
      <c r="C276" s="19" t="s">
        <v>269</v>
      </c>
    </row>
    <row r="277" spans="3:3" ht="15.75" customHeight="1" x14ac:dyDescent="0.2">
      <c r="C277" s="19" t="s">
        <v>270</v>
      </c>
    </row>
    <row r="278" spans="3:3" ht="15.75" customHeight="1" x14ac:dyDescent="0.2">
      <c r="C278" s="19" t="s">
        <v>271</v>
      </c>
    </row>
    <row r="279" spans="3:3" ht="15.75" customHeight="1" x14ac:dyDescent="0.2">
      <c r="C279" s="19" t="s">
        <v>272</v>
      </c>
    </row>
    <row r="280" spans="3:3" ht="15.75" customHeight="1" x14ac:dyDescent="0.2">
      <c r="C280" s="19" t="s">
        <v>273</v>
      </c>
    </row>
    <row r="281" spans="3:3" ht="15.75" customHeight="1" x14ac:dyDescent="0.2">
      <c r="C281" s="19" t="s">
        <v>274</v>
      </c>
    </row>
    <row r="282" spans="3:3" ht="15.75" customHeight="1" x14ac:dyDescent="0.2">
      <c r="C282" s="19" t="s">
        <v>275</v>
      </c>
    </row>
    <row r="283" spans="3:3" ht="15.75" customHeight="1" x14ac:dyDescent="0.2">
      <c r="C283" s="19" t="s">
        <v>276</v>
      </c>
    </row>
    <row r="284" spans="3:3" ht="15.75" customHeight="1" x14ac:dyDescent="0.2">
      <c r="C284" s="19" t="s">
        <v>277</v>
      </c>
    </row>
    <row r="285" spans="3:3" ht="15.75" customHeight="1" x14ac:dyDescent="0.2">
      <c r="C285" s="19" t="s">
        <v>278</v>
      </c>
    </row>
    <row r="286" spans="3:3" ht="15.75" customHeight="1" x14ac:dyDescent="0.2">
      <c r="C286" s="19" t="s">
        <v>279</v>
      </c>
    </row>
    <row r="287" spans="3:3" ht="15.75" customHeight="1" x14ac:dyDescent="0.2">
      <c r="C287" s="19" t="s">
        <v>280</v>
      </c>
    </row>
    <row r="288" spans="3:3" ht="15.75" customHeight="1" x14ac:dyDescent="0.2">
      <c r="C288" s="19" t="s">
        <v>281</v>
      </c>
    </row>
    <row r="289" spans="3:3" ht="15.75" customHeight="1" x14ac:dyDescent="0.2">
      <c r="C289" s="19" t="s">
        <v>282</v>
      </c>
    </row>
    <row r="290" spans="3:3" ht="15.75" customHeight="1" x14ac:dyDescent="0.2">
      <c r="C290" s="19" t="s">
        <v>283</v>
      </c>
    </row>
    <row r="291" spans="3:3" ht="15.75" customHeight="1" x14ac:dyDescent="0.2">
      <c r="C291" s="19" t="s">
        <v>284</v>
      </c>
    </row>
    <row r="292" spans="3:3" ht="15.75" customHeight="1" x14ac:dyDescent="0.2">
      <c r="C292" s="19" t="s">
        <v>285</v>
      </c>
    </row>
    <row r="293" spans="3:3" ht="15.75" customHeight="1" x14ac:dyDescent="0.2">
      <c r="C293" s="19" t="s">
        <v>286</v>
      </c>
    </row>
    <row r="294" spans="3:3" ht="15.75" customHeight="1" x14ac:dyDescent="0.25">
      <c r="C294" s="23" t="s">
        <v>287</v>
      </c>
    </row>
    <row r="295" spans="3:3" ht="15.75" customHeight="1" x14ac:dyDescent="0.25">
      <c r="C295" s="23" t="s">
        <v>288</v>
      </c>
    </row>
    <row r="296" spans="3:3" ht="15.75" customHeight="1" x14ac:dyDescent="0.25">
      <c r="C296" s="23" t="s">
        <v>289</v>
      </c>
    </row>
    <row r="297" spans="3:3" ht="15.75" customHeight="1" x14ac:dyDescent="0.2">
      <c r="C297" s="19" t="s">
        <v>290</v>
      </c>
    </row>
    <row r="298" spans="3:3" ht="15.75" customHeight="1" x14ac:dyDescent="0.2">
      <c r="C298" s="19" t="s">
        <v>291</v>
      </c>
    </row>
    <row r="299" spans="3:3" ht="15.75" customHeight="1" x14ac:dyDescent="0.2">
      <c r="C299" s="19" t="s">
        <v>292</v>
      </c>
    </row>
    <row r="300" spans="3:3" ht="15.75" customHeight="1" x14ac:dyDescent="0.2">
      <c r="C300" s="19" t="s">
        <v>293</v>
      </c>
    </row>
    <row r="301" spans="3:3" ht="15.75" customHeight="1" x14ac:dyDescent="0.2">
      <c r="C301" s="19" t="s">
        <v>294</v>
      </c>
    </row>
    <row r="302" spans="3:3" ht="15.75" customHeight="1" x14ac:dyDescent="0.2">
      <c r="C302" s="19" t="s">
        <v>295</v>
      </c>
    </row>
    <row r="303" spans="3:3" ht="15.75" customHeight="1" x14ac:dyDescent="0.2">
      <c r="C303" s="19" t="s">
        <v>296</v>
      </c>
    </row>
    <row r="304" spans="3:3" ht="15.75" customHeight="1" x14ac:dyDescent="0.2">
      <c r="C304" s="19" t="s">
        <v>297</v>
      </c>
    </row>
    <row r="305" spans="3:3" ht="15.75" customHeight="1" x14ac:dyDescent="0.2">
      <c r="C305" s="19" t="s">
        <v>298</v>
      </c>
    </row>
    <row r="306" spans="3:3" ht="15.75" customHeight="1" x14ac:dyDescent="0.2">
      <c r="C306" s="19" t="s">
        <v>299</v>
      </c>
    </row>
    <row r="307" spans="3:3" ht="15.75" customHeight="1" x14ac:dyDescent="0.2">
      <c r="C307" s="19" t="s">
        <v>300</v>
      </c>
    </row>
    <row r="308" spans="3:3" ht="15.75" customHeight="1" x14ac:dyDescent="0.2">
      <c r="C308" s="19" t="s">
        <v>301</v>
      </c>
    </row>
    <row r="309" spans="3:3" ht="15.75" customHeight="1" x14ac:dyDescent="0.2">
      <c r="C309" s="19" t="s">
        <v>302</v>
      </c>
    </row>
    <row r="310" spans="3:3" ht="15.75" customHeight="1" x14ac:dyDescent="0.2">
      <c r="C310" s="19" t="s">
        <v>303</v>
      </c>
    </row>
    <row r="311" spans="3:3" ht="15.75" customHeight="1" x14ac:dyDescent="0.2">
      <c r="C311" s="19" t="s">
        <v>304</v>
      </c>
    </row>
    <row r="312" spans="3:3" ht="15.75" customHeight="1" x14ac:dyDescent="0.2">
      <c r="C312" s="19" t="s">
        <v>305</v>
      </c>
    </row>
    <row r="313" spans="3:3" ht="15.75" customHeight="1" x14ac:dyDescent="0.2">
      <c r="C313" s="19" t="s">
        <v>306</v>
      </c>
    </row>
    <row r="314" spans="3:3" ht="15.75" customHeight="1" x14ac:dyDescent="0.2">
      <c r="C314" s="19" t="s">
        <v>307</v>
      </c>
    </row>
    <row r="315" spans="3:3" ht="15.75" customHeight="1" x14ac:dyDescent="0.2">
      <c r="C315" s="19" t="s">
        <v>308</v>
      </c>
    </row>
    <row r="316" spans="3:3" ht="15.75" customHeight="1" x14ac:dyDescent="0.2">
      <c r="C316" s="19" t="s">
        <v>309</v>
      </c>
    </row>
    <row r="317" spans="3:3" ht="15.75" customHeight="1" x14ac:dyDescent="0.2">
      <c r="C317" s="19" t="s">
        <v>310</v>
      </c>
    </row>
    <row r="318" spans="3:3" ht="15.75" customHeight="1" x14ac:dyDescent="0.2">
      <c r="C318" s="19" t="s">
        <v>311</v>
      </c>
    </row>
    <row r="319" spans="3:3" ht="15.75" customHeight="1" x14ac:dyDescent="0.2">
      <c r="C319" s="19" t="s">
        <v>312</v>
      </c>
    </row>
    <row r="320" spans="3:3" ht="15.75" customHeight="1" x14ac:dyDescent="0.2">
      <c r="C320" s="19" t="s">
        <v>313</v>
      </c>
    </row>
    <row r="321" spans="3:3" ht="15.75" customHeight="1" x14ac:dyDescent="0.2">
      <c r="C321" s="19" t="s">
        <v>314</v>
      </c>
    </row>
    <row r="322" spans="3:3" ht="15.75" customHeight="1" x14ac:dyDescent="0.2">
      <c r="C322" s="19" t="s">
        <v>315</v>
      </c>
    </row>
    <row r="323" spans="3:3" ht="15.75" customHeight="1" x14ac:dyDescent="0.2">
      <c r="C323" s="19" t="s">
        <v>316</v>
      </c>
    </row>
    <row r="324" spans="3:3" ht="15.75" customHeight="1" x14ac:dyDescent="0.2">
      <c r="C324" s="19" t="s">
        <v>317</v>
      </c>
    </row>
    <row r="325" spans="3:3" ht="15.75" customHeight="1" x14ac:dyDescent="0.2">
      <c r="C325" s="19" t="s">
        <v>318</v>
      </c>
    </row>
    <row r="326" spans="3:3" ht="15.75" customHeight="1" x14ac:dyDescent="0.2">
      <c r="C326" s="19" t="s">
        <v>319</v>
      </c>
    </row>
    <row r="327" spans="3:3" ht="15.75" customHeight="1" x14ac:dyDescent="0.2">
      <c r="C327" s="19" t="s">
        <v>320</v>
      </c>
    </row>
    <row r="328" spans="3:3" ht="15.75" customHeight="1" x14ac:dyDescent="0.2">
      <c r="C328" s="19" t="s">
        <v>321</v>
      </c>
    </row>
    <row r="329" spans="3:3" ht="15.75" customHeight="1" x14ac:dyDescent="0.2">
      <c r="C329" s="19" t="s">
        <v>322</v>
      </c>
    </row>
    <row r="330" spans="3:3" ht="15.75" customHeight="1" x14ac:dyDescent="0.2">
      <c r="C330" s="19" t="s">
        <v>323</v>
      </c>
    </row>
    <row r="331" spans="3:3" ht="15.75" customHeight="1" x14ac:dyDescent="0.2">
      <c r="C331" s="19" t="s">
        <v>324</v>
      </c>
    </row>
    <row r="332" spans="3:3" ht="15.75" customHeight="1" x14ac:dyDescent="0.2">
      <c r="C332" s="19" t="s">
        <v>325</v>
      </c>
    </row>
    <row r="333" spans="3:3" ht="15.75" customHeight="1" x14ac:dyDescent="0.2">
      <c r="C333" s="19" t="s">
        <v>326</v>
      </c>
    </row>
    <row r="334" spans="3:3" ht="15.75" customHeight="1" x14ac:dyDescent="0.2">
      <c r="C334" s="19" t="s">
        <v>327</v>
      </c>
    </row>
    <row r="335" spans="3:3" ht="15.75" customHeight="1" x14ac:dyDescent="0.2">
      <c r="C335" s="19" t="s">
        <v>328</v>
      </c>
    </row>
    <row r="336" spans="3:3" ht="15.75" customHeight="1" x14ac:dyDescent="0.2">
      <c r="C336" s="19" t="s">
        <v>329</v>
      </c>
    </row>
    <row r="337" spans="3:3" ht="15.75" customHeight="1" x14ac:dyDescent="0.2">
      <c r="C337" s="19" t="s">
        <v>330</v>
      </c>
    </row>
    <row r="338" spans="3:3" ht="15.75" customHeight="1" x14ac:dyDescent="0.2">
      <c r="C338" s="19" t="s">
        <v>331</v>
      </c>
    </row>
    <row r="339" spans="3:3" ht="15.75" customHeight="1" x14ac:dyDescent="0.2">
      <c r="C339" s="19" t="s">
        <v>332</v>
      </c>
    </row>
    <row r="340" spans="3:3" ht="15.75" customHeight="1" x14ac:dyDescent="0.2">
      <c r="C340" s="19" t="s">
        <v>333</v>
      </c>
    </row>
    <row r="341" spans="3:3" ht="15.75" customHeight="1" x14ac:dyDescent="0.2">
      <c r="C341" s="19" t="s">
        <v>334</v>
      </c>
    </row>
    <row r="342" spans="3:3" ht="15.75" customHeight="1" x14ac:dyDescent="0.2">
      <c r="C342" s="19" t="s">
        <v>335</v>
      </c>
    </row>
    <row r="343" spans="3:3" ht="15.75" customHeight="1" x14ac:dyDescent="0.2">
      <c r="C343" s="19" t="s">
        <v>336</v>
      </c>
    </row>
    <row r="344" spans="3:3" ht="15.75" customHeight="1" x14ac:dyDescent="0.2">
      <c r="C344" s="19" t="s">
        <v>337</v>
      </c>
    </row>
    <row r="345" spans="3:3" ht="15.75" customHeight="1" x14ac:dyDescent="0.2"/>
    <row r="346" spans="3:3" ht="15.75" customHeight="1" x14ac:dyDescent="0.2"/>
    <row r="347" spans="3:3" ht="15.75" customHeight="1" x14ac:dyDescent="0.2"/>
    <row r="348" spans="3:3" ht="15.75" customHeight="1" x14ac:dyDescent="0.2"/>
    <row r="349" spans="3:3" ht="15.75" customHeight="1" x14ac:dyDescent="0.2"/>
    <row r="350" spans="3:3" ht="15.75" customHeight="1" x14ac:dyDescent="0.2"/>
    <row r="351" spans="3:3" ht="15.75" customHeight="1" x14ac:dyDescent="0.2"/>
    <row r="352" spans="3:3"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7"/>
  <sheetViews>
    <sheetView workbookViewId="0"/>
  </sheetViews>
  <sheetFormatPr baseColWidth="10" defaultColWidth="11.1640625" defaultRowHeight="15" customHeight="1" x14ac:dyDescent="0.2"/>
  <cols>
    <col min="1" max="26" width="11.1640625" customWidth="1"/>
  </cols>
  <sheetData>
    <row r="1" spans="1:1" x14ac:dyDescent="0.2">
      <c r="A1" s="25" t="s">
        <v>1633</v>
      </c>
    </row>
    <row r="2" spans="1:1" x14ac:dyDescent="0.2">
      <c r="A2" s="25" t="s">
        <v>1634</v>
      </c>
    </row>
    <row r="3" spans="1:1" x14ac:dyDescent="0.2">
      <c r="A3" s="25" t="s">
        <v>1635</v>
      </c>
    </row>
    <row r="4" spans="1:1" x14ac:dyDescent="0.2">
      <c r="A4" s="25" t="s">
        <v>1636</v>
      </c>
    </row>
    <row r="5" spans="1:1" x14ac:dyDescent="0.2">
      <c r="A5" s="25" t="s">
        <v>1637</v>
      </c>
    </row>
    <row r="6" spans="1:1" x14ac:dyDescent="0.2">
      <c r="A6" s="25" t="s">
        <v>1638</v>
      </c>
    </row>
    <row r="7" spans="1:1" x14ac:dyDescent="0.2">
      <c r="A7" s="25" t="s">
        <v>1639</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S3"/>
  <sheetViews>
    <sheetView workbookViewId="0"/>
  </sheetViews>
  <sheetFormatPr baseColWidth="10" defaultColWidth="11.1640625" defaultRowHeight="15" customHeight="1" x14ac:dyDescent="0.2"/>
  <cols>
    <col min="1" max="4" width="11.1640625" customWidth="1"/>
    <col min="5" max="5" width="18.6640625" customWidth="1"/>
    <col min="6" max="6" width="32.1640625" customWidth="1"/>
    <col min="7" max="7" width="15.1640625" customWidth="1"/>
    <col min="8" max="8" width="11.1640625" customWidth="1"/>
    <col min="9" max="9" width="21.6640625" customWidth="1"/>
    <col min="10" max="10" width="17.83203125" customWidth="1"/>
    <col min="11" max="11" width="11.1640625" customWidth="1"/>
    <col min="12" max="12" width="17.1640625" customWidth="1"/>
    <col min="13" max="13" width="17.5" customWidth="1"/>
    <col min="14" max="14" width="16.5" customWidth="1"/>
    <col min="15" max="16" width="24" customWidth="1"/>
    <col min="17" max="52" width="11.1640625" customWidth="1"/>
    <col min="53" max="53" width="28.33203125" customWidth="1"/>
    <col min="54" max="54" width="34.83203125" customWidth="1"/>
    <col min="55" max="55" width="23.6640625" customWidth="1"/>
    <col min="56" max="56" width="42.1640625" customWidth="1"/>
    <col min="57" max="57" width="49.5" customWidth="1"/>
    <col min="58" max="58" width="25" customWidth="1"/>
    <col min="59" max="59" width="55.6640625" customWidth="1"/>
    <col min="60" max="66" width="11.1640625" customWidth="1"/>
    <col min="67" max="67" width="92.1640625" customWidth="1"/>
    <col min="68" max="69" width="11.1640625" customWidth="1"/>
    <col min="70" max="70" width="102.5" customWidth="1"/>
    <col min="71" max="105" width="11.1640625" customWidth="1"/>
    <col min="106" max="106" width="33.33203125" customWidth="1"/>
    <col min="107" max="175" width="11.1640625" customWidth="1"/>
  </cols>
  <sheetData>
    <row r="1" spans="1:175" ht="15" customHeight="1" x14ac:dyDescent="0.25">
      <c r="A1" s="26" t="s">
        <v>2</v>
      </c>
      <c r="B1" s="26" t="s">
        <v>3</v>
      </c>
      <c r="C1" s="26" t="s">
        <v>4</v>
      </c>
      <c r="D1" s="26" t="s">
        <v>5</v>
      </c>
      <c r="E1" s="26" t="s">
        <v>6</v>
      </c>
      <c r="F1" s="26" t="s">
        <v>7</v>
      </c>
      <c r="G1" s="26" t="s">
        <v>1619</v>
      </c>
      <c r="H1" s="26" t="s">
        <v>8</v>
      </c>
      <c r="I1" s="26" t="s">
        <v>1621</v>
      </c>
      <c r="J1" s="26" t="s">
        <v>14</v>
      </c>
      <c r="K1" s="26" t="s">
        <v>1624</v>
      </c>
      <c r="L1" s="26" t="s">
        <v>15</v>
      </c>
      <c r="M1" s="26" t="s">
        <v>16</v>
      </c>
      <c r="N1" s="26" t="s">
        <v>17</v>
      </c>
      <c r="O1" s="26" t="s">
        <v>18</v>
      </c>
      <c r="P1" s="26" t="s">
        <v>19</v>
      </c>
      <c r="Q1" s="26" t="s">
        <v>20</v>
      </c>
      <c r="R1" s="26" t="s">
        <v>21</v>
      </c>
      <c r="S1" s="26" t="s">
        <v>22</v>
      </c>
      <c r="T1" s="26" t="s">
        <v>23</v>
      </c>
      <c r="U1" s="26" t="s">
        <v>24</v>
      </c>
      <c r="V1" s="26" t="s">
        <v>25</v>
      </c>
      <c r="W1" s="26" t="s">
        <v>26</v>
      </c>
      <c r="X1" s="26" t="s">
        <v>27</v>
      </c>
      <c r="Y1" s="26" t="s">
        <v>28</v>
      </c>
      <c r="Z1" s="26" t="s">
        <v>29</v>
      </c>
      <c r="AA1" s="26" t="s">
        <v>30</v>
      </c>
      <c r="AB1" s="26" t="s">
        <v>31</v>
      </c>
      <c r="AC1" s="26" t="s">
        <v>32</v>
      </c>
      <c r="AD1" s="26" t="s">
        <v>33</v>
      </c>
      <c r="AE1" s="26" t="s">
        <v>34</v>
      </c>
      <c r="AF1" s="26" t="s">
        <v>10</v>
      </c>
      <c r="AG1" s="26" t="s">
        <v>11</v>
      </c>
      <c r="AH1" s="26" t="s">
        <v>12</v>
      </c>
      <c r="AI1" s="26" t="s">
        <v>35</v>
      </c>
      <c r="AJ1" s="26" t="s">
        <v>36</v>
      </c>
      <c r="AK1" s="26" t="s">
        <v>37</v>
      </c>
      <c r="AL1" s="26" t="s">
        <v>38</v>
      </c>
      <c r="AM1" s="26" t="s">
        <v>39</v>
      </c>
      <c r="AN1" s="26" t="s">
        <v>40</v>
      </c>
      <c r="AO1" s="26" t="s">
        <v>41</v>
      </c>
      <c r="AP1" s="26" t="s">
        <v>42</v>
      </c>
      <c r="AQ1" s="26" t="s">
        <v>43</v>
      </c>
      <c r="AR1" s="26" t="s">
        <v>44</v>
      </c>
      <c r="AS1" s="26" t="s">
        <v>45</v>
      </c>
      <c r="AT1" s="26" t="s">
        <v>46</v>
      </c>
      <c r="AU1" s="26" t="s">
        <v>47</v>
      </c>
      <c r="AV1" s="26" t="s">
        <v>48</v>
      </c>
      <c r="AW1" s="26" t="s">
        <v>49</v>
      </c>
      <c r="AX1" s="26" t="s">
        <v>50</v>
      </c>
      <c r="AY1" s="26" t="s">
        <v>53</v>
      </c>
      <c r="AZ1" s="26" t="s">
        <v>54</v>
      </c>
      <c r="BA1" s="26" t="s">
        <v>55</v>
      </c>
      <c r="BB1" s="26" t="s">
        <v>56</v>
      </c>
      <c r="BC1" s="26" t="s">
        <v>57</v>
      </c>
      <c r="BD1" s="26" t="s">
        <v>58</v>
      </c>
      <c r="BE1" s="26" t="s">
        <v>59</v>
      </c>
      <c r="BF1" s="26" t="s">
        <v>60</v>
      </c>
      <c r="BG1" s="26" t="s">
        <v>61</v>
      </c>
      <c r="BH1" s="26" t="s">
        <v>62</v>
      </c>
      <c r="BI1" s="26" t="s">
        <v>63</v>
      </c>
      <c r="BJ1" s="26" t="s">
        <v>64</v>
      </c>
      <c r="BK1" s="26" t="s">
        <v>65</v>
      </c>
      <c r="BL1" s="26" t="s">
        <v>66</v>
      </c>
      <c r="BM1" s="26" t="s">
        <v>67</v>
      </c>
      <c r="BN1" s="26" t="s">
        <v>1628</v>
      </c>
      <c r="BO1" s="26" t="s">
        <v>68</v>
      </c>
      <c r="BP1" s="26" t="s">
        <v>69</v>
      </c>
      <c r="BQ1" s="26" t="s">
        <v>70</v>
      </c>
      <c r="BR1" s="26" t="s">
        <v>71</v>
      </c>
      <c r="BS1" s="26" t="s">
        <v>72</v>
      </c>
      <c r="BT1" s="26" t="s">
        <v>73</v>
      </c>
      <c r="BU1" s="26" t="s">
        <v>74</v>
      </c>
      <c r="BV1" s="26" t="s">
        <v>75</v>
      </c>
      <c r="BW1" s="26" t="s">
        <v>76</v>
      </c>
      <c r="BX1" s="26" t="s">
        <v>77</v>
      </c>
      <c r="BY1" s="26" t="s">
        <v>78</v>
      </c>
      <c r="BZ1" s="26" t="s">
        <v>79</v>
      </c>
      <c r="CA1" s="26" t="s">
        <v>80</v>
      </c>
      <c r="CB1" s="26" t="s">
        <v>81</v>
      </c>
      <c r="CC1" s="26" t="s">
        <v>82</v>
      </c>
      <c r="CD1" s="26" t="s">
        <v>83</v>
      </c>
      <c r="CE1" s="26" t="s">
        <v>84</v>
      </c>
      <c r="CF1" s="26" t="s">
        <v>85</v>
      </c>
      <c r="CG1" s="26" t="s">
        <v>86</v>
      </c>
      <c r="CH1" s="26" t="s">
        <v>87</v>
      </c>
      <c r="CI1" s="26" t="s">
        <v>88</v>
      </c>
      <c r="CJ1" s="26" t="s">
        <v>89</v>
      </c>
      <c r="CK1" s="26" t="s">
        <v>90</v>
      </c>
      <c r="CL1" s="26" t="s">
        <v>91</v>
      </c>
      <c r="CM1" s="26" t="s">
        <v>92</v>
      </c>
      <c r="CN1" s="26" t="s">
        <v>93</v>
      </c>
      <c r="CO1" s="26" t="s">
        <v>94</v>
      </c>
      <c r="CP1" s="26" t="s">
        <v>95</v>
      </c>
      <c r="CQ1" s="26" t="s">
        <v>96</v>
      </c>
      <c r="CR1" s="26" t="s">
        <v>97</v>
      </c>
      <c r="CS1" s="26" t="s">
        <v>98</v>
      </c>
      <c r="CT1" s="26" t="s">
        <v>99</v>
      </c>
      <c r="CU1" s="26" t="s">
        <v>100</v>
      </c>
      <c r="CV1" s="26" t="s">
        <v>101</v>
      </c>
      <c r="CW1" s="27" t="s">
        <v>102</v>
      </c>
      <c r="CX1" s="27" t="s">
        <v>103</v>
      </c>
      <c r="CY1" s="27" t="s">
        <v>104</v>
      </c>
      <c r="CZ1" s="27" t="s">
        <v>105</v>
      </c>
      <c r="DA1" s="27" t="s">
        <v>106</v>
      </c>
      <c r="DB1" s="28" t="s">
        <v>107</v>
      </c>
      <c r="DC1" s="26" t="s">
        <v>108</v>
      </c>
      <c r="DD1" s="26" t="s">
        <v>109</v>
      </c>
      <c r="DE1" s="26" t="s">
        <v>110</v>
      </c>
      <c r="DF1" s="26" t="s">
        <v>111</v>
      </c>
      <c r="DG1" s="26" t="s">
        <v>112</v>
      </c>
      <c r="DH1" s="26" t="s">
        <v>113</v>
      </c>
      <c r="DI1" s="26" t="s">
        <v>114</v>
      </c>
      <c r="DJ1" s="26" t="s">
        <v>115</v>
      </c>
      <c r="DK1" s="26" t="s">
        <v>116</v>
      </c>
      <c r="DL1" s="26" t="s">
        <v>117</v>
      </c>
      <c r="DM1" s="26" t="s">
        <v>118</v>
      </c>
      <c r="DN1" s="26" t="s">
        <v>119</v>
      </c>
      <c r="DO1" s="26" t="s">
        <v>120</v>
      </c>
      <c r="DP1" s="26" t="s">
        <v>121</v>
      </c>
      <c r="DQ1" s="26" t="s">
        <v>122</v>
      </c>
      <c r="DR1" s="26" t="s">
        <v>123</v>
      </c>
      <c r="DS1" s="26" t="s">
        <v>124</v>
      </c>
      <c r="DT1" s="26" t="s">
        <v>125</v>
      </c>
      <c r="DU1" s="26" t="s">
        <v>126</v>
      </c>
      <c r="DV1" s="26" t="s">
        <v>127</v>
      </c>
      <c r="DW1" s="26" t="s">
        <v>128</v>
      </c>
      <c r="DX1" s="26" t="s">
        <v>129</v>
      </c>
      <c r="DY1" s="26" t="s">
        <v>130</v>
      </c>
      <c r="DZ1" s="26" t="s">
        <v>131</v>
      </c>
      <c r="EA1" s="26" t="s">
        <v>132</v>
      </c>
      <c r="EB1" s="26" t="s">
        <v>133</v>
      </c>
      <c r="EC1" s="26" t="s">
        <v>134</v>
      </c>
      <c r="ED1" s="26" t="s">
        <v>135</v>
      </c>
      <c r="EE1" s="26" t="s">
        <v>136</v>
      </c>
      <c r="EF1" s="26" t="s">
        <v>137</v>
      </c>
      <c r="EG1" s="26" t="s">
        <v>138</v>
      </c>
      <c r="EH1" s="26" t="s">
        <v>139</v>
      </c>
      <c r="EI1" s="26" t="s">
        <v>140</v>
      </c>
      <c r="EJ1" s="26" t="s">
        <v>141</v>
      </c>
      <c r="EK1" s="26" t="s">
        <v>1629</v>
      </c>
      <c r="EL1" s="26" t="s">
        <v>1630</v>
      </c>
      <c r="EM1" s="26" t="s">
        <v>1631</v>
      </c>
      <c r="EN1" s="26" t="s">
        <v>1632</v>
      </c>
      <c r="EO1" s="26" t="s">
        <v>142</v>
      </c>
      <c r="EP1" s="26" t="s">
        <v>143</v>
      </c>
      <c r="EQ1" s="26" t="s">
        <v>144</v>
      </c>
      <c r="ER1" s="26" t="s">
        <v>145</v>
      </c>
      <c r="ES1" s="26" t="s">
        <v>146</v>
      </c>
      <c r="ET1" s="26" t="s">
        <v>147</v>
      </c>
      <c r="EU1" s="26" t="s">
        <v>148</v>
      </c>
      <c r="EV1" s="26" t="s">
        <v>149</v>
      </c>
      <c r="EW1" s="29" t="s">
        <v>150</v>
      </c>
      <c r="EX1" s="27" t="s">
        <v>151</v>
      </c>
      <c r="EY1" s="27" t="s">
        <v>152</v>
      </c>
      <c r="EZ1" s="27" t="s">
        <v>153</v>
      </c>
      <c r="FA1" s="27" t="s">
        <v>154</v>
      </c>
      <c r="FB1" s="27" t="s">
        <v>155</v>
      </c>
      <c r="FC1" s="26" t="s">
        <v>156</v>
      </c>
      <c r="FD1" s="26" t="s">
        <v>157</v>
      </c>
      <c r="FE1" s="26" t="s">
        <v>158</v>
      </c>
      <c r="FF1" s="26" t="s">
        <v>159</v>
      </c>
      <c r="FG1" s="26" t="s">
        <v>160</v>
      </c>
      <c r="FH1" s="26" t="s">
        <v>161</v>
      </c>
      <c r="FI1" s="26" t="s">
        <v>162</v>
      </c>
      <c r="FJ1" s="27" t="s">
        <v>163</v>
      </c>
      <c r="FK1" s="27" t="s">
        <v>164</v>
      </c>
      <c r="FL1" s="27" t="s">
        <v>165</v>
      </c>
      <c r="FM1" s="27" t="s">
        <v>166</v>
      </c>
      <c r="FN1" s="27" t="s">
        <v>167</v>
      </c>
      <c r="FO1" s="27" t="s">
        <v>168</v>
      </c>
      <c r="FP1" s="27" t="s">
        <v>169</v>
      </c>
      <c r="FQ1" s="27" t="s">
        <v>170</v>
      </c>
      <c r="FR1" s="27" t="s">
        <v>171</v>
      </c>
      <c r="FS1" s="27" t="s">
        <v>172</v>
      </c>
    </row>
    <row r="2" spans="1:175" ht="18" x14ac:dyDescent="0.2">
      <c r="A2" s="30" t="s">
        <v>1640</v>
      </c>
      <c r="B2" s="30"/>
      <c r="C2" s="30"/>
      <c r="D2" s="30"/>
      <c r="E2" s="30" t="s">
        <v>1641</v>
      </c>
      <c r="F2" s="30" t="s">
        <v>1642</v>
      </c>
      <c r="G2" s="30"/>
      <c r="H2" s="30" t="s">
        <v>1643</v>
      </c>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t="s">
        <v>1644</v>
      </c>
      <c r="BG2" s="30" t="s">
        <v>1645</v>
      </c>
      <c r="BH2" s="30"/>
      <c r="BI2" s="30"/>
      <c r="BJ2" s="30"/>
      <c r="BK2" s="30"/>
      <c r="BL2" s="30"/>
      <c r="BM2" s="30"/>
      <c r="BN2" s="30"/>
      <c r="BO2" s="30" t="s">
        <v>1646</v>
      </c>
      <c r="BP2" s="30"/>
      <c r="BQ2" s="30"/>
      <c r="BR2" s="30" t="s">
        <v>1647</v>
      </c>
      <c r="BS2" s="31" t="s">
        <v>1648</v>
      </c>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28" t="s">
        <v>1649</v>
      </c>
      <c r="CX2" s="28" t="s">
        <v>1650</v>
      </c>
      <c r="CY2" s="28" t="s">
        <v>1651</v>
      </c>
      <c r="CZ2" s="28" t="s">
        <v>1652</v>
      </c>
      <c r="DA2" s="28" t="s">
        <v>1653</v>
      </c>
      <c r="DB2" s="28" t="s">
        <v>1654</v>
      </c>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2"/>
      <c r="EX2" s="28"/>
      <c r="EY2" s="28"/>
      <c r="EZ2" s="28"/>
      <c r="FA2" s="28"/>
      <c r="FB2" s="28"/>
      <c r="FC2" s="30"/>
      <c r="FD2" s="30"/>
      <c r="FE2" s="30"/>
      <c r="FF2" s="30"/>
      <c r="FG2" s="30"/>
      <c r="FH2" s="30"/>
      <c r="FI2" s="30"/>
      <c r="FJ2" s="28"/>
      <c r="FK2" s="28"/>
      <c r="FL2" s="28"/>
      <c r="FM2" s="28"/>
      <c r="FN2" s="28"/>
      <c r="FO2" s="28"/>
      <c r="FP2" s="28"/>
      <c r="FQ2" s="28"/>
      <c r="FR2" s="28"/>
      <c r="FS2" s="28"/>
    </row>
    <row r="3" spans="1:175" ht="18" x14ac:dyDescent="0.2">
      <c r="A3" s="30"/>
      <c r="B3" s="30"/>
      <c r="C3" s="30"/>
      <c r="D3" s="30"/>
      <c r="E3" s="30" t="s">
        <v>1655</v>
      </c>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28"/>
      <c r="CX3" s="28"/>
      <c r="CY3" s="28"/>
      <c r="CZ3" s="28"/>
      <c r="DA3" s="28"/>
      <c r="DB3" s="28"/>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2"/>
      <c r="EX3" s="28"/>
      <c r="EY3" s="28"/>
      <c r="EZ3" s="28"/>
      <c r="FA3" s="28"/>
      <c r="FB3" s="28"/>
      <c r="FC3" s="30"/>
      <c r="FD3" s="30"/>
      <c r="FE3" s="30"/>
      <c r="FF3" s="30"/>
      <c r="FG3" s="30"/>
      <c r="FH3" s="30"/>
      <c r="FI3" s="30"/>
      <c r="FJ3" s="28"/>
      <c r="FK3" s="28"/>
      <c r="FL3" s="28"/>
      <c r="FM3" s="28"/>
      <c r="FN3" s="28"/>
      <c r="FO3" s="28"/>
      <c r="FP3" s="28"/>
      <c r="FQ3" s="28"/>
      <c r="FR3" s="28"/>
      <c r="FS3" s="28"/>
    </row>
  </sheetData>
  <hyperlinks>
    <hyperlink ref="BS2" r:id="rId1" xr:uid="{00000000-0004-0000-0300-000000000000}"/>
  </hyperlinks>
  <pageMargins left="0.7" right="0.7" top="0.75" bottom="0.75" header="0" footer="0"/>
  <pageSetup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Foglio1</vt:lpstr>
      <vt:lpstr>Sheet1</vt:lpstr>
      <vt:lpstr>Foglio3</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Biagio Scalingi</dc:creator>
  <cp:lastModifiedBy>Ginevra Martinelli</cp:lastModifiedBy>
  <dcterms:created xsi:type="dcterms:W3CDTF">2024-06-17T13:05:27Z</dcterms:created>
  <dcterms:modified xsi:type="dcterms:W3CDTF">2026-07-20T15:31:26Z</dcterms:modified>
</cp:coreProperties>
</file>